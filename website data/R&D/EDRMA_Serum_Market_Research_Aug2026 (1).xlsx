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Exec Summary" sheetId="1" state="visible" r:id="rId3"/>
    <sheet name="2 Product Opportunities" sheetId="2" state="visible" r:id="rId4"/>
    <sheet name="3 Keyword Database" sheetId="3" state="visible" r:id="rId5"/>
    <sheet name="4 Competitor Database" sheetId="4" state="visible" r:id="rId6"/>
    <sheet name="5 Competitor Products" sheetId="5" state="visible" r:id="rId7"/>
    <sheet name="6 Customer Pain Points" sheetId="6" state="visible" r:id="rId8"/>
    <sheet name="7 Ingredient Opportunities" sheetId="7" state="visible" r:id="rId9"/>
    <sheet name="8 Domain Opportunities" sheetId="8" state="visible" r:id="rId10"/>
    <sheet name="9 SEO Content Plan" sheetId="9" state="visible" r:id="rId11"/>
    <sheet name="10 Launch Plan" sheetId="10" state="visible" r:id="rId12"/>
    <sheet name="11 Scoring &amp; Method" sheetId="11" state="visible" r:id="rId13"/>
  </sheets>
  <definedNames>
    <definedName function="false" hidden="true" localSheetId="0" name="_xlnm._FilterDatabase" vbProcedure="false">'1 Exec Summary'!$A$3:$J$13</definedName>
    <definedName function="false" hidden="true" localSheetId="1" name="_xlnm._FilterDatabase" vbProcedure="false">'2 Product Opportunities'!$A$3:$V$15</definedName>
    <definedName function="false" hidden="true" localSheetId="2" name="_xlnm._FilterDatabase" vbProcedure="false">'3 Keyword Database'!$A$3:$P$34</definedName>
    <definedName function="false" hidden="true" localSheetId="3" name="_xlnm._FilterDatabase" vbProcedure="false">'4 Competitor Database'!$A$3:$U$23</definedName>
    <definedName function="false" hidden="true" localSheetId="4" name="_xlnm._FilterDatabase" vbProcedure="false">'5 Competitor Products'!$A$3:$N$22</definedName>
    <definedName function="false" hidden="true" localSheetId="5" name="_xlnm._FilterDatabase" vbProcedure="false">'6 Customer Pain Points'!$A$3:$I$18</definedName>
    <definedName function="false" hidden="true" localSheetId="6" name="_xlnm._FilterDatabase" vbProcedure="false">'7 Ingredient Opportunities'!$A$3:$M$21</definedName>
    <definedName function="false" hidden="true" localSheetId="7" name="_xlnm._FilterDatabase" vbProcedure="false">'8 Domain Opportunities'!$A$3:$M$11</definedName>
    <definedName function="false" hidden="true" localSheetId="8" name="_xlnm._FilterDatabase" vbProcedure="false">'9 SEO Content Plan'!$A$3:$K$27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<sst xmlns="http://schemas.openxmlformats.org/spreadsheetml/2006/main" count="2410" uniqueCount="1509">
  <si>
    <t xml:space="preserve">EDRMA.COM — Face Serum Market Research | Executive Summary (August 2026)</t>
  </si>
  <si>
    <t xml:space="preserve">Rank</t>
  </si>
  <si>
    <t xml:space="preserve">Product Opportunity</t>
  </si>
  <si>
    <t xml:space="preserve">Opportunity Score /100</t>
  </si>
  <si>
    <t xml:space="preserve">Recommended Launch Order</t>
  </si>
  <si>
    <t xml:space="preserve">Est. Investment (PKR)</t>
  </si>
  <si>
    <t xml:space="preserve">Competition Level</t>
  </si>
  <si>
    <t xml:space="preserve">Expected Gross Margin</t>
  </si>
  <si>
    <t xml:space="preserve">Recommended Target Market</t>
  </si>
  <si>
    <t xml:space="preserve">Key Strategic Reason</t>
  </si>
  <si>
    <t xml:space="preserve">Data Status</t>
  </si>
  <si>
    <t xml:space="preserve">EDRMA Even-Tone Brightening Serum (Niacinamide 5% + Alpha Arbutin 2% + Tranexamic 3%)</t>
  </si>
  <si>
    <t xml:space="preserve">LAUNCH 1 - Hero</t>
  </si>
  <si>
    <t xml:space="preserve">700,000 - 950,000</t>
  </si>
  <si>
    <t xml:space="preserve">Medium</t>
  </si>
  <si>
    <t xml:space="preserve">81% gross / 40% contrib</t>
  </si>
  <si>
    <t xml:space="preserve">Pakistan (Punjab, Sindh, KPK)</t>
  </si>
  <si>
    <t xml:space="preserve">Attacks the largest addressable demand pool in PK ('whitening serum' Trends 65) where the SERP is held by clinic listicles and affiliate blogs, not brands. Jenpharm's category-leading Maxdif is only 3% Sodium Ascorbyl Phosphate - EDRMA can beat the market leader on the published spec sheet at a lower price.</t>
  </si>
  <si>
    <t xml:space="preserve">Calculated</t>
  </si>
  <si>
    <t xml:space="preserve">EDRMA Clear+Fade Serum (Mandelic Acid 10% + Niacinamide 4%)</t>
  </si>
  <si>
    <t xml:space="preserve">LAUNCH 2 - Month 3</t>
  </si>
  <si>
    <t xml:space="preserve">450,000 - 650,000</t>
  </si>
  <si>
    <t xml:space="preserve">Medium-Low</t>
  </si>
  <si>
    <t xml:space="preserve">80% gross / 38% contrib</t>
  </si>
  <si>
    <t xml:space="preserve">Pakistan, then UAE</t>
  </si>
  <si>
    <t xml:space="preserve">'serum for acne' Trends 37 with the weakest SERP of any high-demand query (hair-care brands and single-SKU advertorials rank). Mandelic acid is the correct AHA for Fitzpatrick IV-V (low PIH risk) - solves acne AND post-acne marks in one bottle, the #1 stated unmet need.</t>
  </si>
  <si>
    <t xml:space="preserve">EDRMA Glow C Serum (Ethyl Ascorbic Acid 10% + Ferulic, heat-stable)</t>
  </si>
  <si>
    <t xml:space="preserve">LAUNCH 3 - Month 6</t>
  </si>
  <si>
    <t xml:space="preserve">500,000 - 700,000</t>
  </si>
  <si>
    <t xml:space="preserve">High</t>
  </si>
  <si>
    <t xml:space="preserve">79% gross / 42% contrib</t>
  </si>
  <si>
    <t xml:space="preserve">Pakistan + UAE</t>
  </si>
  <si>
    <t xml:space="preserve">Largest single demand term in PK (Trends 69) but the best-defended SERP and highest formulation risk. Launch only after brand trust exists, and only as a heat-stable derivative - LAA oxidation in PK ambient temperatures is a returns catastrophe under 25-35% COD RTO.</t>
  </si>
  <si>
    <t xml:space="preserve">EDRMA Barrier Calm Serum (Centella + Panthenol 5% + Zinc PCA)</t>
  </si>
  <si>
    <t xml:space="preserve">Month 9 - range filler</t>
  </si>
  <si>
    <t xml:space="preserve">300,000 - 450,000</t>
  </si>
  <si>
    <t xml:space="preserve">Very Low</t>
  </si>
  <si>
    <t xml:space="preserve">82% gross / 36% contrib</t>
  </si>
  <si>
    <t xml:space="preserve">Pakistan</t>
  </si>
  <si>
    <t xml:space="preserve">Lowest regulatory and formulation risk of any option. No competitor in the set offers a fragrance-free sensitive-skin serum. Cross-sell to every acne buyer to reduce irritation-driven churn and lift AOV.</t>
  </si>
  <si>
    <t xml:space="preserve">EDRMA Niacinamide 10% + Zinc 1%</t>
  </si>
  <si>
    <t xml:space="preserve">Bundle filler only</t>
  </si>
  <si>
    <t xml:space="preserve">250,000 - 400,000</t>
  </si>
  <si>
    <t xml:space="preserve">Very High</t>
  </si>
  <si>
    <t xml:space="preserve">81% gross / 27% contrib</t>
  </si>
  <si>
    <t xml:space="preserve">Pure commodity - Jenpharm NiaRonic 1,998, Fleure 999 for the identical spec. Do not launch standalone. Use only as the third unit in a bundle to spread PKR 637 logistics + CAC across more units.</t>
  </si>
  <si>
    <t xml:space="preserve">EDRMA Azelaic Acid 10% Suspension</t>
  </si>
  <si>
    <t xml:space="preserve">Month 12 - watch</t>
  </si>
  <si>
    <t xml:space="preserve">400,000 - 600,000</t>
  </si>
  <si>
    <t xml:space="preserve">79% gross / 46% contrib</t>
  </si>
  <si>
    <t xml:space="preserve">Genuine white space (no PK consumer brand sells it; only Healer's Pharma 15% with 8 reviews and no website) BUT Google Trends PK interest is only 5 vs 69 for vitamin C. Low competition because demand has not arrived yet. Revisit when Trends crosses ~15.</t>
  </si>
  <si>
    <t xml:space="preserve">EDRMA Alpha Arbutin 2% + HA (standalone)</t>
  </si>
  <si>
    <t xml:space="preserve">Do not launch standalone</t>
  </si>
  <si>
    <t xml:space="preserve">n/a</t>
  </si>
  <si>
    <t xml:space="preserve">80% gross</t>
  </si>
  <si>
    <t xml:space="preserve">Trends PK only 4, and the crowded set already includes The Ordinary, ChiltanPure, neue., Olim and Skin Sciences. The active is worth more inside the multi-active hero (Product 1) than as its own SKU.</t>
  </si>
  <si>
    <t xml:space="preserve">EDRMA Tranexamic Acid 5% (melasma-positioned)</t>
  </si>
  <si>
    <t xml:space="preserve">Avoid standalone</t>
  </si>
  <si>
    <t xml:space="preserve">Low</t>
  </si>
  <si>
    <t xml:space="preserve">85% gross</t>
  </si>
  <si>
    <t xml:space="preserve">Formulation is easy and margin is good, but the entire consumer proposition is melasma - a disease - making cosmetic claim discipline nearly impossible. Quasi-drug in Japan; GCC whitening scrutiny. Use TXA as a supporting active inside Product 1, never as the hero.</t>
  </si>
  <si>
    <t xml:space="preserve">EDRMA Salicylic Acid 2% BHA</t>
  </si>
  <si>
    <t xml:space="preserve">Avoid</t>
  </si>
  <si>
    <t xml:space="preserve">81% gross</t>
  </si>
  <si>
    <t xml:space="preserve">Crowded in PK (ChiltanPure, Beautenic, Olim, The Ordinary, COSRX, AccuFix). Blocked in EU/UK as leave-on above 0.5% and classified an OTC DRUG in the US under Monograph M006 - it caps international expansion permanently.</t>
  </si>
  <si>
    <t xml:space="preserve">EDRMA Vitamin C LAA 15% + Ferulic</t>
  </si>
  <si>
    <t xml:space="preserve">Do not pursue</t>
  </si>
  <si>
    <t xml:space="preserve">73% gross</t>
  </si>
  <si>
    <t xml:space="preserve">Highest batch-failure and highest complaint rate of any option. Browns within ~2 months at PK ambient temperature; requires airless packaging and nitrogen purge. Colour change plus 25-35% COD RTO equals an unrecoverable returns problem for a first-time brand.</t>
  </si>
  <si>
    <t xml:space="preserve">THE ANSWER IN ONE LINE</t>
  </si>
  <si>
    <t xml:space="preserve">LAUNCH FIRST: EDRMA Even-Tone Brightening Serum — Niacinamide 5% + Alpha Arbutin 2% + Tranexamic Acid 3%, 30ml, PKR 1,790.</t>
  </si>
  <si>
    <t xml:space="preserve">WHY: Three independent pieces of evidence point to the same product.</t>
  </si>
  <si>
    <t xml:space="preserve">  1. DEMAND — 'whitening serum' scores 65 on Google Trends Pakistan (12-mo avg) vs 37 for 'serum for acne' and 14 for 'best serum for face'. Brightening is the largest problem pool in the market.</t>
  </si>
  <si>
    <t xml:space="preserve">  2. WEAK DEFENCE — the brightening SERP is held by salon listicles, clinic blogs and cashback affiliates, not by brands. Every high-demand brightening query scored HIGH ranking opportunity for a new domain.</t>
  </si>
  <si>
    <t xml:space="preserve">  3. A BEATABLE LEADER — Jenpharm's Maxdif is Pakistan's #1 brightening serum at PKR 1,998, and its vitamin C is only 3% Sodium Ascorbyl Phosphate. EDRMA can out-spec the category leader on its own published numbers, at a lower price.</t>
  </si>
  <si>
    <t xml:space="preserve">THE SINGLE BIGGEST STRATEGIC FINDING: 'jenpharm' scores ~71 on Google Trends PK and is at an ALL-TIME HIGH — roughly 9x the keyword 'whitening serum'.</t>
  </si>
  <si>
    <t xml:space="preserve">Jenpharm did not win generic keywords. It built proprietary sub-brands (Maxdif, MandelAC, NiaRonic) that became independent search entities with zero competition.</t>
  </si>
  <si>
    <t xml:space="preserve">EDRMA should copy the STRUCTURE, not the products: name the serums, not the ingredients.</t>
  </si>
  <si>
    <t xml:space="preserve">THE ECONOMICS THAT DECIDE EVERYTHING: at 25% COD return-to-origin, PKR 637 of logistics loads onto every DELIVERED order — more than twice the product cost of a simple serum.</t>
  </si>
  <si>
    <t xml:space="preserve">A single unit at PKR 1,290 nets MINUS 319 once CAC is paid. A 3-unit bundle at the same unit price nets PLUS 1,518. SELL BUNDLES, NOT UNITS.</t>
  </si>
  <si>
    <t xml:space="preserve">DO NOT: launch a plain vitamin C or a plain 10% niacinamide (both commoditised, Fleuré sells the identical niacinamide spec at PKR 999); enter the PKR 999 tier; use L-ascorbic acid; say 'whitening' or 'fairness' on pack; make any acne 'treatment' claim.</t>
  </si>
  <si>
    <t xml:space="preserve">Product Opportunity Ranking — scored on the 100-point model (see sheet 11)</t>
  </si>
  <si>
    <t xml:space="preserve">Product Name</t>
  </si>
  <si>
    <t xml:space="preserve">Product Type</t>
  </si>
  <si>
    <t xml:space="preserve">Primary Problem</t>
  </si>
  <si>
    <t xml:space="preserve">Secondary Problem</t>
  </si>
  <si>
    <t xml:space="preserve">Target Customer</t>
  </si>
  <si>
    <t xml:space="preserve">Key Ingredients</t>
  </si>
  <si>
    <t xml:space="preserve">Search Demand</t>
  </si>
  <si>
    <t xml:space="preserve">Competition</t>
  </si>
  <si>
    <t xml:space="preserve">Buyer Intent</t>
  </si>
  <si>
    <t xml:space="preserve">Est. Selling Price (PKR)</t>
  </si>
  <si>
    <t xml:space="preserve">Est. Product Cost (PKR)</t>
  </si>
  <si>
    <t xml:space="preserve">Est. Gross Profit (PKR)</t>
  </si>
  <si>
    <t xml:space="preserve">Est. Gross Margin %</t>
  </si>
  <si>
    <t xml:space="preserve">Repeat Purchase /10</t>
  </si>
  <si>
    <t xml:space="preserve">Differentiation /10</t>
  </si>
  <si>
    <t xml:space="preserve">Manufacturing Difficulty</t>
  </si>
  <si>
    <t xml:space="preserve">Regulatory Risk</t>
  </si>
  <si>
    <t xml:space="preserve">Social Media Potential</t>
  </si>
  <si>
    <t xml:space="preserve">SEO Opportunity</t>
  </si>
  <si>
    <t xml:space="preserve">Overall Opportunity Score /100</t>
  </si>
  <si>
    <t xml:space="preserve">Recommendation</t>
  </si>
  <si>
    <t xml:space="preserve">Even-Tone Brightening Serum</t>
  </si>
  <si>
    <t xml:space="preserve">Brightening serum</t>
  </si>
  <si>
    <t xml:space="preserve">Hyperpigmentation / uneven tone</t>
  </si>
  <si>
    <t xml:space="preserve">Post-acne dark marks (PIH)</t>
  </si>
  <si>
    <t xml:space="preserve">Women 20-38, urban PK, Fitzpatrick IV-V, income PKR 60k-200k/mo</t>
  </si>
  <si>
    <t xml:space="preserve">Niacinamide 5%, Alpha Arbutin 2%, Tranexamic Acid 3%, Panthenol, HA</t>
  </si>
  <si>
    <t xml:space="preserve">High (Trends 65 'whitening serum')</t>
  </si>
  <si>
    <t xml:space="preserve">LAUNCH FIRST - hero product</t>
  </si>
  <si>
    <t xml:space="preserve">Clear+Fade Acne &amp; Marks Serum</t>
  </si>
  <si>
    <t xml:space="preserve">Acne serum</t>
  </si>
  <si>
    <t xml:space="preserve">Active acne / breakouts</t>
  </si>
  <si>
    <t xml:space="preserve">Post-acne marks + texture</t>
  </si>
  <si>
    <t xml:space="preserve">Men &amp; women 16-28, oily/combination skin, students and early-career</t>
  </si>
  <si>
    <t xml:space="preserve">Mandelic Acid 10%, Niacinamide 4%, Zinc PCA 1%, Centella</t>
  </si>
  <si>
    <t xml:space="preserve">High (Trends 37 'serum for acne')</t>
  </si>
  <si>
    <t xml:space="preserve">Low-Medium</t>
  </si>
  <si>
    <t xml:space="preserve">LAUNCH SECOND - month 3</t>
  </si>
  <si>
    <t xml:space="preserve">Glow C Heat-Stable Vitamin C</t>
  </si>
  <si>
    <t xml:space="preserve">Dullness / lack of radiance</t>
  </si>
  <si>
    <t xml:space="preserve">Uneven tone, antioxidant defence</t>
  </si>
  <si>
    <t xml:space="preserve">Women 22-40, routine-aware, already buying vitamin C</t>
  </si>
  <si>
    <t xml:space="preserve">3-O-Ethyl Ascorbic Acid 10%, Ferulic Acid, Tocopherol, HA</t>
  </si>
  <si>
    <t xml:space="preserve">Very High (Trends 69 - largest single term)</t>
  </si>
  <si>
    <t xml:space="preserve">Medium-High</t>
  </si>
  <si>
    <t xml:space="preserve">LAUNCH THIRD - month 6, derivative only</t>
  </si>
  <si>
    <t xml:space="preserve">Barrier Calm Serum</t>
  </si>
  <si>
    <t xml:space="preserve">Soothing / barrier serum</t>
  </si>
  <si>
    <t xml:space="preserve">Irritation, redness, sensitised skin</t>
  </si>
  <si>
    <t xml:space="preserve">Post-acne redness (PIE)</t>
  </si>
  <si>
    <t xml:space="preserve">Acne sufferers mid-treatment; sensitive skin; post-procedure</t>
  </si>
  <si>
    <t xml:space="preserve">Centella Asiatica 2%, Panthenol 5%, Zinc PCA 0.5%, Ceramide NP</t>
  </si>
  <si>
    <t xml:space="preserve">Low-Medium (no strong PK head term)</t>
  </si>
  <si>
    <t xml:space="preserve">Month 9 - cross-sell and churn reducer</t>
  </si>
  <si>
    <t xml:space="preserve">Niacinamide 10% + Zinc 1%</t>
  </si>
  <si>
    <t xml:space="preserve">Oil control serum</t>
  </si>
  <si>
    <t xml:space="preserve">Oiliness / enlarged-looking pores</t>
  </si>
  <si>
    <t xml:space="preserve">Blemishes</t>
  </si>
  <si>
    <t xml:space="preserve">Price-sensitive first-time serum buyers</t>
  </si>
  <si>
    <t xml:space="preserve">Niacinamide 10%, Zinc PCA 1%, HA</t>
  </si>
  <si>
    <t xml:space="preserve">High (Trends 44)</t>
  </si>
  <si>
    <t xml:space="preserve">BUNDLE ONLY - do not launch standalone</t>
  </si>
  <si>
    <t xml:space="preserve">Azelaic Acid 10% Suspension</t>
  </si>
  <si>
    <t xml:space="preserve">Dual acne+brightening</t>
  </si>
  <si>
    <t xml:space="preserve">Acne + redness</t>
  </si>
  <si>
    <t xml:space="preserve">Pigmentation, PIH</t>
  </si>
  <si>
    <t xml:space="preserve">Informed skincare buyers; pregnancy-safe segment</t>
  </si>
  <si>
    <t xml:space="preserve">Azelaic Acid 10%, Squalane, Dimethicone suspension base</t>
  </si>
  <si>
    <t xml:space="preserve">Very Low (Trends 5)</t>
  </si>
  <si>
    <t xml:space="preserve">High (needs homogeniser)</t>
  </si>
  <si>
    <t xml:space="preserve">WATCH - revisit when Trends &gt; 15</t>
  </si>
  <si>
    <t xml:space="preserve">Alpha Arbutin 2% + HA</t>
  </si>
  <si>
    <t xml:space="preserve">Dark spots</t>
  </si>
  <si>
    <t xml:space="preserve">Uneven tone</t>
  </si>
  <si>
    <t xml:space="preserve">Same buyer as Product 1 but lower basket</t>
  </si>
  <si>
    <t xml:space="preserve">Alpha Arbutin 2%, Sodium Hyaluronate</t>
  </si>
  <si>
    <t xml:space="preserve">Very Low (Trends 4)</t>
  </si>
  <si>
    <t xml:space="preserve">Medium (2% is the SCCS ceiling)</t>
  </si>
  <si>
    <t xml:space="preserve">AVOID standalone - fold into Product 1</t>
  </si>
  <si>
    <t xml:space="preserve">Tranexamic Acid 5%</t>
  </si>
  <si>
    <t xml:space="preserve">Pigmentation serum</t>
  </si>
  <si>
    <t xml:space="preserve">Melasma</t>
  </si>
  <si>
    <t xml:space="preserve">Stubborn pigmentation</t>
  </si>
  <si>
    <t xml:space="preserve">Women 28-45 with melasma</t>
  </si>
  <si>
    <t xml:space="preserve">Tranexamic Acid 5%, Niacinamide, HA</t>
  </si>
  <si>
    <t xml:space="preserve">HIGH (disease claim trap)</t>
  </si>
  <si>
    <t xml:space="preserve">AVOID standalone - supporting active only</t>
  </si>
  <si>
    <t xml:space="preserve">Salicylic Acid 2% BHA</t>
  </si>
  <si>
    <t xml:space="preserve">Blackheads / congestion</t>
  </si>
  <si>
    <t xml:space="preserve">Oiliness</t>
  </si>
  <si>
    <t xml:space="preserve">Teen and young-adult acne</t>
  </si>
  <si>
    <t xml:space="preserve">Salicylic Acid 2%, Zinc, Panthenol</t>
  </si>
  <si>
    <t xml:space="preserve">Medium (Trends 11)</t>
  </si>
  <si>
    <t xml:space="preserve">Medium (tight pH 3.2-3.5)</t>
  </si>
  <si>
    <t xml:space="preserve">HIGH (EU 0.5% cap, US drug)</t>
  </si>
  <si>
    <t xml:space="preserve">AVOID - caps export permanently</t>
  </si>
  <si>
    <t xml:space="preserve">Vitamin C LAA 15% + Ferulic</t>
  </si>
  <si>
    <t xml:space="preserve">Dullness</t>
  </si>
  <si>
    <t xml:space="preserve">Pigmentation</t>
  </si>
  <si>
    <t xml:space="preserve">Advanced users</t>
  </si>
  <si>
    <t xml:space="preserve">L-Ascorbic Acid 15%, Ferulic Acid, Vitamin E</t>
  </si>
  <si>
    <t xml:space="preserve">Very High (N2 purge, airless)</t>
  </si>
  <si>
    <t xml:space="preserve">Low regulatory / VERY HIGH formulation</t>
  </si>
  <si>
    <t xml:space="preserve">DO NOT PURSUE - oxidation + COD returns</t>
  </si>
  <si>
    <t xml:space="preserve">Kojic Acid Serum</t>
  </si>
  <si>
    <t xml:space="preserve">Mass whitening buyer</t>
  </si>
  <si>
    <t xml:space="preserve">Kojic Dipalmitate, Niacinamide</t>
  </si>
  <si>
    <t xml:space="preserve">Medium (browning)</t>
  </si>
  <si>
    <t xml:space="preserve">Medium (whitening association)</t>
  </si>
  <si>
    <t xml:space="preserve">AVOID - stability + brand-positioning conflict</t>
  </si>
  <si>
    <t xml:space="preserve">Encapsulated Retinal 0.05%</t>
  </si>
  <si>
    <t xml:space="preserve">Anti-aging / acne</t>
  </si>
  <si>
    <t xml:space="preserve">Texture, fine lines</t>
  </si>
  <si>
    <t xml:space="preserve">Acne, marks</t>
  </si>
  <si>
    <t xml:space="preserve">Women 30+</t>
  </si>
  <si>
    <t xml:space="preserve">Retinal 0.05% encapsulated, Squalane, Panthenol</t>
  </si>
  <si>
    <t xml:space="preserve">Medium (irritation -&gt; PIH on IV-V)</t>
  </si>
  <si>
    <t xml:space="preserve">DEFER to year 2</t>
  </si>
  <si>
    <t xml:space="preserve">Selling price = Estimated (target, GST-inclusive). Product cost = Estimated bottom-up landed cost at 2,500 units incl. testing amortisation. Gross profit and margin = Calculated by formula.</t>
  </si>
  <si>
    <t xml:space="preserve">Gross margin is BEFORE logistics. At 25% COD RTO, deduct PKR 637 per delivered order and PKR 350-900 CAC. See sheet 11 for the full contribution model.</t>
  </si>
  <si>
    <t xml:space="preserve">Keyword Universe — demand from Google Trends Pakistan; SERP verdicts from manual inspection</t>
  </si>
  <si>
    <t xml:space="preserve">Keyword</t>
  </si>
  <si>
    <t xml:space="preserve">Country</t>
  </si>
  <si>
    <t xml:space="preserve">Demand Signal</t>
  </si>
  <si>
    <t xml:space="preserve">Difficulty</t>
  </si>
  <si>
    <t xml:space="preserve">CPC</t>
  </si>
  <si>
    <t xml:space="preserve">Search Intent</t>
  </si>
  <si>
    <t xml:space="preserve">Commercial Intent</t>
  </si>
  <si>
    <t xml:space="preserve">Product / Informational</t>
  </si>
  <si>
    <t xml:space="preserve">SERP Competition</t>
  </si>
  <si>
    <t xml:space="preserve">Top Competitor</t>
  </si>
  <si>
    <t xml:space="preserve">Ranking Opportunity</t>
  </si>
  <si>
    <t xml:space="preserve">Recommended URL</t>
  </si>
  <si>
    <t xml:space="preserve">EDRMA Page or Domain</t>
  </si>
  <si>
    <t xml:space="preserve">Priority</t>
  </si>
  <si>
    <t xml:space="preserve">Notes</t>
  </si>
  <si>
    <t xml:space="preserve">whitening serum</t>
  </si>
  <si>
    <t xml:space="preserve">PK</t>
  </si>
  <si>
    <t xml:space="preserve">Trends 65 (12-mo avg)</t>
  </si>
  <si>
    <t xml:space="preserve">Transactional</t>
  </si>
  <si>
    <t xml:space="preserve">Product</t>
  </si>
  <si>
    <t xml:space="preserve">Clinic listicles + affiliate blogs</t>
  </si>
  <si>
    <t xml:space="preserve">oneskinofficial.com / asraderm.pk</t>
  </si>
  <si>
    <t xml:space="preserve">HIGH</t>
  </si>
  <si>
    <t xml:space="preserve">edrma.com/brightening-serums/</t>
  </si>
  <si>
    <t xml:space="preserve">EDRMA collection</t>
  </si>
  <si>
    <t xml:space="preserve">P1</t>
  </si>
  <si>
    <t xml:space="preserve">Highest-demand problem term in PK. Use 'whitening' in title tag/meta only; say 'brightening' on pack and in brand voice.</t>
  </si>
  <si>
    <t xml:space="preserve">Verified</t>
  </si>
  <si>
    <t xml:space="preserve">best whitening serum in pakistan</t>
  </si>
  <si>
    <t xml:space="preserve">Trends 65 cluster</t>
  </si>
  <si>
    <t xml:space="preserve">Commercial Investigation</t>
  </si>
  <si>
    <t xml:space="preserve">Comparison</t>
  </si>
  <si>
    <t xml:space="preserve">lafemeia.com, skinspecialist.com.pk (salon/clinic listicles)</t>
  </si>
  <si>
    <t xml:space="preserve">thelabon.com</t>
  </si>
  <si>
    <t xml:space="preserve">edrma.com/guides/best-brightening-serum-pakistan/</t>
  </si>
  <si>
    <t xml:space="preserve">EDRMA guide</t>
  </si>
  <si>
    <t xml:space="preserve">Top slots are salon and clinic blogs with commercial bias - beatable with a real comparison table incl. competitors.</t>
  </si>
  <si>
    <t xml:space="preserve">vitamin c serum</t>
  </si>
  <si>
    <t xml:space="preserve">Trends 69 (largest single term)</t>
  </si>
  <si>
    <t xml:space="preserve">skinfactor.pk, sachetcare.com brand blogs (strong)</t>
  </si>
  <si>
    <t xml:space="preserve">skinfactor.pk</t>
  </si>
  <si>
    <t xml:space="preserve">LOW</t>
  </si>
  <si>
    <t xml:space="preserve">edrma.com/vitamin-c-serum/</t>
  </si>
  <si>
    <t xml:space="preserve">EDRMA product</t>
  </si>
  <si>
    <t xml:space="preserve">P3</t>
  </si>
  <si>
    <t xml:space="preserve">Biggest demand, best-defended SERP. Do not lead with it. Trending DOWN: 80s in Nov-25 to 60s now.</t>
  </si>
  <si>
    <t xml:space="preserve">best vitamin c serum in pakistan</t>
  </si>
  <si>
    <t xml:space="preserve">skinfactor.pk blog (covers pH, LAA vs derivatives)</t>
  </si>
  <si>
    <t xml:space="preserve">edrma.com/guides/vitamin-c-serum-pakistan/</t>
  </si>
  <si>
    <t xml:space="preserve">Incumbent blog content is genuinely good. Skip until domain authority exists.</t>
  </si>
  <si>
    <t xml:space="preserve">niacinamide serum</t>
  </si>
  <si>
    <t xml:space="preserve">Trends 44</t>
  </si>
  <si>
    <t xml:space="preserve">8+ local D2C brands hold PDPs</t>
  </si>
  <si>
    <t xml:space="preserve">chiltanpure.com</t>
  </si>
  <si>
    <t xml:space="preserve">MEDIUM</t>
  </si>
  <si>
    <t xml:space="preserve">edrma.com/niacinamide-serum/</t>
  </si>
  <si>
    <t xml:space="preserve">P2</t>
  </si>
  <si>
    <t xml:space="preserve">PDP-dominated. Win on content depth, not on the product page.</t>
  </si>
  <si>
    <t xml:space="preserve">niacinamide serum price in pakistan</t>
  </si>
  <si>
    <t xml:space="preserve">Live SERP confirmed</t>
  </si>
  <si>
    <t xml:space="preserve">Daraz tag page + slug-stuffed PDPs</t>
  </si>
  <si>
    <t xml:space="preserve">daraz.pk / theadurabeauty.com</t>
  </si>
  <si>
    <t xml:space="preserve">edrma.com/guides/serum-prices-pakistan/</t>
  </si>
  <si>
    <t xml:space="preserve">Daraz auto-generated tag page is beatable with a transparent price + price-per-ml comparison page.</t>
  </si>
  <si>
    <t xml:space="preserve">serum for acne</t>
  </si>
  <si>
    <t xml:space="preserve">Trends 37</t>
  </si>
  <si>
    <t xml:space="preserve">Hair-care brands and single-SKU advertorials</t>
  </si>
  <si>
    <t xml:space="preserve">thehairpantry.com / dermagin.com</t>
  </si>
  <si>
    <t xml:space="preserve">edrma.com/acne-serums/</t>
  </si>
  <si>
    <t xml:space="preserve">Weakest-quality SERP of any high-demand query. Off-category domains ranking = topical authority unclaimed.</t>
  </si>
  <si>
    <t xml:space="preserve">best serum for acne in pakistan</t>
  </si>
  <si>
    <t xml:space="preserve">Trends 37 cluster</t>
  </si>
  <si>
    <t xml:space="preserve">Single-product advertorials, no comparison content</t>
  </si>
  <si>
    <t xml:space="preserve">dermagin.com, aennys.com</t>
  </si>
  <si>
    <t xml:space="preserve">edrma.com/guides/best-acne-serum-pakistan/</t>
  </si>
  <si>
    <t xml:space="preserve">Build the concentration-by-concentration comparison nobody has published.</t>
  </si>
  <si>
    <t xml:space="preserve">serum for acne marks</t>
  </si>
  <si>
    <t xml:space="preserve">Problem/Solution</t>
  </si>
  <si>
    <t xml:space="preserve">Two HAIR-CARE brands rank for a face query</t>
  </si>
  <si>
    <t xml:space="preserve">thehairpantry.com, hairenergyofficial.com</t>
  </si>
  <si>
    <t xml:space="preserve">edrma.com/guides/acne-marks-vs-acne-scars/</t>
  </si>
  <si>
    <t xml:space="preserve">Strongest weakness signal found. Maps directly to the Clear+Fade hero benefit.</t>
  </si>
  <si>
    <t xml:space="preserve">serum for dark spots</t>
  </si>
  <si>
    <t xml:space="preserve">Trends 2 (exact) but feeds pigmentation cluster</t>
  </si>
  <si>
    <t xml:space="preserve">Self-promoting advertorial that disparages rivals</t>
  </si>
  <si>
    <t xml:space="preserve">hymeys.com</t>
  </si>
  <si>
    <t xml:space="preserve">edrma.com/dark-spot-serums/</t>
  </si>
  <si>
    <t xml:space="preserve">No neutral comparison guide exists in PK.</t>
  </si>
  <si>
    <t xml:space="preserve">serum for pigmentation</t>
  </si>
  <si>
    <t xml:space="preserve">Trends 1 (exact)</t>
  </si>
  <si>
    <t xml:space="preserve">Informational</t>
  </si>
  <si>
    <t xml:space="preserve">Trego ranks an 'Anti-Freckles Serum' - keyword/product mismatch</t>
  </si>
  <si>
    <t xml:space="preserve">trego.pk</t>
  </si>
  <si>
    <t xml:space="preserve">edrma.com/concerns/hyperpigmentation/</t>
  </si>
  <si>
    <t xml:space="preserve">EDRMA concern hub</t>
  </si>
  <si>
    <t xml:space="preserve">Semantic hub for melasma + PIH + sun spots + freckles. Low exact volume, high cluster value.</t>
  </si>
  <si>
    <t xml:space="preserve">best serum for oily skin</t>
  </si>
  <si>
    <t xml:space="preserve">Cashback affiliate + a blog with a phone number in the title tag</t>
  </si>
  <si>
    <t xml:space="preserve">savyour.com, darazserum.com</t>
  </si>
  <si>
    <t xml:space="preserve">edrma.com/guides/best-serum-oily-skin-pakistan/</t>
  </si>
  <si>
    <t xml:space="preserve">Lowest average content quality of any SERP reviewed. Easiest displacement on the list.</t>
  </si>
  <si>
    <t xml:space="preserve">salicylic acid serum</t>
  </si>
  <si>
    <t xml:space="preserve">Trends 11</t>
  </si>
  <si>
    <t xml:space="preserve">Ingredient Research</t>
  </si>
  <si>
    <t xml:space="preserve">PDPs only, ~100%</t>
  </si>
  <si>
    <t xml:space="preserve">skinfactor.pk, olim.pk</t>
  </si>
  <si>
    <t xml:space="preserve">HIGH (informational) / MEDIUM (commercial)</t>
  </si>
  <si>
    <t xml:space="preserve">edrma.com/ingredients/salicylic-acid/</t>
  </si>
  <si>
    <t xml:space="preserve">EDRMA ingredient page</t>
  </si>
  <si>
    <t xml:space="preserve">Nobody explains 1.5% vs 2%. Informational layer entirely empty even though commercial slots are crowded.</t>
  </si>
  <si>
    <t xml:space="preserve">mandelic acid serum</t>
  </si>
  <si>
    <t xml:space="preserve">Low but rising</t>
  </si>
  <si>
    <t xml:space="preserve">Pharmacy listing pages reselling Jenpharm MandelAC</t>
  </si>
  <si>
    <t xml:space="preserve">drugsbank.pk, derma.pk</t>
  </si>
  <si>
    <t xml:space="preserve">edrma.com/ingredients/mandelic-acid/</t>
  </si>
  <si>
    <t xml:space="preserve">Generic mandelic education unowned. Core to the Clear+Fade story - the right AHA for brown skin.</t>
  </si>
  <si>
    <t xml:space="preserve">azelaic acid serum</t>
  </si>
  <si>
    <t xml:space="preserve">Trends 5</t>
  </si>
  <si>
    <t xml:space="preserve">Import resellers (Nine Less, Anua) + one listicle</t>
  </si>
  <si>
    <t xml:space="preserve">theskinpath.pk, derma.pk</t>
  </si>
  <si>
    <t xml:space="preserve">edrma.com/ingredients/azelaic-acid/</t>
  </si>
  <si>
    <t xml:space="preserve">Zero PK-formulated authority - but demand has not arrived. Content now, product later.</t>
  </si>
  <si>
    <t xml:space="preserve">tranexamic acid serum</t>
  </si>
  <si>
    <t xml:space="preserve">Templated advertorial + import PDPs</t>
  </si>
  <si>
    <t xml:space="preserve">hymeys.com, derma.pk</t>
  </si>
  <si>
    <t xml:space="preserve">edrma.com/ingredients/tranexamic-acid/</t>
  </si>
  <si>
    <t xml:space="preserve">Emerging melasma active, near-zero local authority. Supports Product 1's spec story.</t>
  </si>
  <si>
    <t xml:space="preserve">alpha arbutin serum</t>
  </si>
  <si>
    <t xml:space="preserve">Trends 4</t>
  </si>
  <si>
    <t xml:space="preserve">TWO separate The Ordinary grey-market reseller domains</t>
  </si>
  <si>
    <t xml:space="preserve">theordinary.pk, ordinary.pk</t>
  </si>
  <si>
    <t xml:space="preserve">edrma.com/ingredients/alpha-arbutin/</t>
  </si>
  <si>
    <t xml:space="preserve">Include a counterfeit-spotting section - grey-market duplication is the SERP's defining feature.</t>
  </si>
  <si>
    <t xml:space="preserve">kojic acid serum</t>
  </si>
  <si>
    <t xml:space="preserve">Chinese imports (BIOAQUA/GUANJING) + thin PDPs</t>
  </si>
  <si>
    <t xml:space="preserve">chiltanpure.com, bioaqua.com.pk</t>
  </si>
  <si>
    <t xml:space="preserve">edrma.com/ingredients/kojic-acid/</t>
  </si>
  <si>
    <t xml:space="preserve">Content only. Culturally loaded with 'whitening' - answer the question, do not sell the product.</t>
  </si>
  <si>
    <t xml:space="preserve">melasma treatment pakistan</t>
  </si>
  <si>
    <t xml:space="preserve">High (clinic intent)</t>
  </si>
  <si>
    <t xml:space="preserve">9 of 10 results are laser clinics</t>
  </si>
  <si>
    <t xml:space="preserve">royalcosmeticsurgery.com.pk</t>
  </si>
  <si>
    <t xml:space="preserve">LOW for procedure / HIGH for product</t>
  </si>
  <si>
    <t xml:space="preserve">edrma.com/guides/melasma-at-home-pakistan/</t>
  </si>
  <si>
    <t xml:space="preserve">Clinics own 'treatment'. Nobody owns 'what to do at home before you book a laser'.</t>
  </si>
  <si>
    <t xml:space="preserve">best serum for glowing skin</t>
  </si>
  <si>
    <t xml:space="preserve">Trends 14 ('best serum for face')</t>
  </si>
  <si>
    <t xml:space="preserve">Several 2026-dated structured brand guides</t>
  </si>
  <si>
    <t xml:space="preserve">skinfactor.pk, bnbderma.com</t>
  </si>
  <si>
    <t xml:space="preserve">edrma.com/guides/glowing-skin-pakistan/</t>
  </si>
  <si>
    <t xml:space="preserve">Vague intent, moderate defence, hard to convert.</t>
  </si>
  <si>
    <t xml:space="preserve">acne serum price in pakistan</t>
  </si>
  <si>
    <t xml:space="preserve">Keyword-as-URL doorway category pages</t>
  </si>
  <si>
    <t xml:space="preserve">midhat.pk, pakistan-cosmetics.com</t>
  </si>
  <si>
    <t xml:space="preserve">Trivially beatable but price-anchoring - it attracts the sub-PKR-1,000 shopper. Frame as value-per-ml.</t>
  </si>
  <si>
    <t xml:space="preserve">jenpharm maxdif vs niaronic</t>
  </si>
  <si>
    <t xml:space="preserve">Brand-demand pool (Trends 71, all-time high)</t>
  </si>
  <si>
    <t xml:space="preserve">Product Comparison</t>
  </si>
  <si>
    <t xml:space="preserve">Exists only on TikTok/YouTube - NO indexed article</t>
  </si>
  <si>
    <t xml:space="preserve">none</t>
  </si>
  <si>
    <t xml:space="preserve">VERY HIGH</t>
  </si>
  <si>
    <t xml:space="preserve">edrma.com/guides/jenpharm-maxdif-vs-niaronic/</t>
  </si>
  <si>
    <t xml:space="preserve">Single best content opportunity found. Biggest brand-demand pool in PK with zero indexed competition.</t>
  </si>
  <si>
    <t xml:space="preserve">the ordinary niacinamide alternative in pakistan</t>
  </si>
  <si>
    <t xml:space="preserve">Generic dupe pages, no PK-localised answer</t>
  </si>
  <si>
    <t xml:space="preserve">none PK-specific</t>
  </si>
  <si>
    <t xml:space="preserve">edrma.com/guides/the-ordinary-alternatives-pakistan/</t>
  </si>
  <si>
    <t xml:space="preserve">Counterfeit anxiety around The Ordinary in PK is documented - own the trusted-alternative answer.</t>
  </si>
  <si>
    <t xml:space="preserve">mandelic acid vs salicylic acid</t>
  </si>
  <si>
    <t xml:space="preserve">Jenpharm already ranks a post here</t>
  </si>
  <si>
    <t xml:space="preserve">jenpharm.com</t>
  </si>
  <si>
    <t xml:space="preserve">edrma.com/guides/mandelic-vs-salicylic-acid/</t>
  </si>
  <si>
    <t xml:space="preserve">Direct competitor asset. Beat it with brown-skin PIH data Jenpharm omits.</t>
  </si>
  <si>
    <t xml:space="preserve">serum kya hota hai</t>
  </si>
  <si>
    <t xml:space="preserve">Roman Urdu - confirmed ranking pages exist</t>
  </si>
  <si>
    <t xml:space="preserve">urdupoint.com (2010s-era, ad-heavy magazine article)</t>
  </si>
  <si>
    <t xml:space="preserve">urdupoint.com</t>
  </si>
  <si>
    <t xml:space="preserve">edrma.com/ur/serum-kya-hota-hai/</t>
  </si>
  <si>
    <t xml:space="preserve">EDRMA Urdu hub</t>
  </si>
  <si>
    <t xml:space="preserve">NO modern D2C brand publishes Roman-Urdu ingredient education. Entirely uncontested surface.</t>
  </si>
  <si>
    <t xml:space="preserve">chehre ke daag dhabbe kaise mitaye</t>
  </si>
  <si>
    <t xml:space="preserve">Roman Urdu - live ranking page exists</t>
  </si>
  <si>
    <t xml:space="preserve">General content sites</t>
  </si>
  <si>
    <t xml:space="preserve">urdutotke.com</t>
  </si>
  <si>
    <t xml:space="preserve">edrma.com/ur/daag-dhabbe/</t>
  </si>
  <si>
    <t xml:space="preserve">Maps to the brightening hero in the customer's own language.</t>
  </si>
  <si>
    <t xml:space="preserve">how to spot fake serum in pakistan</t>
  </si>
  <si>
    <t xml:space="preserve">No dedicated page exists on the SERP</t>
  </si>
  <si>
    <t xml:space="preserve">Only implied inside a supply-chain section</t>
  </si>
  <si>
    <t xml:space="preserve">edrma.com/guides/spot-fake-skincare-pakistan/</t>
  </si>
  <si>
    <t xml:space="preserve">Counterfeiting is the #1 documented PK trust problem (Daraz sits at 2.1-2.5/5). Trust content = conversion content.</t>
  </si>
  <si>
    <t xml:space="preserve">brightening serum</t>
  </si>
  <si>
    <t xml:space="preserve">UAE</t>
  </si>
  <si>
    <t xml:space="preserve">Commercially mainstream</t>
  </si>
  <si>
    <t xml:space="preserve">Watsons.ae runs a /brightening-serums collection</t>
  </si>
  <si>
    <t xml:space="preserve">watsons.ae</t>
  </si>
  <si>
    <t xml:space="preserve">edrma.com/ae/brightening-serums/</t>
  </si>
  <si>
    <t xml:space="preserve">EDRMA AE collection</t>
  </si>
  <si>
    <t xml:space="preserve">UAE is the closest analogue to PK - both 'whitening' and 'brightening' used openly.</t>
  </si>
  <si>
    <t xml:space="preserve">skin whitening serum</t>
  </si>
  <si>
    <t xml:space="preserve">SA</t>
  </si>
  <si>
    <t xml:space="preserve">Mainstream</t>
  </si>
  <si>
    <t xml:space="preserve">Regional retailers</t>
  </si>
  <si>
    <t xml:space="preserve">edrma.com/sa/</t>
  </si>
  <si>
    <t xml:space="preserve">EDRMA SA collection</t>
  </si>
  <si>
    <t xml:space="preserve">P4</t>
  </si>
  <si>
    <t xml:space="preserve">Whitening language fully mainstream; less ingredient-literate SERP than UAE.</t>
  </si>
  <si>
    <t xml:space="preserve">UK</t>
  </si>
  <si>
    <t xml:space="preserve">Very large</t>
  </si>
  <si>
    <t xml:space="preserve">Forbes, INKEY List, tested listicles</t>
  </si>
  <si>
    <t xml:space="preserve">forbes.com</t>
  </si>
  <si>
    <t xml:space="preserve">edrma.com/uk/niacinamide-serum/</t>
  </si>
  <si>
    <t xml:space="preserve">EDRMA UK product</t>
  </si>
  <si>
    <t xml:space="preserve">P5</t>
  </si>
  <si>
    <t xml:space="preserve">NEVER use 'whitening' for UK. Trading Standards ran an active Feb-2026 campaign against illegal lightening products.</t>
  </si>
  <si>
    <t xml:space="preserve">serum for hyperpigmentation</t>
  </si>
  <si>
    <t xml:space="preserve">US</t>
  </si>
  <si>
    <t xml:space="preserve">Large</t>
  </si>
  <si>
    <t xml:space="preserve">Editorial and derm-review publishers, not brands</t>
  </si>
  <si>
    <t xml:space="preserve">forbes.com, dermapproved.com</t>
  </si>
  <si>
    <t xml:space="preserve">edrma.com/us/hyperpigmentation-serum/</t>
  </si>
  <si>
    <t xml:space="preserve">EDRMA US product</t>
  </si>
  <si>
    <t xml:space="preserve">US SERP is publisher-dominated - the opposite of PK. Organic entry materially harder.</t>
  </si>
  <si>
    <t xml:space="preserve">NO ABSOLUTE SEARCH VOLUMES. Semrush API units were exhausted mid-research. 'Demand Signal' is Google Trends Pakistan relative interest (0-100), read directly in-browser, 12-month window ending Aug 2026.</t>
  </si>
  <si>
    <t xml:space="preserve">CPC unavailable for the same reason. Trends measures RELATIVE popularity between the compared terms only — a 65 and a 4 are comparable to each other, not to another chart.</t>
  </si>
  <si>
    <t xml:space="preserve">Competitor Intelligence — 20 brands and retailers active in the Pakistani serum market</t>
  </si>
  <si>
    <t xml:space="preserve">Competitor</t>
  </si>
  <si>
    <t xml:space="preserve">Website</t>
  </si>
  <si>
    <t xml:space="preserve">Flagship Serum</t>
  </si>
  <si>
    <t xml:space="preserve">Category</t>
  </si>
  <si>
    <t xml:space="preserve">Price (PKR)</t>
  </si>
  <si>
    <t xml:space="preserve">Size (ml)</t>
  </si>
  <si>
    <t xml:space="preserve">PKR / ml</t>
  </si>
  <si>
    <t xml:space="preserve">Target Problem</t>
  </si>
  <si>
    <t xml:space="preserve">Target Audience</t>
  </si>
  <si>
    <t xml:space="preserve">Reviews</t>
  </si>
  <si>
    <t xml:space="preserve">Rating</t>
  </si>
  <si>
    <t xml:space="preserve">Organic Strength</t>
  </si>
  <si>
    <t xml:space="preserve">Social Strength</t>
  </si>
  <si>
    <t xml:space="preserve">USP</t>
  </si>
  <si>
    <t xml:space="preserve">Strengths</t>
  </si>
  <si>
    <t xml:space="preserve">Weaknesses</t>
  </si>
  <si>
    <t xml:space="preserve">Market Gap for EDRMA</t>
  </si>
  <si>
    <t xml:space="preserve">Threat Level</t>
  </si>
  <si>
    <t xml:space="preserve">Source</t>
  </si>
  <si>
    <t xml:space="preserve">Jenpharm (Maxdif / MandelAC / NiaRonic)</t>
  </si>
  <si>
    <t xml:space="preserve">Maxdif Brightening Serum</t>
  </si>
  <si>
    <t xml:space="preserve">Brightening + Acne</t>
  </si>
  <si>
    <t xml:space="preserve">3% Sodium Ascorbyl Phosphate, 2% Alpha Arbutin, Glutathione, HA, Ferulic</t>
  </si>
  <si>
    <t xml:space="preserve">Pigmentation, dullness, acne</t>
  </si>
  <si>
    <t xml:space="preserve">Women 20-40, derm-aware</t>
  </si>
  <si>
    <t xml:space="preserve">1,000+ (site-wide badge, not per-SKU)</t>
  </si>
  <si>
    <t xml:space="preserve">VERY STRONG - 60+ blog posts, ingredient comparison guides, SEO collection landers, skin quiz</t>
  </si>
  <si>
    <t xml:space="preserve">Strong - @myjenpharm on IG/FB/TikTok (counts unverified)</t>
  </si>
  <si>
    <t xml:space="preserve">Pharma-origin dermo-cosmetics with published concentrations and quantified claims (94% saw reduced hyperpigmentation), 14-day guarantee</t>
  </si>
  <si>
    <t xml:space="preserve">Pharma identity as trust wedge; proprietary sub-brands (Maxdif, MandelAC, NiaRonic) that escape brand and become independent search entities; only real content moat in PK; omnichannel incl. Dvago pharmacy + Naheed + Daraz + 9 reseller e-tailers</t>
  </si>
  <si>
    <t xml:space="preserve">Vitamin C is UNDERPOWERED at 3% SAP; the 4.8/1,000+ badge is identical on every SKU (not per-product proof); sizes largely unpublished (Maxdif ships as both 20ml and 30ml so price/ml is uncomputable); no founding year, no named dermatologist, no lab credential; no premium tier and no sub-1,000 serum; resellers undercut jenpharm.com by 10%</t>
  </si>
  <si>
    <t xml:space="preserve">Beat the market leader on the published spec sheet. Publish ml and price-per-ml. Name real dermatologists with PMDC numbers.</t>
  </si>
  <si>
    <t xml:space="preserve">CRITICAL</t>
  </si>
  <si>
    <t xml:space="preserve">jenpharm.com/collections/no-1-serums-in-pakistan</t>
  </si>
  <si>
    <t xml:space="preserve">Fleure</t>
  </si>
  <si>
    <t xml:space="preserve">xn--fleur-fsa.com (punycode)</t>
  </si>
  <si>
    <t xml:space="preserve">Niacinamide 10%, Zinc 1% / Mandelic Acid / Vitamin C</t>
  </si>
  <si>
    <t xml:space="preserve">Acne, brightening</t>
  </si>
  <si>
    <t xml:space="preserve">Value buyer</t>
  </si>
  <si>
    <t xml:space="preserve">Not published</t>
  </si>
  <si>
    <t xml:space="preserve">4.8-5.0 claimed</t>
  </si>
  <si>
    <t xml:space="preserve">WEAK - punycode domain, no blog</t>
  </si>
  <si>
    <t xml:space="preserve">Not verified</t>
  </si>
  <si>
    <t xml:space="preserve">Flat PKR 999 for everything, 'Targeted Solutions rather than Generic Products'</t>
  </si>
  <si>
    <t xml:space="preserve">Publishes some concentrations; explicit half-price clone of Jenpharm NiaRonic and MandelAC</t>
  </si>
  <si>
    <t xml:space="preserve">Punycode domain kills brand search and link equity; D2C-only, no Daraz or pharmacy; no review counts; ALL 16 products showed Sold out at time of research - supply-fragile or manufactured scarcity</t>
  </si>
  <si>
    <t xml:space="preserve">The PKR 999 tier is occupied and margin-dead. Do NOT enter it.</t>
  </si>
  <si>
    <t xml:space="preserve">xn--fleur-fsa.com/collections/all-999-products</t>
  </si>
  <si>
    <t xml:space="preserve">BBL Derma</t>
  </si>
  <si>
    <t xml:space="preserve">bblderma.com</t>
  </si>
  <si>
    <t xml:space="preserve">CES-VI Skin Brightening Serum</t>
  </si>
  <si>
    <t xml:space="preserve">Vitamin C, Niacinamide, HA (no % published)</t>
  </si>
  <si>
    <t xml:space="preserve">Brightening, acne</t>
  </si>
  <si>
    <t xml:space="preserve">South Asian skin, 20-35</t>
  </si>
  <si>
    <t xml:space="preserve">None published</t>
  </si>
  <si>
    <t xml:space="preserve">WEAK - did not surface in any of 18 SERPs tested; no blog</t>
  </si>
  <si>
    <t xml:space="preserve">'Pakistan's #1 Skincare Brand for Acne &amp; Brightening', 'formulated for South Asian skin', '2M+ Pakistanis'</t>
  </si>
  <si>
    <t xml:space="preserve">Clean brightening-only language; South Asian skin positioning; pharmacy distribution via SehatMedi</t>
  </si>
  <si>
    <t xml:space="preserve">Unsubstantiated #1 and 2M+ claims with ZERO review evidence (only three first-name testimonials); no concentrations; no sizes; no SEO content at all; permanent-discount pricing; one serum per concern</t>
  </si>
  <si>
    <t xml:space="preserve">They claim South-Asian-skin formulation but publish no proof. EDRMA can own that claim with real data.</t>
  </si>
  <si>
    <t xml:space="preserve">bblderma.com/collections/all</t>
  </si>
  <si>
    <t xml:space="preserve">Trego</t>
  </si>
  <si>
    <t xml:space="preserve">Skin Lightening Serum (Niacinamide)</t>
  </si>
  <si>
    <t xml:space="preserve">Brightening</t>
  </si>
  <si>
    <t xml:space="preserve">Niacinamide (no %)</t>
  </si>
  <si>
    <t xml:space="preserve">Pigmentation, freckles</t>
  </si>
  <si>
    <t xml:space="preserve">Mass-market women</t>
  </si>
  <si>
    <t xml:space="preserve">585 (Skin Lightening); 1,893 on one SKU</t>
  </si>
  <si>
    <t xml:space="preserve">MEDIUM - blog in footer, surfaced in 3 SERPs</t>
  </si>
  <si>
    <t xml:space="preserve">Facebook, IG, LinkedIn, TikTok, YouTube linked</t>
  </si>
  <si>
    <t xml:space="preserve">'Tried and Tested Canadian Formulation', organic</t>
  </si>
  <si>
    <t xml:space="preserve">Deepest per-product review counts found anywhere in PK (35-1,893)</t>
  </si>
  <si>
    <t xml:space="preserve">'Canadian Formulation' claim unverified and inconsistent with a PK operation; zero concentration disclosure; review counts look inflated vs visibility; 'Skin Lightening'/'Anti-Freckles' language is dated; ranks an Anti-Freckles SKU for pigmentation/melasma intent; punitive PKR 5,000 free-shipping threshold</t>
  </si>
  <si>
    <t xml:space="preserve">Attack the unverifiable origin claim with verifiable Pakistani manufacturing + batch testing.</t>
  </si>
  <si>
    <t xml:space="preserve">trego.pk/collections/serum</t>
  </si>
  <si>
    <t xml:space="preserve">Biocos</t>
  </si>
  <si>
    <t xml:space="preserve">biocospk.com</t>
  </si>
  <si>
    <t xml:space="preserve">Whitening Serum</t>
  </si>
  <si>
    <t xml:space="preserve">Whitening</t>
  </si>
  <si>
    <t xml:space="preserve">Kojic Acid, Arbutin, Vitamin C</t>
  </si>
  <si>
    <t xml:space="preserve">Mass market</t>
  </si>
  <si>
    <t xml:space="preserve">3,577 site reviews (77% 5-star)</t>
  </si>
  <si>
    <t xml:space="preserve">4.x</t>
  </si>
  <si>
    <t xml:space="preserve">MEDIUM - active blog, but runs gumroad link-spam (penalty risk)</t>
  </si>
  <si>
    <t xml:space="preserve">Large claimed reach (4.3M users, 67 countries)</t>
  </si>
  <si>
    <t xml:space="preserve">'Skin Whitening &amp; Beauty Products Pakistan'; 'Clinically Tested &amp; Dermatologist Approved'</t>
  </si>
  <si>
    <t xml:space="preserve">Largest verified review base in the PK set; wide distribution incl. Daraz, Sehat.com.pk, healthwire</t>
  </si>
  <si>
    <t xml:space="preserve">'Whitening' language is regulatorily and generationally exposed - it is the vocabulary Jenpharm and BBL have already exited; its OWN reviews contain complaints of misleading packaging on brightening claims; no concentrations; off-domain gumroad link-spam is a Google penalty risk</t>
  </si>
  <si>
    <t xml:space="preserve">Documented consumer distrust of its efficacy claims. Evidence-led positioning wins here.</t>
  </si>
  <si>
    <t xml:space="preserve">ChiltanPure</t>
  </si>
  <si>
    <t xml:space="preserve">Niacinamide Serum</t>
  </si>
  <si>
    <t xml:space="preserve">Niacinamide 3% + HA 0.5%</t>
  </si>
  <si>
    <t xml:space="preserve">Oil, brightening</t>
  </si>
  <si>
    <t xml:space="preserve">No numeric counts - only fake-urgency widgets</t>
  </si>
  <si>
    <t xml:space="preserve">STRONGEST local organic footprint - ranked in 9 of 18 SERPs tested</t>
  </si>
  <si>
    <t xml:space="preserve">Mass-market 'organic/pure', huge SKU count, installments</t>
  </si>
  <si>
    <t xml:space="preserve">Best local SEO presence; price accessibility; enormous catalogue</t>
  </si>
  <si>
    <t xml:space="preserve">Niacinamide is only 3% yet priced near 10% competitors - the single biggest formulation weakness in the market; ingredient copy is scientifically wrong ('alpha arbutin extracted from hydroquinone'); fake-urgency widgets erode trust; no real review counts</t>
  </si>
  <si>
    <t xml:space="preserve">A 3% niacinamide sold at a 10% price is an easy, evidenced comparison story.</t>
  </si>
  <si>
    <t xml:space="preserve">chiltanpure.com/products/niacinamide-serum</t>
  </si>
  <si>
    <t xml:space="preserve">Conatural</t>
  </si>
  <si>
    <t xml:space="preserve">conaturalintl.com</t>
  </si>
  <si>
    <t xml:space="preserve">Niacinamide 10%, Zinc PCA 1%</t>
  </si>
  <si>
    <t xml:space="preserve">Oily/acne, brightening</t>
  </si>
  <si>
    <t xml:space="preserve">Halal-conscious, 22-40</t>
  </si>
  <si>
    <t xml:space="preserve">None displayed on own site</t>
  </si>
  <si>
    <t xml:space="preserve">Halal-certified, cruelty-free, non-comedogenic, fragrance-free</t>
  </si>
  <si>
    <t xml:space="preserve">Halal certification; fragrance-free positioning; clean brand</t>
  </si>
  <si>
    <t xml:space="preserve">Zero social proof on own site; size missing from PDP; identical price for two very different formulas (cost-plus not value pricing); Vit C % undisclosed; sells 45% cheaper on reseller reana.pk (1,019) than on own site (1,483) - live price erosion</t>
  </si>
  <si>
    <t xml:space="preserve">Fragrance-free is claimed but not owned - no sensitive-skin SERUM line exists in PK.</t>
  </si>
  <si>
    <t xml:space="preserve">conaturalintl.com/collections/serums</t>
  </si>
  <si>
    <t xml:space="preserve">Saeed Ghani</t>
  </si>
  <si>
    <t xml:space="preserve">saeedghani.pk</t>
  </si>
  <si>
    <t xml:space="preserve">Vitamin C Brightening Super Serum</t>
  </si>
  <si>
    <t xml:space="preserve">3-O-ethyl Ascorbic Acid, Niacinamide, Tocopheryl Acetate (no %)</t>
  </si>
  <si>
    <t xml:space="preserve">Heritage/herbal buyer</t>
  </si>
  <si>
    <t xml:space="preserve">92 reviews (80% 5-star)</t>
  </si>
  <si>
    <t xml:space="preserve">~4.7</t>
  </si>
  <si>
    <t xml:space="preserve">Herbal heritage (est. 1888) + modern actives</t>
  </si>
  <si>
    <t xml:space="preserve">Heritage trust; cheapest credible local vitamin C; real review base</t>
  </si>
  <si>
    <t xml:space="preserve">No concentrations anywhere; inconsistent pricing between product page (945) and collection page (893); sizes missing on collection pages; 'herbal' positioning conflicts with synthetic actives</t>
  </si>
  <si>
    <t xml:space="preserve">Heritage brand with no formulation transparency - beatable on spec.</t>
  </si>
  <si>
    <t xml:space="preserve">LOW-MEDIUM</t>
  </si>
  <si>
    <t xml:space="preserve">saeedghani.pk/collections/serums</t>
  </si>
  <si>
    <t xml:space="preserve">SkinFactor</t>
  </si>
  <si>
    <t xml:space="preserve">10% Niacinamide Serum</t>
  </si>
  <si>
    <t xml:space="preserve">Acne / oil</t>
  </si>
  <si>
    <t xml:space="preserve">Niacinamide 10%, Zinc PCA, HA, Panthenol, Licorice</t>
  </si>
  <si>
    <t xml:space="preserve">Oil, pores, marks</t>
  </si>
  <si>
    <t xml:space="preserve">Science-led buyer</t>
  </si>
  <si>
    <t xml:space="preserve">51 reviews</t>
  </si>
  <si>
    <t xml:space="preserve">STRONG for content - best vitamin C and kojic guides in PK; ranked in 6 of 18 SERPs</t>
  </si>
  <si>
    <t xml:space="preserve">'Pakistan's #1 science-backed skincare brand'; 98% less midday oiliness, 96% marks fading</t>
  </si>
  <si>
    <t xml:space="preserve">Genuinely good long-form blog content (pH &lt;3.5, LAA vs derivatives, PK supply chain); quantified claims</t>
  </si>
  <si>
    <t xml:space="preserve">Claim substantiation absent - no study linked to the 98%/96% figures (regulatory exposure); size missing on PDP; unsubstantiated superlative; narrow range</t>
  </si>
  <si>
    <t xml:space="preserve">They own vitamin C content. Do not fight there - take the acne and brightening clusters instead.</t>
  </si>
  <si>
    <t xml:space="preserve">HIGH (content)</t>
  </si>
  <si>
    <t xml:space="preserve">skinfactor.pk/blogs/news/best-vitamin-c-serum-pakistan</t>
  </si>
  <si>
    <t xml:space="preserve">neue.</t>
  </si>
  <si>
    <t xml:space="preserve">neuederma.com</t>
  </si>
  <si>
    <t xml:space="preserve">Alpha Arbutin 2% with Ferulic</t>
  </si>
  <si>
    <t xml:space="preserve">Alpha Arbutin 2%, Niacinamide, 4-Butylresorcinol, Ferulic</t>
  </si>
  <si>
    <t xml:space="preserve">Informed buyer, 25-40</t>
  </si>
  <si>
    <t xml:space="preserve">50 reviews (64% 5-star, 2% 1-star)</t>
  </si>
  <si>
    <t xml:space="preserve">~4.4</t>
  </si>
  <si>
    <t xml:space="preserve">WEAK</t>
  </si>
  <si>
    <t xml:space="preserve">'Pharmaceutical-grade Alpha Arbutin, clinically proven to fade dark spots without irritation'</t>
  </si>
  <si>
    <t xml:space="preserve">Holds 4-Butylresorcinol - the most differentiated brightening active found in Pakistan</t>
  </si>
  <si>
    <t xml:space="preserve">4-Butylresorcinol is BURIED in the ingredient list, not marketed - a major positioning miss; 'clinically proven' unsupported; softest rating distribution in the set (only 64% 5-star)</t>
  </si>
  <si>
    <t xml:space="preserve">The best active in the PK market is being wasted. EDRMA could lead with it.</t>
  </si>
  <si>
    <t xml:space="preserve">neuederma.com/products/alpha-arbutin-2</t>
  </si>
  <si>
    <t xml:space="preserve">Beautenic</t>
  </si>
  <si>
    <t xml:space="preserve">beautenic.com</t>
  </si>
  <si>
    <t xml:space="preserve">Salicylic Acid 2% Serum</t>
  </si>
  <si>
    <t xml:space="preserve">Acne</t>
  </si>
  <si>
    <t xml:space="preserve">Salicylic Acid 2%, Sodium Hyaluronate, Dimethicone</t>
  </si>
  <si>
    <t xml:space="preserve">Pakistani acne sufferers</t>
  </si>
  <si>
    <t xml:space="preserve">35 reviews (94% positive)</t>
  </si>
  <si>
    <t xml:space="preserve">~4.8</t>
  </si>
  <si>
    <t xml:space="preserve">'#1 acne removing serum specially for Pakistani skin' - only brand explicitly localising to PK skin</t>
  </si>
  <si>
    <t xml:space="preserve">Only brand found explicitly claiming Pakistani-skin formulation</t>
  </si>
  <si>
    <t xml:space="preserve">Dimethicone in an acne serum is questionable for acne-prone consumers; expensive per ml for a commodity 2% BHA; unsubstantiated #1; small review base</t>
  </si>
  <si>
    <t xml:space="preserve">The 'made for Pakistani skin' claim is unowned in substance - take it with real evidence.</t>
  </si>
  <si>
    <t xml:space="preserve">beautenic.com/products/beautenic-salicylic-acid-serum</t>
  </si>
  <si>
    <t xml:space="preserve">Skin Pantry (The Hair Pantry)</t>
  </si>
  <si>
    <t xml:space="preserve">thehairpantry.com</t>
  </si>
  <si>
    <t xml:space="preserve">Acne Buster Serum</t>
  </si>
  <si>
    <t xml:space="preserve">Acne + body brightening</t>
  </si>
  <si>
    <t xml:space="preserve">Salicylic Acid 2%, Niacinamide 5%</t>
  </si>
  <si>
    <t xml:space="preserve">Acne; underarm brightening</t>
  </si>
  <si>
    <t xml:space="preserve">Organic-leaning, 20-35</t>
  </si>
  <si>
    <t xml:space="preserve">14 (acne) / 63 (underarm)</t>
  </si>
  <si>
    <t xml:space="preserve">WEAK for face - but ranks for 'serum for acne marks' despite being a hair brand</t>
  </si>
  <si>
    <t xml:space="preserve">IG @skinpantry_ (new)</t>
  </si>
  <si>
    <t xml:space="preserve">Organic botanicals, hair-first brand extending into skin</t>
  </si>
  <si>
    <t xml:space="preserve">Discloses 2% SA and 5% Nia; ranks organically despite off-category authority</t>
  </si>
  <si>
    <t xml:space="preserve">NO face brightening serum at all - their brightening serum is underarm-only; brand-name confusion (Hair Pantry / Skin Pantry / theskinpantry.ca); tiny review base; highest-priced acne serum in the set at 1,800 for a weak 2% SA; zero SEO content</t>
  </si>
  <si>
    <t xml:space="preserve">A hair brand ranks for face-acne queries - proof the category has no topical authority holder.</t>
  </si>
  <si>
    <t xml:space="preserve">thehairpantry.com/products/acne-buster-serum</t>
  </si>
  <si>
    <t xml:space="preserve">Nifdo</t>
  </si>
  <si>
    <t xml:space="preserve">nifdo.com</t>
  </si>
  <si>
    <t xml:space="preserve">Nifdo Niacinamide Serum</t>
  </si>
  <si>
    <t xml:space="preserve">Whitening (reseller + house label)</t>
  </si>
  <si>
    <t xml:space="preserve">Niacinamide + Zinc (no %)</t>
  </si>
  <si>
    <t xml:space="preserve">Price-comparison shopper</t>
  </si>
  <si>
    <t xml:space="preserve">None displayed</t>
  </si>
  <si>
    <t xml:space="preserve">MEDIUM - runs a PRICE-intent blog ('Niacinamide Serum Price In Pakistan')</t>
  </si>
  <si>
    <t xml:space="preserve">Claims 'a USA brand' - registered in Lahore since 2010</t>
  </si>
  <si>
    <t xml:space="preserve">Longest trading history (2010); clever price-intent SEO strategy; carries prestige imports for basket-building</t>
  </si>
  <si>
    <t xml:space="preserve">No formulation IP - a retailer with a house label; 'USA brand' claim contradicted by its own Lahore trade-portal registration (which files it under Sports Wear &amp; Goods); whitening vocabulary; zero reviews on site; house-label priced AT Jenpharm level with none of Jenpharm's proof</t>
  </si>
  <si>
    <t xml:space="preserve">Price-intent content is winnable with a genuine price-per-ml comparison.</t>
  </si>
  <si>
    <t xml:space="preserve">nifdo.com/blogs/beauty/niacinamide-serum-price-in-pakistan</t>
  </si>
  <si>
    <t xml:space="preserve">The Ordinary (grey market PK)</t>
  </si>
  <si>
    <t xml:space="preserve">Canada / DECIEM</t>
  </si>
  <si>
    <t xml:space="preserve">ordinary.pk, theordinary.pk</t>
  </si>
  <si>
    <t xml:space="preserve">Niacinamide 10%, Zinc PCA 1% / Alpha Arbutin 2%</t>
  </si>
  <si>
    <t xml:space="preserve">All</t>
  </si>
  <si>
    <t xml:space="preserve">Aspirational, informed</t>
  </si>
  <si>
    <t xml:space="preserve">262 on ordinary.pk</t>
  </si>
  <si>
    <t xml:space="preserve">MEDIUM (brand-name intent only)</t>
  </si>
  <si>
    <t xml:space="preserve">Global</t>
  </si>
  <si>
    <t xml:space="preserve">Clinical minimalism at low global price</t>
  </si>
  <si>
    <t xml:space="preserve">Global brand equity; the reference price point in PK; formula that every local brand clones</t>
  </si>
  <si>
    <t xml:space="preserve">GREY-MARKET CHAOS: at least 3 sites claim PK authority, none shows DECIEM authorisation; named as the most-faked skincare on Daraz; conflicting PK prices 2,799-6,500 for the same SKU; documented complaints of chemical burns, batch inconsistency and unreachable support</t>
  </si>
  <si>
    <t xml:space="preserve">Counterfeit anxiety is the single biggest trust gap in PK. A verifiable local brand answers it.</t>
  </si>
  <si>
    <t xml:space="preserve">ordinary.pk/products/niacinamide-10-zinc-1</t>
  </si>
  <si>
    <t xml:space="preserve">COSRX (PK official store)</t>
  </si>
  <si>
    <t xml:space="preserve">South Korea</t>
  </si>
  <si>
    <t xml:space="preserve">cosrxpk.com</t>
  </si>
  <si>
    <t xml:space="preserve">The Niacinamide 15</t>
  </si>
  <si>
    <t xml:space="preserve">Acne + brightening</t>
  </si>
  <si>
    <t xml:space="preserve">Niacinamide 15% / Vit C 23%</t>
  </si>
  <si>
    <t xml:space="preserve">K-beauty follower</t>
  </si>
  <si>
    <t xml:space="preserve">0 on reseller listings</t>
  </si>
  <si>
    <t xml:space="preserve">MEDIUM (brand intent)</t>
  </si>
  <si>
    <t xml:space="preserve">Very strong globally</t>
  </si>
  <si>
    <t xml:space="preserve">K-beauty clinical actives</t>
  </si>
  <si>
    <t xml:space="preserve">Strong global brand pull; K-beauty halo in PK</t>
  </si>
  <si>
    <t xml:space="preserve">7 of 9 serums OUT OF STOCK on the self-declared official PK store - catastrophic availability; discounts of 38-53% off RRP suggest inflated anchors; sizes not published</t>
  </si>
  <si>
    <t xml:space="preserve">K-beauty demand exists in PK but supply is broken. Availability is a differentiator.</t>
  </si>
  <si>
    <t xml:space="preserve">cosrxpk.com/product-category/serum/</t>
  </si>
  <si>
    <t xml:space="preserve">Garnier</t>
  </si>
  <si>
    <t xml:space="preserve">France (L'Oreal)</t>
  </si>
  <si>
    <t xml:space="preserve">via bigbasket.pk, Naheed</t>
  </si>
  <si>
    <t xml:space="preserve">Bright Complete 30x Vitamin C Booster</t>
  </si>
  <si>
    <t xml:space="preserve">Vitamin C + Niacinamide (no %)</t>
  </si>
  <si>
    <t xml:space="preserve">0 reviews on bigbasket despite 1,527 views</t>
  </si>
  <si>
    <t xml:space="preserve">0.0</t>
  </si>
  <si>
    <t xml:space="preserve">STRONG (brand)</t>
  </si>
  <si>
    <t xml:space="preserve">Massive</t>
  </si>
  <si>
    <t xml:space="preserve">Mass-market brightening with TV-scale awareness</t>
  </si>
  <si>
    <t xml:space="preserve">Enormous brand awareness; wide retail distribution</t>
  </si>
  <si>
    <t xml:space="preserve">Wild price dispersion for the same SKU (1,525-1,995) signals uncontrolled distribution; retail listings contain copy-paste errors (bigbasket description discusses shampoo benefits); no concentration disclosure despite the '30x' claim</t>
  </si>
  <si>
    <t xml:space="preserve">Mass brands have awareness but no ingredient credibility. The educated buyer is up for grabs.</t>
  </si>
  <si>
    <t xml:space="preserve">bigbasket.pk/product/garnier-bright-complete-vitamin-c-booster-serum-30ml</t>
  </si>
  <si>
    <t xml:space="preserve">derma.pk</t>
  </si>
  <si>
    <t xml:space="preserve">Pakistan (retailer)</t>
  </si>
  <si>
    <t xml:space="preserve">Multi-brand</t>
  </si>
  <si>
    <t xml:space="preserve">Retailer</t>
  </si>
  <si>
    <t xml:space="preserve">VERY STRONG - owns the ingredient-collection SERP real estate a brand should own; 14,000+ SKUs, 900+ brands</t>
  </si>
  <si>
    <t xml:space="preserve">Pharmacy-licensed derm e-tailer with ingredient and concern collections</t>
  </si>
  <si>
    <t xml:space="preserve">The category's best content-commerce play; ranks for /collections/niacinamide, /collections/salicylic-acid etc.</t>
  </si>
  <si>
    <t xml:space="preserve">It is a retailer, not a brand - it cannot defend a proprietary formula or a differentiated story</t>
  </si>
  <si>
    <t xml:space="preserve">They own ingredient collection pages. EDRMA must build ingredient pages with a product attached.</t>
  </si>
  <si>
    <t xml:space="preserve">HIGH (SERP)</t>
  </si>
  <si>
    <t xml:space="preserve">derma.pk/collections/niacinamide</t>
  </si>
  <si>
    <t xml:space="preserve">Healer's Pharma</t>
  </si>
  <si>
    <t xml:space="preserve">(no own site) via derma.pk</t>
  </si>
  <si>
    <t xml:space="preserve">15% Azelaic Acid + Niacinamide</t>
  </si>
  <si>
    <t xml:space="preserve">Azelaic Acid 15%, Niacinamide</t>
  </si>
  <si>
    <t xml:space="preserve">Acne, redness, pigmentation</t>
  </si>
  <si>
    <t xml:space="preserve">Derm-referred patient</t>
  </si>
  <si>
    <t xml:space="preserve">8 reviews</t>
  </si>
  <si>
    <t xml:space="preserve">NONE</t>
  </si>
  <si>
    <t xml:space="preserve">None</t>
  </si>
  <si>
    <t xml:space="preserve">Prescription-adjacent strength via pharmacy channel</t>
  </si>
  <si>
    <t xml:space="preserve">Only azelaic acid product in PK; proves willingness-to-pay at PKR 2,700</t>
  </si>
  <si>
    <t xml:space="preserve">No own D2C website at all; entirely dependent on derma.pk; almost no reviews; zero brand content or SEO footprint; clinical-commodity packaging</t>
  </si>
  <si>
    <t xml:space="preserve">Proves PK consumers pay 2,700+ for azelaic - with no brand attached. Brand is the entire opportunity.</t>
  </si>
  <si>
    <t xml:space="preserve">derma.pk/products/azelaic-niacinamide-serum-50ml-healers-pharma</t>
  </si>
  <si>
    <t xml:space="preserve">Gravis Healthcare</t>
  </si>
  <si>
    <t xml:space="preserve">TXA + Niacinamide &amp; Zinc Serum</t>
  </si>
  <si>
    <t xml:space="preserve">Tranexamic Acid, Niacinamide, Zinc (no %)</t>
  </si>
  <si>
    <t xml:space="preserve">Melasma, pigmentation</t>
  </si>
  <si>
    <t xml:space="preserve">Not found</t>
  </si>
  <si>
    <t xml:space="preserve">Pharma-channel tranexamic acid</t>
  </si>
  <si>
    <t xml:space="preserve">Validates PKR 2,895 willingness-to-pay for tranexamic acid</t>
  </si>
  <si>
    <t xml:space="preserve">Highest PKR/ml of any locally-made serum verified; no percentages published; no D2C presence; no reviews</t>
  </si>
  <si>
    <t xml:space="preserve">Second proof point that the 2,500-4,000 band is real - and totally unbranded.</t>
  </si>
  <si>
    <t xml:space="preserve">Olim Naturals</t>
  </si>
  <si>
    <t xml:space="preserve">olim.pk</t>
  </si>
  <si>
    <t xml:space="preserve">Alpha Arbutin 2% + Vit C 10% + HA</t>
  </si>
  <si>
    <t xml:space="preserve">Alpha Arbutin 2%, Vitamin C 10%, HA</t>
  </si>
  <si>
    <t xml:space="preserve">Budget buyer</t>
  </si>
  <si>
    <t xml:space="preserve">MEDIUM - ranked in 5 of 18 SERPs</t>
  </si>
  <si>
    <t xml:space="preserve">Multi-active at a budget price</t>
  </si>
  <si>
    <t xml:space="preserve">Aggressive price for a triple-active; decent organic footprint</t>
  </si>
  <si>
    <t xml:space="preserve">PKR 23.3/ml implies either very low actives quality or unsustainable margin; no clinical framing</t>
  </si>
  <si>
    <t xml:space="preserve">Budget tier is a margin trap under 25-35% COD RTO. Confirms: do not compete on price.</t>
  </si>
  <si>
    <t xml:space="preserve">olim.pk/products/alpha-arbutin-2-vitamin-c-10-hyaluronic-acid-serum-2-serum</t>
  </si>
  <si>
    <t xml:space="preserve">Prices, sizes, review counts and ratings = Verified (observed on the cited source, Aug 2026). PKR/ml = Calculated. Blank size means the brand does not publish it — which is itself a finding.</t>
  </si>
  <si>
    <t xml:space="preserve">NO Instagram follower count is verified anywhere in this workbook — Instagram blocks automated access. Capture manually before relying on social-strength judgements.</t>
  </si>
  <si>
    <t xml:space="preserve">Competitor Product Teardown — pricing, specs, claims and the gap each one leaves</t>
  </si>
  <si>
    <t xml:space="preserve">Brand</t>
  </si>
  <si>
    <t xml:space="preserve">Problem</t>
  </si>
  <si>
    <t xml:space="preserve">Ingredients</t>
  </si>
  <si>
    <t xml:space="preserve">Size</t>
  </si>
  <si>
    <t xml:space="preserve">Claims</t>
  </si>
  <si>
    <t xml:space="preserve">Packaging</t>
  </si>
  <si>
    <t xml:space="preserve">Customer Complaints</t>
  </si>
  <si>
    <t xml:space="preserve">Opportunity for EDRMA</t>
  </si>
  <si>
    <t xml:space="preserve">Jenpharm</t>
  </si>
  <si>
    <t xml:space="preserve">Pigmentation, dullness</t>
  </si>
  <si>
    <t xml:space="preserve">20ml and 30ml (both in trade)</t>
  </si>
  <si>
    <t xml:space="preserve">1,000+ site-wide badge</t>
  </si>
  <si>
    <t xml:space="preserve">94% saw reduced hyperpigmentation; dermatologically approved; 14-day results guarantee</t>
  </si>
  <si>
    <t xml:space="preserve">Dropper bottle</t>
  </si>
  <si>
    <t xml:space="preserve">PK's #1 brightening serum, published %</t>
  </si>
  <si>
    <t xml:space="preserve">Size ambiguity across channels; reviews are a site-wide badge not per-SKU</t>
  </si>
  <si>
    <t xml:space="preserve">3% SAP is a WEAK derivative. A 10-15% ethyl ascorbic acid or a Nia+Arbutin+TXA stack beats it on spec at a similar or lower price. This is the cleanest attack in the whole market.</t>
  </si>
  <si>
    <t xml:space="preserve">MandelAC Serum</t>
  </si>
  <si>
    <t xml:space="preserve">Acne + post-acne marks</t>
  </si>
  <si>
    <t xml:space="preserve">Mandelic Acid 20%, Glycerin 9%, Aloe</t>
  </si>
  <si>
    <t xml:space="preserve">30ml</t>
  </si>
  <si>
    <t xml:space="preserve">Clinically proven to reduce pimples</t>
  </si>
  <si>
    <t xml:space="preserve">20% mandelic - highest strength in PK</t>
  </si>
  <si>
    <t xml:space="preserve">20% mandelic is aggressive for sensitive Fitzpatrick IV-V; irritation risk creates the very PIH it treats</t>
  </si>
  <si>
    <t xml:space="preserve">Position a 10% mandelic + niacinamide + centella as the TOLERABLE version - 'strong enough to work, gentle enough to keep using'. Irritation-driven churn is Jenpharm's blind spot.</t>
  </si>
  <si>
    <t xml:space="preserve">NiaRonic Serum</t>
  </si>
  <si>
    <t xml:space="preserve">Oil, pores, breakouts</t>
  </si>
  <si>
    <t xml:space="preserve">Niacinamide 10%, Zinc 1%, HA 1%</t>
  </si>
  <si>
    <t xml:space="preserve">not stated</t>
  </si>
  <si>
    <t xml:space="preserve">Dermatologist developed</t>
  </si>
  <si>
    <t xml:space="preserve">Clinical framing on a commodity formula</t>
  </si>
  <si>
    <t xml:space="preserve">Fleure sells the identical 10%/1% spec at 999 - exactly half</t>
  </si>
  <si>
    <t xml:space="preserve">Do not compete here. Commodity formula with a 2x price spread already under attack.</t>
  </si>
  <si>
    <t xml:space="preserve">Oil, blemishes</t>
  </si>
  <si>
    <t xml:space="preserve">Niacinamide 10%, Zinc 1%</t>
  </si>
  <si>
    <t xml:space="preserve">not published</t>
  </si>
  <si>
    <t xml:space="preserve">Dermatologist-approved, vegan, cruelty-free</t>
  </si>
  <si>
    <t xml:space="preserve">Basic dropper</t>
  </si>
  <si>
    <t xml:space="preserve">Half-price Jenpharm clone</t>
  </si>
  <si>
    <t xml:space="preserve">ALL 16 SKUs showed Sold out at time of research</t>
  </si>
  <si>
    <t xml:space="preserve">Confirms the 999 tier is either supply-fragile or margin-dead. Avoid it.</t>
  </si>
  <si>
    <t xml:space="preserve">The Ordinary</t>
  </si>
  <si>
    <t xml:space="preserve">Blemishes, oil</t>
  </si>
  <si>
    <t xml:space="preserve">262 (ordinary.pk)</t>
  </si>
  <si>
    <t xml:space="preserve">Clinical formulations with integrity</t>
  </si>
  <si>
    <t xml:space="preserve">Dropper, frosted glass</t>
  </si>
  <si>
    <t xml:space="preserve">Global reference price</t>
  </si>
  <si>
    <t xml:space="preserve">Most-counterfeited skincare on Daraz; 3 competing 'official' PK sites; conflicting prices 2,799-6,500; reports of chemical burns and batch inconsistency; unreachable support</t>
  </si>
  <si>
    <t xml:space="preserve">Counterfeit anxiety is the #1 PK trust gap. Per-unit QR verification + tamper seal + batch code turns EDRMA's local manufacture from a weakness into the headline benefit.</t>
  </si>
  <si>
    <t xml:space="preserve">Azelaic Acid Suspension 10%</t>
  </si>
  <si>
    <t xml:space="preserve">Texture, blemishes, pigmentation</t>
  </si>
  <si>
    <t xml:space="preserve">Azelaic Acid 10%</t>
  </si>
  <si>
    <t xml:space="preserve">Multi-functional brightening</t>
  </si>
  <si>
    <t xml:space="preserve">Squeeze tube</t>
  </si>
  <si>
    <t xml:space="preserve">Only widely-known azelaic in PK</t>
  </si>
  <si>
    <t xml:space="preserve">Import price is 5,500 - prohibitive for the mass market</t>
  </si>
  <si>
    <t xml:space="preserve">Proves a huge price umbrella for a locally-made azelaic at 1,990. But PK Trends demand is only 5 - content first, product later.</t>
  </si>
  <si>
    <t xml:space="preserve">Niacinamide 3%, HA 0.5%</t>
  </si>
  <si>
    <t xml:space="preserve">no numeric count</t>
  </si>
  <si>
    <t xml:space="preserve">Pure, organic</t>
  </si>
  <si>
    <t xml:space="preserve">Dropper</t>
  </si>
  <si>
    <t xml:space="preserve">Mass price + best local SEO</t>
  </si>
  <si>
    <t xml:space="preserve">3% niacinamide at a 10% price; ingredient copy is factually wrong ('alpha arbutin extracted from hydroquinone'); fake-urgency widgets</t>
  </si>
  <si>
    <t xml:space="preserve">Publish a concentration comparison table. A 3% sold at near-10% pricing is an evidenced, defensible attack that also builds EDRMA's transparency brand.</t>
  </si>
  <si>
    <t xml:space="preserve">Skin Lightening Serum</t>
  </si>
  <si>
    <t xml:space="preserve">585</t>
  </si>
  <si>
    <t xml:space="preserve">Tried and Tested Canadian Formulation</t>
  </si>
  <si>
    <t xml:space="preserve">Deepest review counts in PK</t>
  </si>
  <si>
    <t xml:space="preserve">Origin claim unverifiable; no concentrations; dated 'lightening/freckles' language</t>
  </si>
  <si>
    <t xml:space="preserve">Counter with verifiable Pakistani manufacture + published batch heavy-metal test results. Verifiable beats exotic.</t>
  </si>
  <si>
    <t xml:space="preserve">not found</t>
  </si>
  <si>
    <t xml:space="preserve">3,577 site reviews</t>
  </si>
  <si>
    <t xml:space="preserve">Clinically tested, dermatologist approved</t>
  </si>
  <si>
    <t xml:space="preserve">Mass retail</t>
  </si>
  <si>
    <t xml:space="preserve">4.3M users, 67 countries</t>
  </si>
  <si>
    <t xml:space="preserve">Its OWN site reviews complain of misleading packaging on brightening claims</t>
  </si>
  <si>
    <t xml:space="preserve">The largest review base in PK contains documented efficacy distrust. Evidence-led, under-promising claims are the counter-position.</t>
  </si>
  <si>
    <t xml:space="preserve">Oily/acne</t>
  </si>
  <si>
    <t xml:space="preserve">none on own site</t>
  </si>
  <si>
    <t xml:space="preserve">Halal-certified, fragrance-free, non-comedogenic</t>
  </si>
  <si>
    <t xml:space="preserve">Clean minimal</t>
  </si>
  <si>
    <t xml:space="preserve">Halal + fragrance-free</t>
  </si>
  <si>
    <t xml:space="preserve">Zero social proof on own site; sells 45% cheaper on reseller reana.pk (1,019) than own site (1,483)</t>
  </si>
  <si>
    <t xml:space="preserve">Fragrance-free is claimed but there is still NO dedicated sensitive-skin serum line in PK. Take it properly.</t>
  </si>
  <si>
    <t xml:space="preserve">50</t>
  </si>
  <si>
    <t xml:space="preserve">Pharmaceutical-grade, clinically proven</t>
  </si>
  <si>
    <t xml:space="preserve">Holds the best brightening active in PK</t>
  </si>
  <si>
    <t xml:space="preserve">4-Butylresorcinol is buried in the INCI list, never marketed; softest ratings in the set</t>
  </si>
  <si>
    <t xml:space="preserve">The strongest evidence-based OTC tyrosinase inhibitor in Pakistan is sitting unmarketed. Lead with it in a v2 hero.</t>
  </si>
  <si>
    <t xml:space="preserve">35</t>
  </si>
  <si>
    <t xml:space="preserve">#1 acne removing serum specially for Pakistani skin</t>
  </si>
  <si>
    <t xml:space="preserve">Only explicit PK-skin claim</t>
  </si>
  <si>
    <t xml:space="preserve">Dimethicone in an acne serum is questionable for acne-prone users; expensive per ml for a commodity BHA</t>
  </si>
  <si>
    <t xml:space="preserve">Take the 'formulated for Pakistani skin' claim and make it real - humidity-tested dry-down, no pilling under sunscreen, low-PIH acid choice.</t>
  </si>
  <si>
    <t xml:space="preserve">Skin Pantry</t>
  </si>
  <si>
    <t xml:space="preserve">14</t>
  </si>
  <si>
    <t xml:space="preserve">Organic botanicals</t>
  </si>
  <si>
    <t xml:space="preserve">Discloses concentrations</t>
  </si>
  <si>
    <t xml:space="preserve">Most expensive acne serum found, for a commodity 2% SA; a hair brand competing on face</t>
  </si>
  <si>
    <t xml:space="preserve">Price ceiling proof: buyers will pay 1,800 for an acne serum. EDRMA at 1,590 with a better acid is strictly better value.</t>
  </si>
  <si>
    <t xml:space="preserve">Azelaic 15% + Niacinamide</t>
  </si>
  <si>
    <t xml:space="preserve">Acne, pigmentation</t>
  </si>
  <si>
    <t xml:space="preserve">50ml</t>
  </si>
  <si>
    <t xml:space="preserve">8</t>
  </si>
  <si>
    <t xml:space="preserve">Pharmacy-dispensed</t>
  </si>
  <si>
    <t xml:space="preserve">Clinical commodity</t>
  </si>
  <si>
    <t xml:space="preserve">Only azelaic in PK</t>
  </si>
  <si>
    <t xml:space="preserve">No brand, no website, no content, 8 reviews</t>
  </si>
  <si>
    <t xml:space="preserve">Proves the 2,500-4,000 band is real and completely unbranded.</t>
  </si>
  <si>
    <t xml:space="preserve">TXA + Niacinamide &amp; Zinc</t>
  </si>
  <si>
    <t xml:space="preserve">Tranexamic Acid, Niacinamide, Zinc</t>
  </si>
  <si>
    <t xml:space="preserve">Pharma channel</t>
  </si>
  <si>
    <t xml:space="preserve">Tranexamic acid access</t>
  </si>
  <si>
    <t xml:space="preserve">Highest PKR/ml of any local serum; no percentages; no consumer brand</t>
  </si>
  <si>
    <t xml:space="preserve">Second proof of the unbranded premium band. EDRMA can occupy 1,790-2,490 with actual branding.</t>
  </si>
  <si>
    <t xml:space="preserve">51</t>
  </si>
  <si>
    <t xml:space="preserve">98% less midday oiliness; 96% marks fading</t>
  </si>
  <si>
    <t xml:space="preserve">Science-backed positioning + best PK content</t>
  </si>
  <si>
    <t xml:space="preserve">No study linked to the 98%/96% figures - a real regulatory exposure; size missing</t>
  </si>
  <si>
    <t xml:space="preserve">They own vitamin C and kojic content. Take acne + brightening clusters instead, and substantiate every number EDRMA publishes.</t>
  </si>
  <si>
    <t xml:space="preserve">3-O-ethyl Ascorbic Acid, Niacinamide, Tocopheryl (no %)</t>
  </si>
  <si>
    <t xml:space="preserve">92 (80% 5-star)</t>
  </si>
  <si>
    <t xml:space="preserve">Herbal heritage since 1888</t>
  </si>
  <si>
    <t xml:space="preserve">Traditional</t>
  </si>
  <si>
    <t xml:space="preserve">Heritage trust at a low price</t>
  </si>
  <si>
    <t xml:space="preserve">No concentrations; price inconsistent between product and collection pages</t>
  </si>
  <si>
    <t xml:space="preserve">Heritage without transparency. EDRMA's counter is radical spec disclosure on every SKU.</t>
  </si>
  <si>
    <t xml:space="preserve">0 despite 1,527 views</t>
  </si>
  <si>
    <t xml:space="preserve">30x brightening</t>
  </si>
  <si>
    <t xml:space="preserve">Mass retail tube</t>
  </si>
  <si>
    <t xml:space="preserve">TV-scale awareness</t>
  </si>
  <si>
    <t xml:space="preserve">Same SKU priced 1,525-1,995 across sites; listing copy discusses shampoo benefits</t>
  </si>
  <si>
    <t xml:space="preserve">Zero reviews on a heavily-viewed listing means mass awareness is not converting online. The educated buyer is unclaimed.</t>
  </si>
  <si>
    <t xml:space="preserve">COSRX</t>
  </si>
  <si>
    <t xml:space="preserve">Acne, oil</t>
  </si>
  <si>
    <t xml:space="preserve">Niacinamide 15%</t>
  </si>
  <si>
    <t xml:space="preserve">0 on reseller listing</t>
  </si>
  <si>
    <t xml:space="preserve">K-beauty clinical</t>
  </si>
  <si>
    <t xml:space="preserve">Korean minimal</t>
  </si>
  <si>
    <t xml:space="preserve">K-beauty halo</t>
  </si>
  <si>
    <t xml:space="preserve">7 of 9 serums out of stock on the official PK store</t>
  </si>
  <si>
    <t xml:space="preserve">In-stock reliability is genuinely differentiating in this market.</t>
  </si>
  <si>
    <t xml:space="preserve">All prices Verified on brand or retailer sites, August 2026. PKR/ml Calculated. Where a brand does not publish size, PKR/ml is left blank rather than guessed.</t>
  </si>
  <si>
    <t xml:space="preserve">Customer Pain Points — mined from review platforms, forums and skincare communities</t>
  </si>
  <si>
    <t xml:space="preserve">Customer Problem</t>
  </si>
  <si>
    <t xml:space="preserve">Customer Quote / Summary</t>
  </si>
  <si>
    <t xml:space="preserve">Frequency</t>
  </si>
  <si>
    <t xml:space="preserve">Existing Solution</t>
  </si>
  <si>
    <t xml:space="preserve">Complaint</t>
  </si>
  <si>
    <t xml:space="preserve">Unmet Need</t>
  </si>
  <si>
    <t xml:space="preserve">Potential EDRMA Solution</t>
  </si>
  <si>
    <t xml:space="preserve">Counterfeit / fake product anxiety</t>
  </si>
  <si>
    <t xml:space="preserve">Sitejabber + Reviews.io (Daraz.pk); skinverse.pk</t>
  </si>
  <si>
    <t xml:space="preserve">Buyers report fakes, used or returned packaging, and 'literal trash' arriving in the box. Daraz sits at 2.1-2.5/5 with only 38% who would recommend.</t>
  </si>
  <si>
    <t xml:space="preserve">VERY HIGH (PK)</t>
  </si>
  <si>
    <t xml:space="preserve">Buy only from Daraz Mall or an 'official' store; check batch codes and holograms manually</t>
  </si>
  <si>
    <t xml:space="preserve">The most-faked skincare named is The Ordinary, Minimalist, CeraVe, Korean sunscreens - exactly the aspirational tier</t>
  </si>
  <si>
    <t xml:space="preserve">A verification method the consumer can actually trust</t>
  </si>
  <si>
    <t xml:space="preserve">Per-unit QR / scratch code verification, tamper-evident seal, legible batch + expiry printed on-pack. Make 'scan to verify' the pack's hero feature, not fine print.</t>
  </si>
  <si>
    <t xml:space="preserve">ALL SKUs - this is a brand-level moat, not a product feature</t>
  </si>
  <si>
    <t xml:space="preserve">Stickiness and tackiness in heat and humidity</t>
  </si>
  <si>
    <t xml:space="preserve">Sephora BIC; The Ordinary reviews; neue. PK reviews</t>
  </si>
  <si>
    <t xml:space="preserve">'A little tacky until fully absorbed.' In 40C humidity that becomes greasy all day. Conversely, PK 5-star reviews lead with texture: consistency 'really good', non-irritating.</t>
  </si>
  <si>
    <t xml:space="preserve">Layer less; skip the serum in summer</t>
  </si>
  <si>
    <t xml:space="preserve">Texture is simultaneously the top complaint AND the top praise driver in PK reviews</t>
  </si>
  <si>
    <t xml:space="preserve">A serum that dries down clean under Pakistani summer conditions</t>
  </si>
  <si>
    <t xml:space="preserve">Formulate to a spec: dry-down under 30 seconds, no residue after sweat. Panel-test in Karachi and Lahore in August and publish the claim.</t>
  </si>
  <si>
    <t xml:space="preserve">Products 1, 2, 3 - a mandatory formulation constraint</t>
  </si>
  <si>
    <t xml:space="preserve">Pilling under sunscreen</t>
  </si>
  <si>
    <t xml:space="preserve">Sephora BIC pilling threads</t>
  </si>
  <si>
    <t xml:space="preserve">Users wait 10 minutes between layers to stop pilling, and it still pills. The workaround they invent is patting instead of rubbing.</t>
  </si>
  <si>
    <t xml:space="preserve">Wait 10 min between layers; pat sunscreen; mix serum into moisturiser</t>
  </si>
  <si>
    <t xml:space="preserve">SPF is non-negotiable in South Asia, so pilling under sunscreen equals product death</t>
  </si>
  <si>
    <t xml:space="preserve">Base-compatibility with common sunscreen formats, and zero wait time</t>
  </si>
  <si>
    <t xml:space="preserve">Base-match to the SPF formats sold in PK, test and claim 'no pilling under sunscreen, no wait time'. Print wait time = 0 on the carton.</t>
  </si>
  <si>
    <t xml:space="preserve">Products 1, 2, 3, 4</t>
  </si>
  <si>
    <t xml:space="preserve">Timeline mismatch - marks take months, marketing implies weeks</t>
  </si>
  <si>
    <t xml:space="preserve">acne.org PIH threads; Sephora Deeper Shades</t>
  </si>
  <si>
    <t xml:space="preserve">South Asian user: marks take 6-8 months per breakout, some 3 years old and still visible. Another returned to the same thread 3 years later.</t>
  </si>
  <si>
    <t xml:space="preserve">Keep switching products every few weeks</t>
  </si>
  <si>
    <t xml:space="preserve">Nobody sells the 6-month contract honestly, so users churn at week 4 and blame the product</t>
  </si>
  <si>
    <t xml:space="preserve">Honest, dated expectation-setting</t>
  </si>
  <si>
    <t xml:space="preserve">Ship a dated 12-week and 24-week progress card in the box. Market 'month 4 is when it shows'. This converts churn into loyalty.</t>
  </si>
  <si>
    <t xml:space="preserve">Products 1 and 2 - and the entire content strategy</t>
  </si>
  <si>
    <t xml:space="preserve">Vitamin C oxidation and colour change</t>
  </si>
  <si>
    <t xml:space="preserve">gopicky Vit C thread; Phyto-C; Sacred Kosmetics</t>
  </si>
  <si>
    <t xml:space="preserve">Paula's Choice 'lasted 2 months before it went from clear to brown'; refrigerated, the same product held 3 months. Most users did not know refrigeration was needed.</t>
  </si>
  <si>
    <t xml:space="preserve">HIGH (vitamin C specifically)</t>
  </si>
  <si>
    <t xml:space="preserve">Refrigerate it; buy smaller bottles; give up</t>
  </si>
  <si>
    <t xml:space="preserve">Framed as wasted money, plus a fear that oxidised vitamin C causes hyperpigmentation</t>
  </si>
  <si>
    <t xml:space="preserve">A vitamin C that survives Pakistani ambient temperature without a fridge</t>
  </si>
  <si>
    <t xml:space="preserve">Use 3-O-ethyl ascorbic acid or SAP, not LAA. Opaque or airless pack. State 'stable to 40C for 6 months' on-pack.</t>
  </si>
  <si>
    <t xml:space="preserve">Product 3 - and the reason Product 10 (LAA) is a do-not-pursue</t>
  </si>
  <si>
    <t xml:space="preserve">Irritation that creates the very PIH being treated</t>
  </si>
  <si>
    <t xml:space="preserve">Sitejabber (The Ordinary); acne.org; Sephora Deeper Shades</t>
  </si>
  <si>
    <t xml:space="preserve">Chemical burns, redness and burning reported from niacinamide and glycolic products. Medical-grade brightening produced an endless peel-red-peel cycle.</t>
  </si>
  <si>
    <t xml:space="preserve">Start slow; buffer with moisturiser; abandon actives entirely</t>
  </si>
  <si>
    <t xml:space="preserve">On Fitzpatrick IV-V irritation is not just discomfort - it manufactures new dark marks. Fear of this drives non-adoption.</t>
  </si>
  <si>
    <t xml:space="preserve">Actives strong enough to work with a genuinely low irritation profile</t>
  </si>
  <si>
    <t xml:space="preserve">Choose mandelic over glycolic and salicylic (largest molecule, slowest penetration, lowest PIH risk on brown skin). Publish a patch-test protocol and an 'if it stings, stop' promise.</t>
  </si>
  <si>
    <t xml:space="preserve">Product 2 primarily; Product 4 as the companion</t>
  </si>
  <si>
    <t xml:space="preserve">Too many bottles - routine complexity</t>
  </si>
  <si>
    <t xml:space="preserve">Sephora BIC; essentialdayspa</t>
  </si>
  <si>
    <t xml:space="preserve">The clinically correct answer to hyperpigmentation is 6 ingredients. Real behaviour is buying one. Users strip multi-step systems down to a single hero to cut cost.</t>
  </si>
  <si>
    <t xml:space="preserve">Cherry-pick one product and ignore the rest of the routine</t>
  </si>
  <si>
    <t xml:space="preserve">The advice people receive expands the routine; the budget and patience they have contracts it</t>
  </si>
  <si>
    <t xml:space="preserve">One bottle that does the multi-active job</t>
  </si>
  <si>
    <t xml:space="preserve">Product 1 stacks niacinamide + alpha arbutin + tranexamic at meaningful percentages and is positioned explicitly as 'replaces your 4-step'.</t>
  </si>
  <si>
    <t xml:space="preserve">Product 1 - this is its core positioning</t>
  </si>
  <si>
    <t xml:space="preserve">Dropper breakage strands a full bottle</t>
  </si>
  <si>
    <t xml:space="preserve">Sephora BIC broken-dropper thread</t>
  </si>
  <si>
    <t xml:space="preserve">A shattered dropper left a full bottle unusable; the community's actual advice is to buy the brand's cheapest product just to harvest its dropper.</t>
  </si>
  <si>
    <t xml:space="preserve">MEDIUM-HIGH</t>
  </si>
  <si>
    <t xml:space="preserve">Buy a second product for its dropper; decant into another bottle</t>
  </si>
  <si>
    <t xml:space="preserve">No brand stocks a replacement dropper - a product-design indictment</t>
  </si>
  <si>
    <t xml:space="preserve">A dropper that survives, or a spare</t>
  </si>
  <si>
    <t xml:space="preserve">Ship a spare dropper or move to a pump. Sell replacement droppers for ~PKR 100 as a loyalty gesture.</t>
  </si>
  <si>
    <t xml:space="preserve">All SKUs - a cheap, memorable differentiator</t>
  </si>
  <si>
    <t xml:space="preserve">Smell used as an authenticity proxy</t>
  </si>
  <si>
    <t xml:space="preserve">gopicky; avoskindiary + comments</t>
  </si>
  <si>
    <t xml:space="preserve">Users ask whether the real product 'smells like glue'. One reports a heavy glue smell as normal, another only a faint scent - batch inconsistency.</t>
  </si>
  <si>
    <t xml:space="preserve">MEDIUM-HIGH (niacinamide, kojic, azelaic)</t>
  </si>
  <si>
    <t xml:space="preserve">Tolerate it; question whether the bottle is fake</t>
  </si>
  <si>
    <t xml:space="preserve">Smell VARIANCE reads as counterfeit, which is commercially far worse than smell being unpleasant</t>
  </si>
  <si>
    <t xml:space="preserve">Consistent, explained scent</t>
  </si>
  <si>
    <t xml:space="preserve">Odour-mask or explain the scent on-pack, and above all make it identical batch to batch.</t>
  </si>
  <si>
    <t xml:space="preserve">Products 1, 2</t>
  </si>
  <si>
    <t xml:space="preserve">Leak and damage in COD shipping</t>
  </si>
  <si>
    <t xml:space="preserve">Sitejabber / Reviews.io (Daraz.pk)</t>
  </si>
  <si>
    <t xml:space="preserve">Goods arriving in old return packaging with cardboard inside the box; partly used creams delivered instead of sealed new product.</t>
  </si>
  <si>
    <t xml:space="preserve">HIGH (PK)</t>
  </si>
  <si>
    <t xml:space="preserve">Refuse delivery; dispute; give up</t>
  </si>
  <si>
    <t xml:space="preserve">Marketplace-level failure that consumers attribute to the BRAND, not the courier</t>
  </si>
  <si>
    <t xml:space="preserve">Shipping that arrives sealed and intact</t>
  </si>
  <si>
    <t xml:space="preserve">Sealed outer + shrink band + heat-tolerant secondary pack. Photograph on dispatch. No-questions replacement for leaks.</t>
  </si>
  <si>
    <t xml:space="preserve">All SKUs - directly reduces the 25-35% RTO that drives the P&amp;L</t>
  </si>
  <si>
    <t xml:space="preserve">Blanket advice ignores skin tone</t>
  </si>
  <si>
    <t xml:space="preserve">Sephora Deeper Shades; acne.org South Asian threads</t>
  </si>
  <si>
    <t xml:space="preserve">'I haven't found a product that actually removes dark spots.' Users retreat to turmeric masks and lemon - which actively worsens PIH on IV-V skin.</t>
  </si>
  <si>
    <t xml:space="preserve">Home remedies; dermatologist peels; hydroquinone where available</t>
  </si>
  <si>
    <t xml:space="preserve">Western OTC products did nothing over 3-4 years for a South Asian user; generic advice assumes lighter skin</t>
  </si>
  <si>
    <t xml:space="preserve">Products and education built for Fitzpatrick IV-V</t>
  </si>
  <si>
    <t xml:space="preserve">Explicit brown-skin positioning backed by ingredient choices that are actually justified for it (mandelic, azelaic, tranexamic, niacinamide) plus Urdu-language education.</t>
  </si>
  <si>
    <t xml:space="preserve">Products 1 and 2 - the whole brand thesis</t>
  </si>
  <si>
    <t xml:space="preserve">PIE (red marks) has no affordable answer</t>
  </si>
  <si>
    <t xml:space="preserve">acne.org PIH/PIE thread</t>
  </si>
  <si>
    <t xml:space="preserve">'Very little evidence' online for red post-acne marks; affordable options are scarce versus lasers.</t>
  </si>
  <si>
    <t xml:space="preserve">Wait it out; laser</t>
  </si>
  <si>
    <t xml:space="preserve">The neglected sibling of brown marks - nobody formulates for it</t>
  </si>
  <si>
    <t xml:space="preserve">An affordable red-mark product</t>
  </si>
  <si>
    <t xml:space="preserve">Product 4 (Centella + Panthenol + Zinc) positioned partly for post-acne redness. Genuinely open white space.</t>
  </si>
  <si>
    <t xml:space="preserve">Product 4</t>
  </si>
  <si>
    <t xml:space="preserve">Silent reformulation and unreachable support</t>
  </si>
  <si>
    <t xml:space="preserve">acne.org reformulation backlash; Sitejabber</t>
  </si>
  <si>
    <t xml:space="preserve">Undisclosed formula changes drove long-tenure customers away; users felt dismissed when told it was lifestyle. Separately: 'sent many emails, never heard anything'.</t>
  </si>
  <si>
    <t xml:space="preserve">Switch brand permanently</t>
  </si>
  <si>
    <t xml:space="preserve">The #1 loyalty killer found - worse than a bad product is a changed product nobody disclosed</t>
  </si>
  <si>
    <t xml:space="preserve">Transparency and reachable support</t>
  </si>
  <si>
    <t xml:space="preserve">Publish a public version/batch changelog. WhatsApp support with a stated response SLA - the highest-trust channel in Pakistan.</t>
  </si>
  <si>
    <t xml:space="preserve">Brand-level policy</t>
  </si>
  <si>
    <t xml:space="preserve">Storage above 30C is unavoidable in Pakistan</t>
  </si>
  <si>
    <t xml:space="preserve">Conatural Daraz listing; gopicky</t>
  </si>
  <si>
    <t xml:space="preserve">The label itself says 'Store under 30C and out of direct sunlight'. Most of Pakistan is above 30C indoors for roughly five months.</t>
  </si>
  <si>
    <t xml:space="preserve">Refrigerate; accept degradation</t>
  </si>
  <si>
    <t xml:space="preserve">The brand's own storage instruction is unachievable for its own customers</t>
  </si>
  <si>
    <t xml:space="preserve">Formulas and formats that tolerate real Pakistani conditions</t>
  </si>
  <si>
    <t xml:space="preserve">Opaque bottle; consider a 15-20ml format so the product is used before it degrades; on-pack claim of stability above 30C backed by accelerated testing.</t>
  </si>
  <si>
    <t xml:space="preserve">Products 1, 2, 3</t>
  </si>
  <si>
    <t xml:space="preserve">Layering conflicts pushed onto the consumer</t>
  </si>
  <si>
    <t xml:space="preserve">Conatural Daraz listing; Sephora BIC</t>
  </si>
  <si>
    <t xml:space="preserve">The product label bans co-use with vitamin C, leaving buyers to run their own AM/PM schedules.</t>
  </si>
  <si>
    <t xml:space="preserve">Guess; run separate AM and PM routines; give up and use one product</t>
  </si>
  <si>
    <t xml:space="preserve">Brands create the conflict and then delegate it to the customer</t>
  </si>
  <si>
    <t xml:space="preserve">Guided sequencing</t>
  </si>
  <si>
    <t xml:space="preserve">Print AM/PM order on the carton plus a QR to a 30-second routine video in Urdu and English. Design the range so no waiting is required.</t>
  </si>
  <si>
    <t xml:space="preserve">Brand-level - carton and content</t>
  </si>
  <si>
    <t xml:space="preserve">Quotes are PARAPHRASED or kept under 15 words. Frequency is an Estimate of prevalence across reachable sources, not a counted sample.</t>
  </si>
  <si>
    <t xml:space="preserve">GAP: Reddit, Amazon and Amazon.in were blocked by egress policy; the Daraz review API was blocked by robots.txt. Climate and smell themes are the least-evidenced as a result.</t>
  </si>
  <si>
    <t xml:space="preserve">Ingredient Assessment — demand, competition, formulation and regulatory risk</t>
  </si>
  <si>
    <t xml:space="preserve">Ingredient</t>
  </si>
  <si>
    <t xml:space="preserve">Primary Benefit</t>
  </si>
  <si>
    <t xml:space="preserve">Secondary Benefit</t>
  </si>
  <si>
    <t xml:space="preserve">Search Demand (PK)</t>
  </si>
  <si>
    <t xml:space="preserve">Consumer Awareness</t>
  </si>
  <si>
    <t xml:space="preserve">Formulation Difficulty</t>
  </si>
  <si>
    <t xml:space="preserve">Est. Bulk Cost / 30ml (PKR)</t>
  </si>
  <si>
    <t xml:space="preserve">Product Ideas</t>
  </si>
  <si>
    <t xml:space="preserve">Combination Opportunities</t>
  </si>
  <si>
    <t xml:space="preserve">EDRMA Score /10</t>
  </si>
  <si>
    <t xml:space="preserve">Verdict</t>
  </si>
  <si>
    <t xml:space="preserve">Niacinamide</t>
  </si>
  <si>
    <t xml:space="preserve">Oil control, blemishes, tone</t>
  </si>
  <si>
    <t xml:space="preserve">Barrier support</t>
  </si>
  <si>
    <t xml:space="preserve">High - Trends 44</t>
  </si>
  <si>
    <t xml:space="preserve">VERY HIGH - commodity</t>
  </si>
  <si>
    <t xml:space="preserve">Very Low - no limit in any market</t>
  </si>
  <si>
    <t xml:space="preserve">12-24 active / 40-90 total</t>
  </si>
  <si>
    <t xml:space="preserve">Supporting active in every SKU</t>
  </si>
  <si>
    <t xml:space="preserve">Pairs with arbutin, TXA, zinc, mandelic, centella</t>
  </si>
  <si>
    <t xml:space="preserve">USE AS SUPPORTING ACTIVE, never as the hero. Jenpharm 1,998 vs Fleure 999 for the identical spec.</t>
  </si>
  <si>
    <t xml:space="preserve">Alpha Arbutin</t>
  </si>
  <si>
    <t xml:space="preserve">Tyrosinase inhibition - dark spots</t>
  </si>
  <si>
    <t xml:space="preserve">Even tone</t>
  </si>
  <si>
    <t xml:space="preserve">Very Low - Trends 4</t>
  </si>
  <si>
    <t xml:space="preserve">Medium - pH 4.5-5.5, light protection</t>
  </si>
  <si>
    <t xml:space="preserve">MEDIUM - 2% is exactly the SCCS face-cream ceiling, zero headroom; hydrolyses to hydroquinone at wrong pH or heat</t>
  </si>
  <si>
    <t xml:space="preserve">43-95 active / 72-160 total</t>
  </si>
  <si>
    <t xml:space="preserve">Multi-active brightening hero</t>
  </si>
  <si>
    <t xml:space="preserve">Niacinamide + TXA</t>
  </si>
  <si>
    <t xml:space="preserve">USE INSIDE Product 1 at 2%. Do not launch standalone - low search demand and a crowded shelf.</t>
  </si>
  <si>
    <t xml:space="preserve">Tranexamic Acid</t>
  </si>
  <si>
    <t xml:space="preserve">Melasma and stubborn pigmentation</t>
  </si>
  <si>
    <t xml:space="preserve">PIH</t>
  </si>
  <si>
    <t xml:space="preserve">Very Low but emerging</t>
  </si>
  <si>
    <t xml:space="preserve">LOW - only pharma-channel SKUs</t>
  </si>
  <si>
    <t xml:space="preserve">LOW - very stable, easy</t>
  </si>
  <si>
    <t xml:space="preserve">HIGH - systemic prescription antifibrinolytic; quasi-drug in Japan; its whole proposition is a disease</t>
  </si>
  <si>
    <t xml:space="preserve">26-70 active / 58-140 total</t>
  </si>
  <si>
    <t xml:space="preserve">Supporting active in Product 1</t>
  </si>
  <si>
    <t xml:space="preserve">Niacinamide + arbutin</t>
  </si>
  <si>
    <t xml:space="preserve">SUPPORTING ACTIVE ONLY at 3%. Never headline it, never say melasma on pack.</t>
  </si>
  <si>
    <t xml:space="preserve">Mandelic Acid</t>
  </si>
  <si>
    <t xml:space="preserve">Acne, texture, marks</t>
  </si>
  <si>
    <t xml:space="preserve">Gentle exfoliation</t>
  </si>
  <si>
    <t xml:space="preserve">LOW - Jenpharm 20% is the only visible one</t>
  </si>
  <si>
    <t xml:space="preserve">Medium - buffer to pH 3.5-4.0; yellows over time</t>
  </si>
  <si>
    <t xml:space="preserve">LOW-MEDIUM - AHA sunburn-alert labelling</t>
  </si>
  <si>
    <t xml:space="preserve">18-80 active / 55-155 total</t>
  </si>
  <si>
    <t xml:space="preserve">Acne + marks hero (Product 2)</t>
  </si>
  <si>
    <t xml:space="preserve">Niacinamide + zinc + centella</t>
  </si>
  <si>
    <t xml:space="preserve">BEST ACNE ACTIVE FOR THIS MARKET. Largest AHA molecule = slowest penetration = lowest PIH risk on Fitzpatrick IV-V. Defensible, locally-relevant story.</t>
  </si>
  <si>
    <t xml:space="preserve">Azelaic Acid</t>
  </si>
  <si>
    <t xml:space="preserve">Acne + redness + pigmentation</t>
  </si>
  <si>
    <t xml:space="preserve">Rosacea-adjacent</t>
  </si>
  <si>
    <t xml:space="preserve">VERY LOW - Trends 5</t>
  </si>
  <si>
    <t xml:space="preserve">VERY LOW - only Healer's Pharma 15%</t>
  </si>
  <si>
    <t xml:space="preserve">HIGH - needs high-shear homogeniser; grittiness and settling drive returns</t>
  </si>
  <si>
    <t xml:space="preserve">MEDIUM - 15-20% is a licensed medicine in the EU so 10% is a de-facto ceiling; SFDA may reclassify</t>
  </si>
  <si>
    <t xml:space="preserve">14-36 active / 75-165 total</t>
  </si>
  <si>
    <t xml:space="preserve">Dual-action SKU</t>
  </si>
  <si>
    <t xml:space="preserve">REAL WHITE SPACE BUT DEMAND HAS NOT ARRIVED. Low competition here is a symptom, not an opportunity. Publish content now; launch when Trends crosses ~15.</t>
  </si>
  <si>
    <t xml:space="preserve">Salicylic Acid (BHA)</t>
  </si>
  <si>
    <t xml:space="preserve">Blackheads, congestion</t>
  </si>
  <si>
    <t xml:space="preserve">Oil control</t>
  </si>
  <si>
    <t xml:space="preserve">Medium - Trends 11</t>
  </si>
  <si>
    <t xml:space="preserve">Medium - pH must hold 3.2-3.5, narrow tolerance</t>
  </si>
  <si>
    <t xml:space="preserve">HIGH - EU/UK leave-on capped at 0.5% (a 2% product is 4x over); an OTC DRUG in the US under Monograph M006</t>
  </si>
  <si>
    <t xml:space="preserve">2-5 active / 48-115 total</t>
  </si>
  <si>
    <t xml:space="preserve">Acne serum, cleanser</t>
  </si>
  <si>
    <t xml:space="preserve">AVOID AS A SERUM HERO. Crowded locally and it permanently caps EU/UK/US expansion. Acceptable in a rinse-off cleanser at 2%.</t>
  </si>
  <si>
    <t xml:space="preserve">Vitamin C - Ethyl Ascorbic Acid / SAP / MAP</t>
  </si>
  <si>
    <t xml:space="preserve">Brightening, antioxidant</t>
  </si>
  <si>
    <t xml:space="preserve">Tone</t>
  </si>
  <si>
    <t xml:space="preserve">VERY HIGH - Trends 69</t>
  </si>
  <si>
    <t xml:space="preserve">Low-Medium - far more stable than LAA</t>
  </si>
  <si>
    <t xml:space="preserve">35-85 active / 70-155 total</t>
  </si>
  <si>
    <t xml:space="preserve">Heat-stable glow serum (Product 3)</t>
  </si>
  <si>
    <t xml:space="preserve">Ferulic + tocopherol</t>
  </si>
  <si>
    <t xml:space="preserve">THE CORRECT WAY TO ENTER VITAMIN C. Also the direct spec attack on Jenpharm Maxdif's weak 3% SAP.</t>
  </si>
  <si>
    <t xml:space="preserve">Vitamin C - L-Ascorbic Acid</t>
  </si>
  <si>
    <t xml:space="preserve">Antioxidant</t>
  </si>
  <si>
    <t xml:space="preserve">Very High (same query pool)</t>
  </si>
  <si>
    <t xml:space="preserve">VERY HIGH - anhydrous or low-water, N2 purge, airless pack</t>
  </si>
  <si>
    <t xml:space="preserve">Low regulatory / VERY HIGH commercial</t>
  </si>
  <si>
    <t xml:space="preserve">25-60 active / 95-210 total</t>
  </si>
  <si>
    <t xml:space="preserve">-</t>
  </si>
  <si>
    <t xml:space="preserve">DO NOT PURSUE. Browns within ~2 months at PK ambient temperature. Highest batch-failure and complaint rate of any option; catastrophic under 25-35% COD RTO.</t>
  </si>
  <si>
    <t xml:space="preserve">THD Ascorbate</t>
  </si>
  <si>
    <t xml:space="preserve">Oil-soluble brightening</t>
  </si>
  <si>
    <t xml:space="preserve">Anti-oxidant</t>
  </si>
  <si>
    <t xml:space="preserve">Medium - oil-phase base</t>
  </si>
  <si>
    <t xml:space="preserve">130-350 active / 220-470 total</t>
  </si>
  <si>
    <t xml:space="preserve">Premium v2 serum</t>
  </si>
  <si>
    <t xml:space="preserve">Ferulic</t>
  </si>
  <si>
    <t xml:space="preserve">PURE COST RISK. At 220-470 bulk it forces a PKR 1,990+ retail. Revisit for a premium tier in year 2.</t>
  </si>
  <si>
    <t xml:space="preserve">4-Butylresorcinol</t>
  </si>
  <si>
    <t xml:space="preserve">Strongest OTC tyrosinase inhibitor</t>
  </si>
  <si>
    <t xml:space="preserve">Near zero</t>
  </si>
  <si>
    <t xml:space="preserve">NEAR ZERO - only neue., and they do not market it</t>
  </si>
  <si>
    <t xml:space="preserve">not verified</t>
  </si>
  <si>
    <t xml:space="preserve">Premium brightening v2</t>
  </si>
  <si>
    <t xml:space="preserve">THE BEST BRIGHTENING ACTIVE IN PAKISTAN IS SITTING UNMARKETED. Strong candidate for an EDRMA v2 hero once the brand has trust.</t>
  </si>
  <si>
    <t xml:space="preserve">Kojic Acid</t>
  </si>
  <si>
    <t xml:space="preserve">Medium - browns over shelf life</t>
  </si>
  <si>
    <t xml:space="preserve">MEDIUM - heavily associated with 'whitening' positioning; sensitisation reports</t>
  </si>
  <si>
    <t xml:space="preserve">Content only</t>
  </si>
  <si>
    <t xml:space="preserve">CONTENT YES, PRODUCT NO. Stability problems plus a positioning conflict with EDRMA's brightening-not-whitening stance.</t>
  </si>
  <si>
    <t xml:space="preserve">Centella Asiatica</t>
  </si>
  <si>
    <t xml:space="preserve">Soothing, barrier</t>
  </si>
  <si>
    <t xml:space="preserve">Redness, PIE</t>
  </si>
  <si>
    <t xml:space="preserve">VERY LOW in serums</t>
  </si>
  <si>
    <t xml:space="preserve">VERY LOW</t>
  </si>
  <si>
    <t xml:space="preserve">VERY LOW - claims are naturally cosmetic ('soothing', 'calming')</t>
  </si>
  <si>
    <t xml:space="preserve">15-38 active / 45-100 total</t>
  </si>
  <si>
    <t xml:space="preserve">Barrier Calm serum (Product 4)</t>
  </si>
  <si>
    <t xml:space="preserve">Panthenol + zinc + ceramide</t>
  </si>
  <si>
    <t xml:space="preserve">LOWEST-RISK PRODUCT IN THE ENTIRE ANALYSIS. Also the answer to the unaddressed PIE (red marks) need.</t>
  </si>
  <si>
    <t xml:space="preserve">Panthenol (Pro-Vitamin B5)</t>
  </si>
  <si>
    <t xml:space="preserve">Barrier repair, hydration</t>
  </si>
  <si>
    <t xml:space="preserve">Soothing</t>
  </si>
  <si>
    <t xml:space="preserve">included above</t>
  </si>
  <si>
    <t xml:space="preserve">Supporting in every SKU</t>
  </si>
  <si>
    <t xml:space="preserve">Centella, ceramides, niacinamide</t>
  </si>
  <si>
    <t xml:space="preserve">USE THROUGHOUT. Cheap insurance against the irritation that drives PIH and churn.</t>
  </si>
  <si>
    <t xml:space="preserve">Hyaluronic Acid</t>
  </si>
  <si>
    <t xml:space="preserve">Hydration</t>
  </si>
  <si>
    <t xml:space="preserve">Plumping</t>
  </si>
  <si>
    <t xml:space="preserve">VERY HIGH - filler in every serum on the market</t>
  </si>
  <si>
    <t xml:space="preserve">~1-5 per 30ml</t>
  </si>
  <si>
    <t xml:space="preserve">Supporting only</t>
  </si>
  <si>
    <t xml:space="preserve">Everything</t>
  </si>
  <si>
    <t xml:space="preserve">SUPPORTING ONLY. A standalone HA serum shows no visible result, which is fatal for repeat purchase and for social proof.</t>
  </si>
  <si>
    <t xml:space="preserve">Zinc PCA</t>
  </si>
  <si>
    <t xml:space="preserve">Sebum control</t>
  </si>
  <si>
    <t xml:space="preserve">Low (rides niacinamide)</t>
  </si>
  <si>
    <t xml:space="preserve">Low - watch haze and pH drift with niacinamide</t>
  </si>
  <si>
    <t xml:space="preserve">Supporting in acne SKUs</t>
  </si>
  <si>
    <t xml:space="preserve">Niacinamide, mandelic</t>
  </si>
  <si>
    <t xml:space="preserve">USE AS SUPPORT in Products 2, 4 and 5.</t>
  </si>
  <si>
    <t xml:space="preserve">Retinol / Retinal</t>
  </si>
  <si>
    <t xml:space="preserve">Texture, marks, ageing</t>
  </si>
  <si>
    <t xml:space="preserve">Medium - imports dominate</t>
  </si>
  <si>
    <t xml:space="preserve">High - stability and encapsulation</t>
  </si>
  <si>
    <t xml:space="preserve">MEDIUM - irritation on Fitzpatrick IV-V creates PIH, the exact problem being sold against</t>
  </si>
  <si>
    <t xml:space="preserve">Year-2 SKU</t>
  </si>
  <si>
    <t xml:space="preserve">Panthenol + ceramide buffer</t>
  </si>
  <si>
    <t xml:space="preserve">DEFER TO YEAR 2. Irritation risk is misaligned with a brown-skin brightening brand's core promise.</t>
  </si>
  <si>
    <t xml:space="preserve">Glutathione</t>
  </si>
  <si>
    <t xml:space="preserve">Whitening (consumer belief)</t>
  </si>
  <si>
    <t xml:space="preserve">Medium (culturally strong)</t>
  </si>
  <si>
    <t xml:space="preserve">HIGH - topical efficacy evidence is weak; strong association with oral/IV whitening; CCP has acted against fairness-cream advertising</t>
  </si>
  <si>
    <t xml:space="preserve">AVOID. Weak evidence plus the highest claim-risk category in Pakistan. Directly contradicts EDRMA's evidence-led positioning.</t>
  </si>
  <si>
    <t xml:space="preserve">Hydroquinone / Mercury / undeclared steroids</t>
  </si>
  <si>
    <t xml:space="preserve">PROHIBITED / CRIMINAL</t>
  </si>
  <si>
    <t xml:space="preserve">NEVER. Banned in EU/UK; 2026 peer-reviewed evidence of contamination in PK whitening creams; CCP enforcement active; EcoWaste Coalition pressure. Also vet the contract manufacturer's OTHER clients - shared-equipment cross-contamination is a real vector.</t>
  </si>
  <si>
    <t xml:space="preserve">Bulk cost = ESTIMATED. Chinese suppliers gate pricing behind 'contact us'; figures are Chinese FOB trade ranges uplifted 2.0-2.5x for what a Pakistani CM actually pays. The single largest unverified variable in this workbook.</t>
  </si>
  <si>
    <t xml:space="preserve">Get three written contract-manufacturer quotes with per-kg active costs itemised before committing capital.</t>
  </si>
  <si>
    <t xml:space="preserve">Keyword Domain Analysis — A: EDRMA page | B: EDRMA collection | C: standalone domain | D: do not pursue</t>
  </si>
  <si>
    <t xml:space="preserve">Suggested Domain</t>
  </si>
  <si>
    <t xml:space="preserve">Brandability</t>
  </si>
  <si>
    <t xml:space="preserve">Standalone Value</t>
  </si>
  <si>
    <t xml:space="preserve">Doorway Risk</t>
  </si>
  <si>
    <t xml:space="preserve">EDRMA Alternative URL</t>
  </si>
  <si>
    <t xml:space="preserve">Domain Recommendation</t>
  </si>
  <si>
    <t xml:space="preserve">Score /100</t>
  </si>
  <si>
    <t xml:space="preserve">Why</t>
  </si>
  <si>
    <t xml:space="preserve">brightening serum / whitening serum</t>
  </si>
  <si>
    <t xml:space="preserve">BrighteningSerum.store</t>
  </si>
  <si>
    <t xml:space="preserve">Trends 65 (whitening)</t>
  </si>
  <si>
    <t xml:space="preserve">No EMD advantage since 2012</t>
  </si>
  <si>
    <t xml:space="preserve">NONE - it would duplicate EDRMA's own collection</t>
  </si>
  <si>
    <t xml:space="preserve">D - DO NOT PURSUE</t>
  </si>
  <si>
    <t xml:space="preserve">Google's EMD update (2012) removed keyword-in-domain as a ranking factor. A second site selling the same serums to the same buyers is a textbook near-duplicate and a doorway. It also splits link equity, reviews and retargeting audiences away from EDRMA at the exact moment EDRMA needs to consolidate them.</t>
  </si>
  <si>
    <t xml:space="preserve">acne serum</t>
  </si>
  <si>
    <t xml:space="preserve">AcneSerum.store</t>
  </si>
  <si>
    <t xml:space="preserve">No EMD advantage</t>
  </si>
  <si>
    <t xml:space="preserve">Same duplication and doorway logic. Worse: it would fragment the acne authority EDRMA needs, in the exact cluster where the SERP is weakest and most winnable with a single strong site.</t>
  </si>
  <si>
    <t xml:space="preserve">NiacinamideSerum.pk</t>
  </si>
  <si>
    <t xml:space="preserve">edrma.com/ingredients/niacinamide/ + /niacinamide-serum/</t>
  </si>
  <si>
    <t xml:space="preserve">Commodity product, commodity domain. Buying it would signal to Google that EDRMA runs a network of thin, keyword-matched satellites.</t>
  </si>
  <si>
    <t xml:space="preserve">VitaminCSerum.pk</t>
  </si>
  <si>
    <t xml:space="preserve">Trends 69 - largest term</t>
  </si>
  <si>
    <t xml:space="preserve">Highest demand in the market, but a keyword domain adds nothing that the EDRMA page does not, and the SERP is already held by strong brand blogs that beat thin EMDs anyway.</t>
  </si>
  <si>
    <t xml:space="preserve">mandelic acid</t>
  </si>
  <si>
    <t xml:space="preserve">MandelicAcid.pk</t>
  </si>
  <si>
    <t xml:space="preserve">Genuinely low competition</t>
  </si>
  <si>
    <t xml:space="preserve">WEAK - could work as an education hub, but the content belongs on EDRMA</t>
  </si>
  <si>
    <t xml:space="preserve">D - DO NOT PURSUE (register defensively only)</t>
  </si>
  <si>
    <t xml:space="preserve">The only case with any argument, because the ingredient is uncontested in Pakistan. But an ingredient education hub is precisely the content that should build EDRMA's topical authority, not a separate domain's. Register it defensively for under PKR 3,000/yr and 301 it to the EDRMA ingredient page - never publish on it.</t>
  </si>
  <si>
    <t xml:space="preserve">serum kya hota hai (Roman Urdu)</t>
  </si>
  <si>
    <t xml:space="preserve">SerumGuide.pk</t>
  </si>
  <si>
    <t xml:space="preserve">Confirmed ranking pages exist</t>
  </si>
  <si>
    <t xml:space="preserve">Low (informational)</t>
  </si>
  <si>
    <t xml:space="preserve">HIGH - uncontested surface</t>
  </si>
  <si>
    <t xml:space="preserve">MODERATE - a genuinely different audience and language</t>
  </si>
  <si>
    <t xml:space="preserve">edrma.com/ur/ (Urdu subdirectory with hreflang)</t>
  </si>
  <si>
    <t xml:space="preserve">D - DO NOT PURSUE, use a subdirectory</t>
  </si>
  <si>
    <t xml:space="preserve">The demand is real and uncontested, but the correct structure is edrma.com/ur/ with hreflang - not a separate domain. A subdirectory feeds EDRMA's authority; a separate domain starves it. This is the strongest keyword-domain case in the analysis and it still loses.</t>
  </si>
  <si>
    <t xml:space="preserve">skincare price comparison Pakistan</t>
  </si>
  <si>
    <t xml:space="preserve">SerumPrices.pk</t>
  </si>
  <si>
    <t xml:space="preserve">Live SERP demand confirmed</t>
  </si>
  <si>
    <t xml:space="preserve">MODERATE - a genuine standalone editorial product IF it reviews the whole market impartially, including competitors, and EDRMA's ownership is disclosed</t>
  </si>
  <si>
    <t xml:space="preserve">HIGH if it favours EDRMA</t>
  </si>
  <si>
    <t xml:space="preserve">D - DO NOT PURSUE in year 1</t>
  </si>
  <si>
    <t xml:space="preserve">This is the ONLY concept that could ever justify a second domain, because a genuinely independent price-comparison site is a different product with different users. But it only works if it is editorially independent and discloses ownership - and a brand cannot credibly run that in year 1. Revisit at year 3 with a separate team, or never.</t>
  </si>
  <si>
    <t xml:space="preserve">edrma brand</t>
  </si>
  <si>
    <t xml:space="preserve">EDRMA.PK</t>
  </si>
  <si>
    <t xml:space="preserve">DEFENSIVE</t>
  </si>
  <si>
    <t xml:space="preserve">301 to edrma.com</t>
  </si>
  <si>
    <t xml:space="preserve">C - BUY, BUT ONLY AS A 301 REDIRECT</t>
  </si>
  <si>
    <t xml:space="preserve">Buy edrma.pk, edrma.com.pk and the obvious typo variants purely to stop squatters and to catch Pakistani users who type .pk by habit. Every one must 301 to edrma.com. Zero unique content on any of them.</t>
  </si>
  <si>
    <t xml:space="preserve">VERDICT: DO NOT BUY KEYWORD DOMAINS. Eight opportunities assessed; seven score D (do not pursue) and the eighth is a defensive 301 only.</t>
  </si>
  <si>
    <t xml:space="preserve">1. Google's Exact-Match Domain update (2012) removed keyword-in-domain as a ranking signal. The domain buys you nothing on its own.</t>
  </si>
  <si>
    <t xml:space="preserve">2. A second site selling the same serums to the same buyers is a near-duplicate and a doorway under Google's spam policies. That is a penalty risk for BOTH sites, not just the satellite.</t>
  </si>
  <si>
    <t xml:space="preserve">3. Every backlink, review, retargeting pixel and brand mention that lands on a keyword domain is authority NOT accruing to edrma.com — at the exact moment edrma.com needs to consolidate it.</t>
  </si>
  <si>
    <t xml:space="preserve">4. Jenpharm proves the winning structure in this market, and it is the OPPOSITE: one domain, many named sub-brands (Maxdif, MandelAC, NiaRonic). The sub-brands became independent search entities with zero competition, all feeding one domain's authority.</t>
  </si>
  <si>
    <t xml:space="preserve">DO INSTEAD: build ingredient pages (/ingredients/mandelic-acid/), concern hubs (/concerns/hyperpigmentation/) and comparison guides on edrma.com. Buy edrma.pk and edrma.com.pk purely as 301 redirects to stop squatters.</t>
  </si>
  <si>
    <t xml:space="preserve">SEO Content Opportunities — ranked by how weak the current Pakistani SERP is</t>
  </si>
  <si>
    <t xml:space="preserve">Content Type</t>
  </si>
  <si>
    <t xml:space="preserve">Recommended Title</t>
  </si>
  <si>
    <t xml:space="preserve">Product to Promote</t>
  </si>
  <si>
    <t xml:space="preserve">Funnel Stage</t>
  </si>
  <si>
    <t xml:space="preserve">Why the SERP Is Weak</t>
  </si>
  <si>
    <t xml:space="preserve">Brand pool Trends 71, all-time high</t>
  </si>
  <si>
    <t xml:space="preserve">Comparison article</t>
  </si>
  <si>
    <t xml:space="preserve">Jenpharm Maxdif vs NiaRonic: Which One Is Actually For Your Skin? (2026)</t>
  </si>
  <si>
    <t xml:space="preserve">/guides/jenpharm-maxdif-vs-niaronic/</t>
  </si>
  <si>
    <t xml:space="preserve">Product 1 (Even-Tone)</t>
  </si>
  <si>
    <t xml:space="preserve">Consideration</t>
  </si>
  <si>
    <t xml:space="preserve">Exists only on TikTok and YouTube - NO indexed article. Biggest brand-demand pool in Pakistan with literally zero written competition.</t>
  </si>
  <si>
    <t xml:space="preserve">Pillar comparison guide</t>
  </si>
  <si>
    <t xml:space="preserve">Best Acne Serums in Pakistan 2026: Salicylic vs Azelaic vs Mandelic, Concentration by Concentration</t>
  </si>
  <si>
    <t xml:space="preserve">/guides/best-acne-serum-pakistan/</t>
  </si>
  <si>
    <t xml:space="preserve">Product 2 (Clear+Fade)</t>
  </si>
  <si>
    <t xml:space="preserve">Current top results are single-SKU advertorials with no comparison table and no concentrations.</t>
  </si>
  <si>
    <t xml:space="preserve">serum for acne marks pakistan</t>
  </si>
  <si>
    <t xml:space="preserve">Guide + product hub</t>
  </si>
  <si>
    <t xml:space="preserve">Acne Marks vs Acne Scars: What Actually Fades PIH on Brown Skin</t>
  </si>
  <si>
    <t xml:space="preserve">/guides/acne-marks-vs-scars/</t>
  </si>
  <si>
    <t xml:space="preserve">Product 2</t>
  </si>
  <si>
    <t xml:space="preserve">Awareness</t>
  </si>
  <si>
    <t xml:space="preserve">TWO HAIR-CARE brands currently rank for this face query - topical authority is completely unclaimed.</t>
  </si>
  <si>
    <t xml:space="preserve">best serum for oily skin pakistan</t>
  </si>
  <si>
    <t xml:space="preserve">Pillar guide</t>
  </si>
  <si>
    <t xml:space="preserve">Best Serums for Oily Skin in Pakistan (2026): Tested Through a Karachi Summer</t>
  </si>
  <si>
    <t xml:space="preserve">/guides/best-serum-oily-skin-pakistan/</t>
  </si>
  <si>
    <t xml:space="preserve">Products 2 and 5</t>
  </si>
  <si>
    <t xml:space="preserve">Held by a cashback affiliate and a blog with a phone number in its title tag. Lowest-quality SERP reviewed.</t>
  </si>
  <si>
    <t xml:space="preserve">Trends 65</t>
  </si>
  <si>
    <t xml:space="preserve">Comparison guide</t>
  </si>
  <si>
    <t xml:space="preserve">Brightening vs Whitening: An Honest Comparison of Pakistan's Top Serums (Including Ours)</t>
  </si>
  <si>
    <t xml:space="preserve">/guides/best-brightening-serum-pakistan/</t>
  </si>
  <si>
    <t xml:space="preserve">Product 1</t>
  </si>
  <si>
    <t xml:space="preserve">Top slots are salon and clinic listicles with obvious commercial bias and no ingredient depth.</t>
  </si>
  <si>
    <t xml:space="preserve">Confirmed ranking pages</t>
  </si>
  <si>
    <t xml:space="preserve">Roman Urdu pillar</t>
  </si>
  <si>
    <t xml:space="preserve">Serum Kya Hota Hai? Niacinamide, Vitamin C aur Mandelic Acid - Aasan Guide</t>
  </si>
  <si>
    <t xml:space="preserve">/ur/serum-kya-hota-hai/</t>
  </si>
  <si>
    <t xml:space="preserve">Held by a 2010s-era ad-heavy women's magazine article. NO modern D2C brand publishes Roman-Urdu ingredient education.</t>
  </si>
  <si>
    <t xml:space="preserve">Live ranking page exists</t>
  </si>
  <si>
    <t xml:space="preserve">Roman Urdu guide</t>
  </si>
  <si>
    <t xml:space="preserve">Chehre Ke Daag Dhabbe Kaise Mitaye: 6 Mahine Ka Sach</t>
  </si>
  <si>
    <t xml:space="preserve">/ur/daag-dhabbe/</t>
  </si>
  <si>
    <t xml:space="preserve">General content sites only. Uncontested by any skincare brand.</t>
  </si>
  <si>
    <t xml:space="preserve">No dedicated page exists</t>
  </si>
  <si>
    <t xml:space="preserve">Trust guide</t>
  </si>
  <si>
    <t xml:space="preserve">How to Spot a Counterfeit Serum in Pakistan: Batch Codes, Seals, pH and Price Red Flags</t>
  </si>
  <si>
    <t xml:space="preserve">/guides/spot-fake-skincare-pakistan/</t>
  </si>
  <si>
    <t xml:space="preserve">All - brand trust</t>
  </si>
  <si>
    <t xml:space="preserve">The #1 documented consumer anxiety in Pakistan and there is no dedicated page anywhere on the SERP.</t>
  </si>
  <si>
    <t xml:space="preserve">The Ordinary Alternatives in Pakistan: What to Buy When You Can't Verify the Bottle</t>
  </si>
  <si>
    <t xml:space="preserve">/guides/the-ordinary-alternatives-pakistan/</t>
  </si>
  <si>
    <t xml:space="preserve">Products 1 and 5</t>
  </si>
  <si>
    <t xml:space="preserve">Generic dupe pages with no Pakistan-localised answer, despite documented counterfeit anxiety.</t>
  </si>
  <si>
    <t xml:space="preserve">mandelic acid serum pakistan</t>
  </si>
  <si>
    <t xml:space="preserve">Ingredient pillar</t>
  </si>
  <si>
    <t xml:space="preserve">Mandelic Acid for Brown Skin: Why It Beats Glycolic for Pakistani Complexions</t>
  </si>
  <si>
    <t xml:space="preserve">/ingredients/mandelic-acid/</t>
  </si>
  <si>
    <t xml:space="preserve">Only bare pharmacy catalogue listings reselling Jenpharm. Zero education.</t>
  </si>
  <si>
    <t xml:space="preserve">salicylic acid 1.5% vs 2%</t>
  </si>
  <si>
    <t xml:space="preserve">Live gap</t>
  </si>
  <si>
    <t xml:space="preserve">Explainer</t>
  </si>
  <si>
    <t xml:space="preserve">1.5% vs 2% Salicylic Acid: Which Strength Do You Actually Need?</t>
  </si>
  <si>
    <t xml:space="preserve">/ingredients/salicylic-acid/</t>
  </si>
  <si>
    <t xml:space="preserve">Product 2 (as the alternative)</t>
  </si>
  <si>
    <t xml:space="preserve">A genuine informational vacuum - competitors sell both strengths and nobody explains the difference.</t>
  </si>
  <si>
    <t xml:space="preserve">melasma at home pakistan</t>
  </si>
  <si>
    <t xml:space="preserve">Guide</t>
  </si>
  <si>
    <t xml:space="preserve">Melasma in Pakistan: What Works at Home Before You Book a Laser</t>
  </si>
  <si>
    <t xml:space="preserve">/guides/melasma-at-home-pakistan/</t>
  </si>
  <si>
    <t xml:space="preserve">9 of 10 results are laser clinics serving procedure intent. Nobody serves at-home product intent.</t>
  </si>
  <si>
    <t xml:space="preserve">tranexamic acid serum pakistan</t>
  </si>
  <si>
    <t xml:space="preserve">Tranexamic Acid for Pigmentation: The Evidence, the Concentrations, and Who Should Skip It</t>
  </si>
  <si>
    <t xml:space="preserve">/ingredients/tranexamic-acid/</t>
  </si>
  <si>
    <t xml:space="preserve">Templated advertorial with no named dermatologist and no citations.</t>
  </si>
  <si>
    <t xml:space="preserve">alpha arbutin serum pakistan</t>
  </si>
  <si>
    <t xml:space="preserve">Alpha Arbutin 2%: How It Works, and How to Tell a Real Bottle From a Fake in Pakistan</t>
  </si>
  <si>
    <t xml:space="preserve">/ingredients/alpha-arbutin/</t>
  </si>
  <si>
    <t xml:space="preserve">Two competing grey-market The Ordinary reseller domains with near-zero content.</t>
  </si>
  <si>
    <t xml:space="preserve">serum for dark spots pakistan</t>
  </si>
  <si>
    <t xml:space="preserve">Trends 2 exact, large cluster</t>
  </si>
  <si>
    <t xml:space="preserve">Neutral comparison</t>
  </si>
  <si>
    <t xml:space="preserve">Dark Spot Serums in Pakistan: An Honest Ingredient Comparison (Yes, Including Our Competitors)</t>
  </si>
  <si>
    <t xml:space="preserve">/guides/dark-spot-serums-pakistan/</t>
  </si>
  <si>
    <t xml:space="preserve">Top result declares itself #1 and disparages rivals rather than comparing. No neutral guide exists.</t>
  </si>
  <si>
    <t xml:space="preserve">serum for pigmentation pakistan</t>
  </si>
  <si>
    <t xml:space="preserve">Trends 1 exact, semantic hub</t>
  </si>
  <si>
    <t xml:space="preserve">Concern hub</t>
  </si>
  <si>
    <t xml:space="preserve">Hyperpigmentation in Pakistan: Melasma vs PIH vs Sun Spots vs Freckles</t>
  </si>
  <si>
    <t xml:space="preserve">/concerns/hyperpigmentation/</t>
  </si>
  <si>
    <t xml:space="preserve">Trego ranks an Anti-Freckles SKU for pigmentation and melasma intent - a loose keyword-stuffed mapping.</t>
  </si>
  <si>
    <t xml:space="preserve">Live SERP</t>
  </si>
  <si>
    <t xml:space="preserve">Price transparency page</t>
  </si>
  <si>
    <t xml:space="preserve">What Serums Actually Cost in Pakistan in 2026 - and What You're Paying Per ml</t>
  </si>
  <si>
    <t xml:space="preserve">/guides/serum-prices-pakistan/</t>
  </si>
  <si>
    <t xml:space="preserve">Decision</t>
  </si>
  <si>
    <t xml:space="preserve">A Daraz auto-generated tag page plus slug-stuffed PDPs. Beat it with a real price-per-ml table.</t>
  </si>
  <si>
    <t xml:space="preserve">azelaic acid serum pakistan</t>
  </si>
  <si>
    <t xml:space="preserve">Azelaic Acid 10% in Pakistan: The Best Ingredient Nobody Is Selling You</t>
  </si>
  <si>
    <t xml:space="preserve">/ingredients/azelaic-acid/</t>
  </si>
  <si>
    <t xml:space="preserve">Product 6 (future)</t>
  </si>
  <si>
    <t xml:space="preserve">Import-reseller listicles only. Build authority now so the product has a landing pad later.</t>
  </si>
  <si>
    <t xml:space="preserve">kojic acid serum pakistan</t>
  </si>
  <si>
    <t xml:space="preserve">Ingredient explainer</t>
  </si>
  <si>
    <t xml:space="preserve">Kojic Acid in Pakistan: Effective, But Read This About Stability and Sensitivity First</t>
  </si>
  <si>
    <t xml:space="preserve">/ingredients/kojic-acid/</t>
  </si>
  <si>
    <t xml:space="preserve">Product 1 (as the alternative)</t>
  </si>
  <si>
    <t xml:space="preserve">Chinese import PDPs and one competitor guide. Answer the question honestly; do not sell the ingredient.</t>
  </si>
  <si>
    <t xml:space="preserve">can i use niacinamide with vitamin c</t>
  </si>
  <si>
    <t xml:space="preserve">Verified FAQ demand</t>
  </si>
  <si>
    <t xml:space="preserve">FAQ / explainer</t>
  </si>
  <si>
    <t xml:space="preserve">Can You Use Niacinamide With Vitamin C? The Myth, and What Actually Matters in 40C Heat</t>
  </si>
  <si>
    <t xml:space="preserve">/guides/niacinamide-and-vitamin-c/</t>
  </si>
  <si>
    <t xml:space="preserve">Products 1, 3</t>
  </si>
  <si>
    <t xml:space="preserve">Competitor labels ban the combination and delegate the problem to the customer. Own the answer.</t>
  </si>
  <si>
    <t xml:space="preserve">skincare routine for pakistani skin</t>
  </si>
  <si>
    <t xml:space="preserve">Verified demand</t>
  </si>
  <si>
    <t xml:space="preserve">Routine pillar</t>
  </si>
  <si>
    <t xml:space="preserve">AM/PM Skincare Routine for Pakistani Skin: Humidity, Sun and Load-Shedding</t>
  </si>
  <si>
    <t xml:space="preserve">/guides/skincare-routine-pakistan/</t>
  </si>
  <si>
    <t xml:space="preserve">Full range</t>
  </si>
  <si>
    <t xml:space="preserve">Existing pages ignore climate constraints that define the actual use case here.</t>
  </si>
  <si>
    <t xml:space="preserve">why do whitening serums make skin darker at first</t>
  </si>
  <si>
    <t xml:space="preserve">Safety</t>
  </si>
  <si>
    <t xml:space="preserve">Purging, Rebound Darkening and Irritation-Induced Pigmentation: What's Actually Happening</t>
  </si>
  <si>
    <t xml:space="preserve">/guides/purging-vs-darkening/</t>
  </si>
  <si>
    <t xml:space="preserve">Products 1, 2, 4</t>
  </si>
  <si>
    <t xml:space="preserve">Only one weak result touches it, despite very high anxiety-driven intent.</t>
  </si>
  <si>
    <t xml:space="preserve">Mandelic vs Salicylic Acid: Which Acid Is Right for Brown, Acne-Prone Skin?</t>
  </si>
  <si>
    <t xml:space="preserve">/guides/mandelic-vs-salicylic/</t>
  </si>
  <si>
    <t xml:space="preserve">Jenpharm already ranks here. Beat it with the brown-skin PIH data their post omits.</t>
  </si>
  <si>
    <t xml:space="preserve">how long does it take to fade dark spots</t>
  </si>
  <si>
    <t xml:space="preserve">Expectation-setting guide</t>
  </si>
  <si>
    <t xml:space="preserve">How Long Dark Spots Really Take to Fade on Brown Skin (Hint: It's Months, Not Weeks)</t>
  </si>
  <si>
    <t xml:space="preserve">/guides/how-long-dark-spots-fade/</t>
  </si>
  <si>
    <t xml:space="preserve">Retention</t>
  </si>
  <si>
    <t xml:space="preserve">The single biggest driver of churn in the category, and nobody addresses it honestly. This page reduces refunds as much as it wins traffic.</t>
  </si>
  <si>
    <t xml:space="preserve">P1 = first 90 days. P2 = months 4-9. P3 = month 10+. Build P1 in this order: the Jenpharm comparison, the acne cluster, the Roman-Urdu hub, then the counterfeit trust guide.</t>
  </si>
  <si>
    <t xml:space="preserve">Product Launch Plan — top 3 opportunities</t>
  </si>
  <si>
    <t xml:space="preserve">PRODUCT 1 (HERO) - EDRMA Even-Tone Brightening Serum</t>
  </si>
  <si>
    <t xml:space="preserve">Target customer</t>
  </si>
  <si>
    <t xml:space="preserve">Women 20-38, urban Pakistan (Lahore, Karachi, Islamabad, Faisalabad, Peshawar), Fitzpatrick IV-V, household income PKR 60k-200k/month, already buying serums, active on Instagram and TikTok</t>
  </si>
  <si>
    <t xml:space="preserve">Product positioning</t>
  </si>
  <si>
    <t xml:space="preserve">The one bottle that replaces your four. Three evidence-backed brightening actives at published concentrations, formulated and tested for Pakistani heat.</t>
  </si>
  <si>
    <t xml:space="preserve">Every percentage published on the front of the pack. Three actives in one bottle. Scan-to-verify QR on every unit. Dry-down under 30 seconds with no pilling under sunscreen.</t>
  </si>
  <si>
    <t xml:space="preserve">Hero ingredient</t>
  </si>
  <si>
    <t xml:space="preserve">Alpha Arbutin 2% (at the SCCS ceiling, with pH and light control to prevent hydroquinone hydrolysis)</t>
  </si>
  <si>
    <t xml:space="preserve">Supporting ingredients</t>
  </si>
  <si>
    <t xml:space="preserve">Niacinamide 5%, Tranexamic Acid 3%, Panthenol 2%, Sodium Hyaluronate, Ferulic Acid</t>
  </si>
  <si>
    <t xml:space="preserve">Packaging concept</t>
  </si>
  <si>
    <t xml:space="preserve">30ml opaque/amber glass dropper, matte label with concentrations printed large on the front, mono carton with AM/PM order and a QR to an Urdu + English routine video. Spare dropper included. Tamper-evident shrink band.</t>
  </si>
  <si>
    <t xml:space="preserve">Target retail price</t>
  </si>
  <si>
    <t xml:space="preserve">PKR 1,790 (GST-inclusive from day one)</t>
  </si>
  <si>
    <t xml:space="preserve">Target landed cost</t>
  </si>
  <si>
    <t xml:space="preserve">PKR 340/unit at 2,500 units (incl. testing amortisation)</t>
  </si>
  <si>
    <t xml:space="preserve">Target gross margin</t>
  </si>
  <si>
    <t xml:space="preserve">81% gross; ~48% contribution after PKR 637 blended logistics and 25% RTO; positive net only above ~PKR 1,690 single-unit once CAC is paid - so sell it in bundles</t>
  </si>
  <si>
    <t xml:space="preserve">Launch channel</t>
  </si>
  <si>
    <t xml:space="preserve">edrma.com (Shopify) + Meta and TikTok paid + Instagram/WhatsApp COD. NOT Daraz in month 1 - protect price and brand before entering a discount marketplace.</t>
  </si>
  <si>
    <t xml:space="preserve">SEO strategy</t>
  </si>
  <si>
    <t xml:space="preserve">Own the brightening cluster the incumbents left open: /brightening-serums/ collection, /concerns/hyperpigmentation/ hub, /ingredients/alpha-arbutin/ + /tranexamic-acid/ + /niacinamide/, and the Jenpharm Maxdif vs NiaRonic comparison. Use 'whitening' in title tags and meta only; 'brightening' on pack and in brand voice. Launch /ur/ Roman-Urdu hub in month 2.</t>
  </si>
  <si>
    <t xml:space="preserve">TikTok strategy</t>
  </si>
  <si>
    <t xml:space="preserve">12-week dated progress diaries with the in-box progress card visible. Scan-to-verify demos (the counterfeit anxiety angle). Texture tests: sweat, sunscreen layering, no-pilling proof shot in real Karachi heat. Creator seeding to micro-creators 10k-80k, not celebrities.</t>
  </si>
  <si>
    <t xml:space="preserve">Instagram strategy</t>
  </si>
  <si>
    <t xml:space="preserve">Concentration-comparison carousels (EDRMA vs the market, with competitor percentages shown honestly). Dermatologist collaboration with named PMDC-registered doctors. Urdu + English reels. Customer photo reviews as the primary social proof asset.</t>
  </si>
  <si>
    <t xml:space="preserve">Meta ads strategy</t>
  </si>
  <si>
    <t xml:space="preserve">Problem-aware creative around dark marks that will not fade, and routine fatigue ('four bottles, no change'). BUNDLE-FIRST offers - a 3-unit bundle nets roughly PKR 1,518 vs MINUS 319 for a single unit at 1,290. Prepaid discount to cut both RTO and the tax rate. WhatsApp order confirmation before dispatch.</t>
  </si>
  <si>
    <t xml:space="preserve">Influencer strategy</t>
  </si>
  <si>
    <t xml:space="preserve">10-15 micro-creators on a 12-week honest-timeline brief, not a one-post review. Pay for the 12-week follow-up post, not the unboxing. Ban 'whitening', 'fairness', 'treat', 'cure' from every brief.</t>
  </si>
  <si>
    <t xml:space="preserve">Launch priority</t>
  </si>
  <si>
    <t xml:space="preserve">1 - LAUNCH FIRST</t>
  </si>
  <si>
    <t xml:space="preserve">Key risks</t>
  </si>
  <si>
    <t xml:space="preserve">Alpha arbutin at 2% has zero regulatory headroom (SCCS face-cream ceiling) - QC every batch. Tranexamic acid attracts melasma claims; enforce claim discipline or risk drug reclassification. COD RTO above 30% breaks the model. Meta/TikTok can ban the ad account for before/after skin imagery faster than any regulator acts.</t>
  </si>
  <si>
    <t xml:space="preserve">PRODUCT 2 - EDRMA Clear+Fade Acne &amp; Marks Serum</t>
  </si>
  <si>
    <t xml:space="preserve">Men and women 16-28, oily and combination skin, students and early-career, active acne plus the dark marks it leaves behind</t>
  </si>
  <si>
    <t xml:space="preserve">Strong enough to clear, gentle enough to keep using. The right acid for brown skin - because the wrong one leaves marks worse than the spots.</t>
  </si>
  <si>
    <t xml:space="preserve">Mandelic acid: the largest AHA molecule, so the slowest penetration and the lowest PIH risk on Fitzpatrick IV-V. Treats acne AND the marks in one bottle. 10%, not Jenpharm's aggressive 20%.</t>
  </si>
  <si>
    <t xml:space="preserve">Mandelic Acid 10%</t>
  </si>
  <si>
    <t xml:space="preserve">Niacinamide 4%, Zinc PCA 1%, Centella Asiatica, Panthenol</t>
  </si>
  <si>
    <t xml:space="preserve">30ml opaque glass dropper, AHA sunburn-alert on the carton, patch-test protocol printed inside the box, spare dropper, scan-to-verify QR</t>
  </si>
  <si>
    <t xml:space="preserve">PKR 1,590 (GST-inclusive)</t>
  </si>
  <si>
    <t xml:space="preserve">PKR 310/unit at 2,500 units</t>
  </si>
  <si>
    <t xml:space="preserve">80% gross; ~44% contribution at 25% RTO</t>
  </si>
  <si>
    <t xml:space="preserve">Same as Product 1, launched month 3 as the natural bundle partner</t>
  </si>
  <si>
    <t xml:space="preserve">Take the acne cluster - it has the weakest SERP of any high-demand query in Pakistan. /acne-serums/, /ingredients/mandelic-acid/, /guides/acne-marks-vs-scars/, /guides/best-acne-serum-pakistan/, /guides/mandelic-vs-salicylic/. Hair-care brands currently rank for face-acne queries - that gap closes fast, so move early.</t>
  </si>
  <si>
    <t xml:space="preserve">The strongest visual-proof product in the range. 12-week acne diaries. 'Why your acid is making your marks worse' educational hooks. Ingredient-myth debunks.</t>
  </si>
  <si>
    <t xml:space="preserve">Before/after within advertising policy limits (be careful - Meta restricts skin before/after). Focus on the science explainer format and creator diaries instead.</t>
  </si>
  <si>
    <t xml:space="preserve">Target the acne + marks overlap explicitly - it is the single most-searched combination and almost nobody sells to it as one problem. Bundle with Product 4 (Barrier Calm) to reduce irritation-driven churn.</t>
  </si>
  <si>
    <t xml:space="preserve">Acne-journey creators over beauty creators. Authenticity beats reach in this category.</t>
  </si>
  <si>
    <t xml:space="preserve">2 - month 3</t>
  </si>
  <si>
    <t xml:space="preserve">AHA irritation on IV-V skin creates the very PIH the product treats - hence 10% not 20%. Yellowing over shelf life needs stability testing. Never say 'treats acne' - that is a drug claim in Pakistan, the US and the UAE.</t>
  </si>
  <si>
    <t xml:space="preserve">PRODUCT 3 - EDRMA Glow C Heat-Stable Vitamin C</t>
  </si>
  <si>
    <t xml:space="preserve">Women 22-40 already buying vitamin C and frustrated that it turns brown</t>
  </si>
  <si>
    <t xml:space="preserve">The vitamin C that survives a Pakistani summer. No fridge required.</t>
  </si>
  <si>
    <t xml:space="preserve">3-O-Ethyl Ascorbic Acid 10% - a stable derivative, not LAA. Directly out-specs Jenpharm Maxdif's 3% Sodium Ascorbyl Phosphate. On-pack stability claim backed by accelerated testing at 40C.</t>
  </si>
  <si>
    <t xml:space="preserve">3-O-Ethyl Ascorbic Acid 10%</t>
  </si>
  <si>
    <t xml:space="preserve">Ferulic Acid, Tocopherol, Sodium Hyaluronate</t>
  </si>
  <si>
    <t xml:space="preserve">30ml fully opaque bottle or airless pump. 'Stable above 30C' printed on-pack. Consider a 20ml format so it is used before it degrades.</t>
  </si>
  <si>
    <t xml:space="preserve">PKR 1,890</t>
  </si>
  <si>
    <t xml:space="preserve">PKR 395/unit</t>
  </si>
  <si>
    <t xml:space="preserve">79% gross; ~46% contribution at 25% RTO</t>
  </si>
  <si>
    <t xml:space="preserve">Month 6, once brand trust and review volume exist</t>
  </si>
  <si>
    <t xml:space="preserve">Do NOT lead here. SkinFactor and Sachet hold genuinely strong vitamin C content. Enter via the oxidation angle instead: 'why did my vitamin C turn orange', 'vitamin C that doesn't oxidise in Pakistan' - a documented, unanswered user complaint.</t>
  </si>
  <si>
    <t xml:space="preserve">Side-by-side oxidation test against a competitor bottle over 8 weeks in real conditions. Highly shareable and hard to fake.</t>
  </si>
  <si>
    <t xml:space="preserve">Stability data as content. Publish the accelerated testing results.</t>
  </si>
  <si>
    <t xml:space="preserve">Retarget existing customers first - lowest CAC. Cold traffic only after the oxidation-test creative proves out.</t>
  </si>
  <si>
    <t xml:space="preserve">Minimal. This SKU sells on evidence, not personality.</t>
  </si>
  <si>
    <t xml:space="preserve">3 - month 6</t>
  </si>
  <si>
    <t xml:space="preserve">Vitamin C is the most crowded and best-defended term in Pakistan and demand is trending DOWN (Trends 80s in Nov-25 to 60s now). If the stability claim fails in the field it damages the whole brand's credibility - test properly before claiming.</t>
  </si>
  <si>
    <t xml:space="preserve">Scoring Model &amp; Research Methodology</t>
  </si>
  <si>
    <t xml:space="preserve">Criterion</t>
  </si>
  <si>
    <t xml:space="preserve">Max Points</t>
  </si>
  <si>
    <t xml:space="preserve">How it is scored</t>
  </si>
  <si>
    <t xml:space="preserve">Demand</t>
  </si>
  <si>
    <t xml:space="preserve">Google Trends Pakistan 12-month relative interest, cross-checked against SERP result density and marketplace listing counts. 20 = Trends 60+; 15 = 35-59; 10 = 15-34; 5 = 5-14; 0-3 = below 5.</t>
  </si>
  <si>
    <t xml:space="preserve">LOWER competition scores HIGHER. Judged on number of credible incumbents, their formulation transparency, their content depth and their organic visibility - not on raw competitor count. A crowded shelf of weak, opaque products scores better than two strong ones.</t>
  </si>
  <si>
    <t xml:space="preserve">Share of the keyword cluster that is transactional or commercial-investigation rather than informational, plus observed willingness-to-pay from verified competitor pricing.</t>
  </si>
  <si>
    <t xml:space="preserve">Margin Potential</t>
  </si>
  <si>
    <t xml:space="preserve">Gross margin at target retail after the bottom-up cost stack, then stress-tested for PKR 637/order blended logistics at 25% COD RTO and 4% courier-withheld tax.</t>
  </si>
  <si>
    <t xml:space="preserve">Differentiation</t>
  </si>
  <si>
    <t xml:space="preserve">Whether EDRMA can hold a defensible position that incumbents cannot copy within 6 months - published concentrations, brown-skin-justified actives, verification, climate testing.</t>
  </si>
  <si>
    <t xml:space="preserve">Repeat Purchase</t>
  </si>
  <si>
    <t xml:space="preserve">Expected usage duration, natural repurchase cycle and bundle/subscription fit. A 30ml serum at 2x daily lasts roughly 6-8 weeks, giving 6-8 orders per year at full retention.</t>
  </si>
  <si>
    <t xml:space="preserve">Manual SERP inspection: quality and type of the currently-ranking pages, and how realistic it is for a new domain to displace them.</t>
  </si>
  <si>
    <t xml:space="preserve">Whether the benefit is visibly demonstrable on TikTok/Instagram within a filmable timeframe, and whether the category already has creator momentum.</t>
  </si>
  <si>
    <t xml:space="preserve">Manufacturing Feasibility</t>
  </si>
  <si>
    <t xml:space="preserve">Difficulty for a Pakistani contract manufacturer at 2,000-5,000 unit MOQ: pH tolerance, equipment needs (e.g. high-shear homogeniser), stability risk, raw-material availability.</t>
  </si>
  <si>
    <t xml:space="preserve">Regulatory / Business Risk</t>
  </si>
  <si>
    <t xml:space="preserve">LOWER risk scores HIGHER. Covers cosmetic-vs-drug claim exposure, concentration ceilings in PK/EU/UK/GCC/US, and reputational risk in a market defined by hydroquinone and mercury contamination scandals.</t>
  </si>
  <si>
    <t xml:space="preserve">TOTAL</t>
  </si>
  <si>
    <t xml:space="preserve">UNIT ECONOMICS MODEL (Pakistan D2C, COD)</t>
  </si>
  <si>
    <t xml:space="preserve">Line</t>
  </si>
  <si>
    <t xml:space="preserve">Value</t>
  </si>
  <si>
    <t xml:space="preserve">Basis</t>
  </si>
  <si>
    <t xml:space="preserve">Retail price (GST-inclusive)</t>
  </si>
  <si>
    <t xml:space="preserve">Estimated / target — sits above the crowded PKR 800-1,500 band and below The Ordinary's PKR 3,150</t>
  </si>
  <si>
    <t xml:space="preserve">Landed product cost per unit</t>
  </si>
  <si>
    <t xml:space="preserve">Estimated bottom-up at 2,500 units incl. testing amortisation (PKR 34-148/unit)</t>
  </si>
  <si>
    <t xml:space="preserve">COD RTO rate</t>
  </si>
  <si>
    <t xml:space="preserve">Verified industry range 20-35% for Pakistani Shopify COD; 25% is the midpoint for a new unoptimised brand</t>
  </si>
  <si>
    <t xml:space="preserve">Effective COGS (RTO write-off)</t>
  </si>
  <si>
    <t xml:space="preserve">Calculated: cost x (1 + RTO x 0.2 damage rate) — 80% of returned stock is resaleable</t>
  </si>
  <si>
    <t xml:space="preserve">Forward shipping per order</t>
  </si>
  <si>
    <t xml:space="preserve">Verified blended: TCS 275-330, Leopards 230-260, M&amp;P 235-280</t>
  </si>
  <si>
    <t xml:space="preserve">Return-leg charge</t>
  </si>
  <si>
    <t xml:space="preserve">Estimated at ~70% of forward — no Pakistani courier publishes an RTO rate</t>
  </si>
  <si>
    <t xml:space="preserve">COD service fee</t>
  </si>
  <si>
    <t xml:space="preserve">Verified blended: TCS 125-200 flat, Leopards 100-150</t>
  </si>
  <si>
    <t xml:space="preserve">Shipping packaging</t>
  </si>
  <si>
    <t xml:space="preserve">Verified flyer bags PKR 12-33 each, plus bubble wrap</t>
  </si>
  <si>
    <t xml:space="preserve">Blended logistics per DELIVERED order</t>
  </si>
  <si>
    <t xml:space="preserve">Calculated: forward/(1-RTO) + return leg loading + COD fee + packaging</t>
  </si>
  <si>
    <t xml:space="preserve">Courier-withheld tax</t>
  </si>
  <si>
    <t xml:space="preserve">VERIFIED: 2% income tax + 2% sales tax on COD gross, effective 1 Jul 2025 (3% if prepaid)</t>
  </si>
  <si>
    <t xml:space="preserve">Net revenue after tax</t>
  </si>
  <si>
    <t xml:space="preserve">CONTRIBUTION per delivered order</t>
  </si>
  <si>
    <t xml:space="preserve">Calculated: net revenue - logistics - effective COGS</t>
  </si>
  <si>
    <t xml:space="preserve">Contribution margin %</t>
  </si>
  <si>
    <t xml:space="preserve">Estimated CAC (Meta/TikTok, cold)</t>
  </si>
  <si>
    <t xml:space="preserve">ESTIMATED PKR 350-900 — NOT VERIFIED. Measure this in week 1; the whole model turns on it</t>
  </si>
  <si>
    <t xml:space="preserve">NET per single-unit order</t>
  </si>
  <si>
    <t xml:space="preserve">Calculated: contribution - CAC</t>
  </si>
  <si>
    <t xml:space="preserve">NET per 3-unit bundle order</t>
  </si>
  <si>
    <t xml:space="preserve">Calculated: bundle spreads one set of logistics and one CAC across three units</t>
  </si>
  <si>
    <t xml:space="preserve">Blue = input you can change. Black = formula. Yellow = the numbers that decide the business.</t>
  </si>
  <si>
    <t xml:space="preserve">RESEARCH METHODOLOGY, SOURCES AND KNOWN GAPS</t>
  </si>
  <si>
    <t xml:space="preserve">DATA STATUS DEFINITIONS</t>
  </si>
  <si>
    <t xml:space="preserve">Directly observed on a cited source during this research - a live web page, a Google Trends export, or a Semrush API response. The URL is given.</t>
  </si>
  <si>
    <t xml:space="preserve">Estimated</t>
  </si>
  <si>
    <t xml:space="preserve">Not published anywhere reachable. Derived from comparable market data with the reasoning basis stated. Treat as a planning figure requiring confirmation.</t>
  </si>
  <si>
    <t xml:space="preserve">Arithmetic performed on Verified or Estimated inputs (e.g. price per ml, gross margin, opportunity score).</t>
  </si>
  <si>
    <t xml:space="preserve">Assumption</t>
  </si>
  <si>
    <t xml:space="preserve">A strategic judgement, not a data point.</t>
  </si>
  <si>
    <t xml:space="preserve">SOURCES USED</t>
  </si>
  <si>
    <t xml:space="preserve">Google Trends (Pakistan)</t>
  </si>
  <si>
    <t xml:space="preserve">Primary demand source. Read directly in-browser, 12-month and 5-year windows. Relative interest, NOT absolute search volume.</t>
  </si>
  <si>
    <t xml:space="preserve">Semrush API</t>
  </si>
  <si>
    <t xml:space="preserve">Used for the initial Pakistan keyword pull, then API units were exhausted mid-research. All later keyword work is Trends + manual SERP inspection.</t>
  </si>
  <si>
    <t xml:space="preserve">Live SERP inspection</t>
  </si>
  <si>
    <t xml:space="preserve">18 Pakistan-intent queries inspected manually. Rank positions are indicative, not verified - the search index used is US-based with 'Pakistan' appended to each query.</t>
  </si>
  <si>
    <t xml:space="preserve">Competitor websites</t>
  </si>
  <si>
    <t xml:space="preserve">~30 brand and retailer sites fetched directly for price, size, concentration, review count and content depth.</t>
  </si>
  <si>
    <t xml:space="preserve">Customer review mining</t>
  </si>
  <si>
    <t xml:space="preserve">acne.org, Sephora Beauty Insider Community (incl. Deeper Shades), gopicky, Sitejabber, Reviews.io, essentialdayspa, plus Pakistani D2C review widgets.</t>
  </si>
  <si>
    <t xml:space="preserve">KNOWN GAPS - READ BEFORE ACTING</t>
  </si>
  <si>
    <t xml:space="preserve">Reddit and Amazon blocked</t>
  </si>
  <si>
    <t xml:space="preserve">The egress policy blocked Reddit, Amazon and Amazon.in entirely. Customer pain-point themes were built from reachable equivalents. The climate and smell themes are the least-evidenced as a result.</t>
  </si>
  <si>
    <t xml:space="preserve">Daraz review API blocked</t>
  </si>
  <si>
    <t xml:space="preserve">Item-level Daraz 1-3 star reviews were unreachable. Pakistani counterfeit and shipping evidence comes from marketplace-level review platforms instead.</t>
  </si>
  <si>
    <t xml:space="preserve">Instagram follower counts</t>
  </si>
  <si>
    <t xml:space="preserve">Instagram blocks automated access. NO follower count in this workbook is verified. Capture these manually before relying on them.</t>
  </si>
  <si>
    <t xml:space="preserve">Raw material pricing</t>
  </si>
  <si>
    <t xml:space="preserve">The largest unverified variable in the entire model. Chinese suppliers gate pricing behind 'contact us'. Get three written contract-manufacturer quotes with per-kg active costs itemised before committing capital.</t>
  </si>
  <si>
    <t xml:space="preserve">Regulatory status in flux</t>
  </si>
  <si>
    <t xml:space="preserve">The Pakistan General Cosmetics Act 2023 was passed but never implemented and a Repeal Bill was endorsed in Nov 2025. Whether PSQCA asserts PS 3228 ('Skin Cream') over serums is a live grey area. Confirm both in writing before printing labels.</t>
  </si>
  <si>
    <t xml:space="preserve">Customer acquisition cost</t>
  </si>
  <si>
    <t xml:space="preserve">Estimated at PKR 350-900 per purchase for Pakistani skincare on Meta/TikTok. NOT verified. Measure it in week 1 - the entire pricing model turns on it.</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</si>
</sst>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1"/>
      <name val="Arial"/>
      <family val="0"/>
      <charset val="1"/>
    </font>
    <font>
      <b val="true"/>
      <sz val="12"/>
      <color rgb="FF1F3864"/>
      <name val="Arial"/>
      <family val="0"/>
      <charset val="1"/>
    </font>
    <font>
      <b val="true"/>
      <sz val="10"/>
      <name val="Arial"/>
      <family val="0"/>
      <charset val="1"/>
    </font>
    <font>
      <i val="true"/>
      <sz val="9"/>
      <color rgb="FF555555"/>
      <name val="Arial"/>
      <family val="0"/>
      <charset val="1"/>
    </font>
    <font>
      <b val="true"/>
      <sz val="12"/>
      <color rgb="FFFFFFFF"/>
      <name val="Arial"/>
      <family val="0"/>
      <charset val="1"/>
    </font>
    <font>
      <sz val="10"/>
      <color rgb="FF0000FF"/>
      <name val="Arial"/>
      <family val="0"/>
      <charset val="1"/>
    </font>
    <font>
      <sz val="9"/>
      <name val="Arial"/>
      <family val="0"/>
      <charset val="1"/>
    </font>
  </fonts>
  <fills count="11">
    <fill>
      <patternFill patternType="none"/>
    </fill>
    <fill>
      <patternFill patternType="gray125"/>
    </fill>
    <fill>
      <patternFill patternType="solid">
        <fgColor rgb="FF1F3864"/>
        <bgColor rgb="FF333333"/>
      </patternFill>
    </fill>
    <fill>
      <patternFill patternType="solid">
        <fgColor rgb="FFC6EFCE"/>
        <bgColor rgb="FFDCE6F1"/>
      </patternFill>
    </fill>
    <fill>
      <patternFill patternType="solid">
        <fgColor rgb="FFF4F7FB"/>
        <bgColor rgb="FFF2F2F2"/>
      </patternFill>
    </fill>
    <fill>
      <patternFill patternType="solid">
        <fgColor rgb="FFFFEB9C"/>
        <bgColor rgb="FFFFF2CC"/>
      </patternFill>
    </fill>
    <fill>
      <patternFill patternType="solid">
        <fgColor rgb="FFFFC7CE"/>
        <bgColor rgb="FFFFEB9C"/>
      </patternFill>
    </fill>
    <fill>
      <patternFill patternType="solid">
        <fgColor rgb="FFFF7C80"/>
        <bgColor rgb="FFFF99CC"/>
      </patternFill>
    </fill>
    <fill>
      <patternFill patternType="solid">
        <fgColor rgb="FFF2F2F2"/>
        <bgColor rgb="FFF4F7FB"/>
      </patternFill>
    </fill>
    <fill>
      <patternFill patternType="solid">
        <fgColor rgb="FFDCE6F1"/>
        <bgColor rgb="FFF2F2F2"/>
      </patternFill>
    </fill>
    <fill>
      <patternFill patternType="solid">
        <fgColor rgb="FFFFF2CC"/>
        <bgColor rgb="FFF2F2F2"/>
      </patternFill>
    </fill>
  </fills>
  <borders count="2">
    <border diagonalUp="false" diagonalDown="false">
      <left/>
      <right/>
      <top/>
      <bottom/>
      <diagonal/>
    </border>
    <border diagonalUp="false" diagonalDown="false">
      <left style="thin">
        <color rgb="FFB7C6DD"/>
      </left>
      <right style="thin">
        <color rgb="FFB7C6DD"/>
      </right>
      <top style="thin">
        <color rgb="FFB7C6DD"/>
      </top>
      <bottom style="thin">
        <color rgb="FFB7C6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top" textRotation="0" wrapText="false" indent="0" shrinkToFit="false"/>
      <protection locked="true" hidden="false"/>
    </xf>
    <xf numFmtId="166" fontId="6" fillId="0" borderId="1" xfId="0" applyFont="true" applyBorder="true" applyAlignment="true" applyProtection="false">
      <alignment horizontal="left" vertical="top" textRotation="0" wrapText="false" indent="0" shrinkToFit="false"/>
      <protection locked="true" hidden="false"/>
    </xf>
    <xf numFmtId="165" fontId="6" fillId="4" borderId="1" xfId="0" applyFont="true" applyBorder="true" applyAlignment="true" applyProtection="false">
      <alignment horizontal="left" vertical="top" textRotation="0" wrapText="false" indent="0" shrinkToFit="false"/>
      <protection locked="true" hidden="false"/>
    </xf>
    <xf numFmtId="166" fontId="6" fillId="4" borderId="1" xfId="0" applyFont="true" applyBorder="true" applyAlignment="true" applyProtection="false">
      <alignment horizontal="lef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7" fontId="6" fillId="0"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center" vertical="top" textRotation="0" wrapText="false" indent="0" shrinkToFit="false"/>
      <protection locked="true" hidden="false"/>
    </xf>
    <xf numFmtId="165" fontId="6" fillId="4" borderId="1" xfId="0" applyFont="true" applyBorder="true" applyAlignment="true" applyProtection="false">
      <alignment horizontal="center" vertical="top" textRotation="0" wrapText="false" indent="0" shrinkToFit="false"/>
      <protection locked="true" hidden="false"/>
    </xf>
    <xf numFmtId="167" fontId="6" fillId="4"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top"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8" fontId="7" fillId="9" borderId="0" xfId="0" applyFont="true" applyBorder="false" applyAlignment="true" applyProtection="false">
      <alignment horizontal="center"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5" fontId="9" fillId="10" borderId="1" xfId="0" applyFont="true" applyBorder="true" applyAlignment="false" applyProtection="false">
      <alignment horizontal="general" vertical="bottom" textRotation="0" wrapText="false" indent="0" shrinkToFit="false"/>
      <protection locked="true" hidden="false"/>
    </xf>
    <xf numFmtId="166" fontId="9" fillId="10" borderId="1" xfId="0" applyFont="true" applyBorder="true" applyAlignment="false" applyProtection="false">
      <alignment horizontal="general"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4F7FB"/>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7C80"/>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D"/>
      <rgbColor rgb="FF808080"/>
      <rgbColor rgb="FF9999FF"/>
      <rgbColor rgb="FF993366"/>
      <rgbColor rgb="FFFFF2CC"/>
      <rgbColor rgb="FFDCE6F1"/>
      <rgbColor rgb="FF660066"/>
      <rgbColor rgb="FFFF7C80"/>
      <rgbColor rgb="FF0066CC"/>
      <rgbColor rgb="FFF2F2F2"/>
      <rgbColor rgb="FF000080"/>
      <rgbColor rgb="FFFF00FF"/>
      <rgbColor rgb="FFFFFF00"/>
      <rgbColor rgb="FF00FFFF"/>
      <rgbColor rgb="FF800080"/>
      <rgbColor rgb="FF800000"/>
      <rgbColor rgb="FF008080"/>
      <rgbColor rgb="FF0000FF"/>
      <rgbColor rgb="FF00CCFF"/>
      <rgbColor rgb="FFF4F7FB"/>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2"/>
    <col collapsed="false" customWidth="true" hidden="false" outlineLevel="0" max="4" min="4" style="0" width="20"/>
    <col collapsed="false" customWidth="true" hidden="false" outlineLevel="0" max="5" min="5" style="0" width="18"/>
    <col collapsed="false" customWidth="true" hidden="false" outlineLevel="0" max="7" min="6" style="0" width="14"/>
    <col collapsed="false" customWidth="true" hidden="false" outlineLevel="0" max="8" min="8" style="0" width="26"/>
    <col collapsed="false" customWidth="true" hidden="false" outlineLevel="0" max="9" min="9" style="0" width="78"/>
    <col collapsed="false" customWidth="true" hidden="false" outlineLevel="0" max="10" min="10" style="0" width="12"/>
  </cols>
  <sheetData>
    <row r="1" customFormat="false" ht="21.75" hidden="false" customHeight="true" outlineLevel="0" collapsed="false">
      <c r="A1" s="1" t="s">
        <v>0</v>
      </c>
    </row>
    <row r="2" customFormat="false" ht="6" hidden="false" customHeight="true" outlineLevel="0" collapsed="false"/>
    <row r="3" customFormat="false" ht="42" hidden="false" customHeight="true" outlineLevel="0" collapsed="false">
      <c r="A3" s="2" t="s">
        <v>1</v>
      </c>
      <c r="B3" s="2" t="s">
        <v>2</v>
      </c>
      <c r="C3" s="2" t="s">
        <v>3</v>
      </c>
      <c r="D3" s="2" t="s">
        <v>4</v>
      </c>
      <c r="E3" s="2" t="s">
        <v>5</v>
      </c>
      <c r="F3" s="2" t="s">
        <v>6</v>
      </c>
      <c r="G3" s="2" t="s">
        <v>7</v>
      </c>
      <c r="H3" s="2" t="s">
        <v>8</v>
      </c>
      <c r="I3" s="2" t="s">
        <v>9</v>
      </c>
      <c r="J3" s="2" t="s">
        <v>10</v>
      </c>
    </row>
    <row r="4" customFormat="false" ht="73.5" hidden="false" customHeight="true" outlineLevel="0" collapsed="false">
      <c r="A4" s="3" t="n">
        <v>1</v>
      </c>
      <c r="B4" s="4" t="s">
        <v>11</v>
      </c>
      <c r="C4" s="5" t="n">
        <v>78</v>
      </c>
      <c r="D4" s="6" t="s">
        <v>12</v>
      </c>
      <c r="E4" s="4" t="s">
        <v>13</v>
      </c>
      <c r="F4" s="3" t="s">
        <v>14</v>
      </c>
      <c r="G4" s="3" t="s">
        <v>15</v>
      </c>
      <c r="H4" s="4" t="s">
        <v>16</v>
      </c>
      <c r="I4" s="4" t="s">
        <v>17</v>
      </c>
      <c r="J4" s="3" t="s">
        <v>18</v>
      </c>
    </row>
    <row r="5" customFormat="false" ht="73.5" hidden="false" customHeight="true" outlineLevel="0" collapsed="false">
      <c r="A5" s="7" t="n">
        <v>2</v>
      </c>
      <c r="B5" s="8" t="s">
        <v>19</v>
      </c>
      <c r="C5" s="5" t="n">
        <v>74</v>
      </c>
      <c r="D5" s="9" t="s">
        <v>20</v>
      </c>
      <c r="E5" s="8" t="s">
        <v>21</v>
      </c>
      <c r="F5" s="7" t="s">
        <v>22</v>
      </c>
      <c r="G5" s="7" t="s">
        <v>23</v>
      </c>
      <c r="H5" s="8" t="s">
        <v>24</v>
      </c>
      <c r="I5" s="8" t="s">
        <v>25</v>
      </c>
      <c r="J5" s="7" t="s">
        <v>18</v>
      </c>
    </row>
    <row r="6" customFormat="false" ht="73.5" hidden="false" customHeight="true" outlineLevel="0" collapsed="false">
      <c r="A6" s="3" t="n">
        <v>3</v>
      </c>
      <c r="B6" s="4" t="s">
        <v>26</v>
      </c>
      <c r="C6" s="10" t="n">
        <v>69</v>
      </c>
      <c r="D6" s="6" t="s">
        <v>27</v>
      </c>
      <c r="E6" s="4" t="s">
        <v>28</v>
      </c>
      <c r="F6" s="3" t="s">
        <v>29</v>
      </c>
      <c r="G6" s="3" t="s">
        <v>30</v>
      </c>
      <c r="H6" s="4" t="s">
        <v>31</v>
      </c>
      <c r="I6" s="4" t="s">
        <v>32</v>
      </c>
      <c r="J6" s="3" t="s">
        <v>18</v>
      </c>
    </row>
    <row r="7" customFormat="false" ht="73.5" hidden="false" customHeight="true" outlineLevel="0" collapsed="false">
      <c r="A7" s="7" t="n">
        <v>4</v>
      </c>
      <c r="B7" s="8" t="s">
        <v>33</v>
      </c>
      <c r="C7" s="10" t="n">
        <v>63</v>
      </c>
      <c r="D7" s="9" t="s">
        <v>34</v>
      </c>
      <c r="E7" s="8" t="s">
        <v>35</v>
      </c>
      <c r="F7" s="7" t="s">
        <v>36</v>
      </c>
      <c r="G7" s="7" t="s">
        <v>37</v>
      </c>
      <c r="H7" s="8" t="s">
        <v>38</v>
      </c>
      <c r="I7" s="8" t="s">
        <v>39</v>
      </c>
      <c r="J7" s="7" t="s">
        <v>18</v>
      </c>
    </row>
    <row r="8" customFormat="false" ht="73.5" hidden="false" customHeight="true" outlineLevel="0" collapsed="false">
      <c r="A8" s="3" t="n">
        <v>5</v>
      </c>
      <c r="B8" s="4" t="s">
        <v>40</v>
      </c>
      <c r="C8" s="10" t="n">
        <v>58</v>
      </c>
      <c r="D8" s="6" t="s">
        <v>41</v>
      </c>
      <c r="E8" s="4" t="s">
        <v>42</v>
      </c>
      <c r="F8" s="3" t="s">
        <v>43</v>
      </c>
      <c r="G8" s="3" t="s">
        <v>44</v>
      </c>
      <c r="H8" s="4" t="s">
        <v>38</v>
      </c>
      <c r="I8" s="4" t="s">
        <v>45</v>
      </c>
      <c r="J8" s="3" t="s">
        <v>18</v>
      </c>
    </row>
    <row r="9" customFormat="false" ht="73.5" hidden="false" customHeight="true" outlineLevel="0" collapsed="false">
      <c r="A9" s="7" t="n">
        <v>6</v>
      </c>
      <c r="B9" s="8" t="s">
        <v>46</v>
      </c>
      <c r="C9" s="10" t="n">
        <v>56</v>
      </c>
      <c r="D9" s="9" t="s">
        <v>47</v>
      </c>
      <c r="E9" s="8" t="s">
        <v>48</v>
      </c>
      <c r="F9" s="7" t="s">
        <v>36</v>
      </c>
      <c r="G9" s="7" t="s">
        <v>49</v>
      </c>
      <c r="H9" s="8" t="s">
        <v>31</v>
      </c>
      <c r="I9" s="8" t="s">
        <v>50</v>
      </c>
      <c r="J9" s="7" t="s">
        <v>18</v>
      </c>
    </row>
    <row r="10" customFormat="false" ht="73.5" hidden="false" customHeight="true" outlineLevel="0" collapsed="false">
      <c r="A10" s="3" t="n">
        <v>7</v>
      </c>
      <c r="B10" s="4" t="s">
        <v>51</v>
      </c>
      <c r="C10" s="11" t="n">
        <v>49</v>
      </c>
      <c r="D10" s="6" t="s">
        <v>52</v>
      </c>
      <c r="E10" s="4" t="s">
        <v>53</v>
      </c>
      <c r="F10" s="3" t="s">
        <v>29</v>
      </c>
      <c r="G10" s="3" t="s">
        <v>54</v>
      </c>
      <c r="H10" s="4" t="s">
        <v>53</v>
      </c>
      <c r="I10" s="4" t="s">
        <v>55</v>
      </c>
      <c r="J10" s="3" t="s">
        <v>18</v>
      </c>
    </row>
    <row r="11" customFormat="false" ht="73.5" hidden="false" customHeight="true" outlineLevel="0" collapsed="false">
      <c r="A11" s="7" t="n">
        <v>8</v>
      </c>
      <c r="B11" s="8" t="s">
        <v>56</v>
      </c>
      <c r="C11" s="11" t="n">
        <v>45</v>
      </c>
      <c r="D11" s="9" t="s">
        <v>57</v>
      </c>
      <c r="E11" s="8" t="s">
        <v>53</v>
      </c>
      <c r="F11" s="7" t="s">
        <v>58</v>
      </c>
      <c r="G11" s="7" t="s">
        <v>59</v>
      </c>
      <c r="H11" s="8" t="s">
        <v>53</v>
      </c>
      <c r="I11" s="8" t="s">
        <v>60</v>
      </c>
      <c r="J11" s="7" t="s">
        <v>18</v>
      </c>
    </row>
    <row r="12" customFormat="false" ht="73.5" hidden="false" customHeight="true" outlineLevel="0" collapsed="false">
      <c r="A12" s="3" t="n">
        <v>9</v>
      </c>
      <c r="B12" s="4" t="s">
        <v>61</v>
      </c>
      <c r="C12" s="11" t="n">
        <v>41</v>
      </c>
      <c r="D12" s="6" t="s">
        <v>62</v>
      </c>
      <c r="E12" s="4" t="s">
        <v>53</v>
      </c>
      <c r="F12" s="3" t="s">
        <v>43</v>
      </c>
      <c r="G12" s="3" t="s">
        <v>63</v>
      </c>
      <c r="H12" s="4" t="s">
        <v>53</v>
      </c>
      <c r="I12" s="4" t="s">
        <v>64</v>
      </c>
      <c r="J12" s="3" t="s">
        <v>18</v>
      </c>
    </row>
    <row r="13" customFormat="false" ht="73.5" hidden="false" customHeight="true" outlineLevel="0" collapsed="false">
      <c r="A13" s="7" t="n">
        <v>10</v>
      </c>
      <c r="B13" s="8" t="s">
        <v>65</v>
      </c>
      <c r="C13" s="11" t="n">
        <v>33</v>
      </c>
      <c r="D13" s="9" t="s">
        <v>66</v>
      </c>
      <c r="E13" s="8" t="s">
        <v>53</v>
      </c>
      <c r="F13" s="7" t="s">
        <v>29</v>
      </c>
      <c r="G13" s="7" t="s">
        <v>67</v>
      </c>
      <c r="H13" s="8" t="s">
        <v>53</v>
      </c>
      <c r="I13" s="8" t="s">
        <v>68</v>
      </c>
      <c r="J13" s="7" t="s">
        <v>18</v>
      </c>
    </row>
    <row r="15" customFormat="false" ht="15" hidden="false" customHeight="false" outlineLevel="0" collapsed="false">
      <c r="A15" s="12" t="s">
        <v>69</v>
      </c>
    </row>
    <row r="16" customFormat="false" ht="15" hidden="false" customHeight="false" outlineLevel="0" collapsed="false">
      <c r="A16" s="13" t="s">
        <v>70</v>
      </c>
    </row>
    <row r="17" customFormat="false" ht="15" hidden="false" customHeight="false" outlineLevel="0" collapsed="false">
      <c r="A17" s="14"/>
    </row>
    <row r="18" customFormat="false" ht="15" hidden="false" customHeight="false" outlineLevel="0" collapsed="false">
      <c r="A18" s="14" t="s">
        <v>71</v>
      </c>
    </row>
    <row r="19" customFormat="false" ht="15" hidden="false" customHeight="false" outlineLevel="0" collapsed="false">
      <c r="A19" s="14" t="s">
        <v>72</v>
      </c>
    </row>
    <row r="20" customFormat="false" ht="15" hidden="false" customHeight="false" outlineLevel="0" collapsed="false">
      <c r="A20" s="14" t="s">
        <v>73</v>
      </c>
    </row>
    <row r="21" customFormat="false" ht="15" hidden="false" customHeight="false" outlineLevel="0" collapsed="false">
      <c r="A21" s="14" t="s">
        <v>74</v>
      </c>
    </row>
    <row r="22" customFormat="false" ht="15" hidden="false" customHeight="false" outlineLevel="0" collapsed="false">
      <c r="A22" s="14"/>
    </row>
    <row r="23" customFormat="false" ht="15" hidden="false" customHeight="false" outlineLevel="0" collapsed="false">
      <c r="A23" s="13" t="s">
        <v>75</v>
      </c>
    </row>
    <row r="24" customFormat="false" ht="15" hidden="false" customHeight="false" outlineLevel="0" collapsed="false">
      <c r="A24" s="14" t="s">
        <v>76</v>
      </c>
    </row>
    <row r="25" customFormat="false" ht="15" hidden="false" customHeight="false" outlineLevel="0" collapsed="false">
      <c r="A25" s="14" t="s">
        <v>77</v>
      </c>
    </row>
    <row r="26" customFormat="false" ht="15" hidden="false" customHeight="false" outlineLevel="0" collapsed="false">
      <c r="A26" s="14"/>
    </row>
    <row r="27" customFormat="false" ht="15" hidden="false" customHeight="false" outlineLevel="0" collapsed="false">
      <c r="A27" s="13" t="s">
        <v>78</v>
      </c>
    </row>
    <row r="28" customFormat="false" ht="15" hidden="false" customHeight="false" outlineLevel="0" collapsed="false">
      <c r="A28" s="14" t="s">
        <v>79</v>
      </c>
    </row>
    <row r="29" customFormat="false" ht="15" hidden="false" customHeight="false" outlineLevel="0" collapsed="false">
      <c r="A29" s="14"/>
    </row>
    <row r="30" customFormat="false" ht="15" hidden="false" customHeight="false" outlineLevel="0" collapsed="false">
      <c r="A30" s="13" t="s">
        <v>80</v>
      </c>
    </row>
  </sheetData>
  <autoFilter ref="A3:J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5" min="4" style="0" width="24"/>
    <col collapsed="false" customWidth="true" hidden="false" outlineLevel="0" max="7" min="6" style="0" width="34"/>
    <col collapsed="false" customWidth="true" hidden="false" outlineLevel="0" max="8" min="8" style="0" width="24"/>
    <col collapsed="false" customWidth="true" hidden="false" outlineLevel="0" max="9" min="9" style="0" width="14"/>
    <col collapsed="false" customWidth="true" hidden="false" outlineLevel="0" max="10" min="10" style="0" width="12"/>
    <col collapsed="false" customWidth="true" hidden="false" outlineLevel="0" max="13" min="11" style="0" width="13"/>
    <col collapsed="false" customWidth="true" hidden="false" outlineLevel="0" max="14" min="14" style="0" width="12"/>
    <col collapsed="false" customWidth="true" hidden="false" outlineLevel="0" max="16" min="15" style="0" width="10"/>
    <col collapsed="false" customWidth="true" hidden="false" outlineLevel="0" max="17" min="17" style="0" width="20"/>
    <col collapsed="false" customWidth="true" hidden="false" outlineLevel="0" max="18" min="18" style="0" width="26"/>
    <col collapsed="false" customWidth="true" hidden="false" outlineLevel="0" max="20" min="19" style="0" width="14"/>
    <col collapsed="false" customWidth="true" hidden="false" outlineLevel="0" max="21" min="21" style="0" width="13"/>
    <col collapsed="false" customWidth="true" hidden="false" outlineLevel="0" max="22" min="22" style="0" width="34"/>
  </cols>
  <sheetData>
    <row r="1" customFormat="false" ht="21.75" hidden="false" customHeight="true" outlineLevel="0" collapsed="false">
      <c r="A1" s="1" t="s">
        <v>81</v>
      </c>
    </row>
    <row r="2" customFormat="false" ht="6" hidden="false" customHeight="true" outlineLevel="0" collapsed="false"/>
    <row r="3" customFormat="false" ht="42" hidden="false" customHeight="true" outlineLevel="0" collapsed="false">
      <c r="A3" s="2" t="s">
        <v>1</v>
      </c>
      <c r="B3" s="2" t="s">
        <v>82</v>
      </c>
      <c r="C3" s="2" t="s">
        <v>83</v>
      </c>
      <c r="D3" s="2" t="s">
        <v>84</v>
      </c>
      <c r="E3" s="2" t="s">
        <v>85</v>
      </c>
      <c r="F3" s="2" t="s">
        <v>86</v>
      </c>
      <c r="G3" s="2" t="s">
        <v>87</v>
      </c>
      <c r="H3" s="2" t="s">
        <v>88</v>
      </c>
      <c r="I3" s="2" t="s">
        <v>89</v>
      </c>
      <c r="J3" s="2" t="s">
        <v>90</v>
      </c>
      <c r="K3" s="2" t="s">
        <v>91</v>
      </c>
      <c r="L3" s="2" t="s">
        <v>92</v>
      </c>
      <c r="M3" s="2" t="s">
        <v>93</v>
      </c>
      <c r="N3" s="2" t="s">
        <v>94</v>
      </c>
      <c r="O3" s="2" t="s">
        <v>95</v>
      </c>
      <c r="P3" s="2" t="s">
        <v>96</v>
      </c>
      <c r="Q3" s="2" t="s">
        <v>97</v>
      </c>
      <c r="R3" s="2" t="s">
        <v>98</v>
      </c>
      <c r="S3" s="2" t="s">
        <v>99</v>
      </c>
      <c r="T3" s="2" t="s">
        <v>100</v>
      </c>
      <c r="U3" s="2" t="s">
        <v>101</v>
      </c>
      <c r="V3" s="2" t="s">
        <v>102</v>
      </c>
    </row>
    <row r="4" customFormat="false" ht="61.5" hidden="false" customHeight="true" outlineLevel="0" collapsed="false">
      <c r="A4" s="3" t="n">
        <v>1</v>
      </c>
      <c r="B4" s="4" t="s">
        <v>103</v>
      </c>
      <c r="C4" s="6" t="s">
        <v>104</v>
      </c>
      <c r="D4" s="4" t="s">
        <v>105</v>
      </c>
      <c r="E4" s="4" t="s">
        <v>106</v>
      </c>
      <c r="F4" s="4" t="s">
        <v>107</v>
      </c>
      <c r="G4" s="4" t="s">
        <v>108</v>
      </c>
      <c r="H4" s="4" t="s">
        <v>109</v>
      </c>
      <c r="I4" s="3" t="s">
        <v>14</v>
      </c>
      <c r="J4" s="3" t="s">
        <v>29</v>
      </c>
      <c r="K4" s="15" t="n">
        <v>1790</v>
      </c>
      <c r="L4" s="15" t="n">
        <v>340</v>
      </c>
      <c r="M4" s="15" t="n">
        <f aca="false">K4-L4</f>
        <v>1450</v>
      </c>
      <c r="N4" s="16" t="n">
        <f aca="false">IF(K4=0,0,M4/K4)</f>
        <v>0.810055865921788</v>
      </c>
      <c r="O4" s="3" t="n">
        <v>8</v>
      </c>
      <c r="P4" s="3" t="n">
        <v>9</v>
      </c>
      <c r="Q4" s="4" t="s">
        <v>14</v>
      </c>
      <c r="R4" s="4" t="s">
        <v>14</v>
      </c>
      <c r="S4" s="3" t="s">
        <v>29</v>
      </c>
      <c r="T4" s="3" t="s">
        <v>29</v>
      </c>
      <c r="U4" s="5" t="n">
        <v>78</v>
      </c>
      <c r="V4" s="4" t="s">
        <v>110</v>
      </c>
    </row>
    <row r="5" customFormat="false" ht="61.5" hidden="false" customHeight="true" outlineLevel="0" collapsed="false">
      <c r="A5" s="7" t="n">
        <v>2</v>
      </c>
      <c r="B5" s="8" t="s">
        <v>111</v>
      </c>
      <c r="C5" s="9" t="s">
        <v>112</v>
      </c>
      <c r="D5" s="8" t="s">
        <v>113</v>
      </c>
      <c r="E5" s="8" t="s">
        <v>114</v>
      </c>
      <c r="F5" s="8" t="s">
        <v>115</v>
      </c>
      <c r="G5" s="8" t="s">
        <v>116</v>
      </c>
      <c r="H5" s="8" t="s">
        <v>117</v>
      </c>
      <c r="I5" s="7" t="s">
        <v>22</v>
      </c>
      <c r="J5" s="7" t="s">
        <v>29</v>
      </c>
      <c r="K5" s="17" t="n">
        <v>1590</v>
      </c>
      <c r="L5" s="17" t="n">
        <v>310</v>
      </c>
      <c r="M5" s="17" t="n">
        <f aca="false">K5-L5</f>
        <v>1280</v>
      </c>
      <c r="N5" s="18" t="n">
        <f aca="false">IF(K5=0,0,M5/K5)</f>
        <v>0.805031446540881</v>
      </c>
      <c r="O5" s="7" t="n">
        <v>9</v>
      </c>
      <c r="P5" s="7" t="n">
        <v>8</v>
      </c>
      <c r="Q5" s="8" t="s">
        <v>14</v>
      </c>
      <c r="R5" s="8" t="s">
        <v>118</v>
      </c>
      <c r="S5" s="7" t="s">
        <v>43</v>
      </c>
      <c r="T5" s="7" t="s">
        <v>29</v>
      </c>
      <c r="U5" s="5" t="n">
        <v>74</v>
      </c>
      <c r="V5" s="8" t="s">
        <v>119</v>
      </c>
    </row>
    <row r="6" customFormat="false" ht="61.5" hidden="false" customHeight="true" outlineLevel="0" collapsed="false">
      <c r="A6" s="3" t="n">
        <v>3</v>
      </c>
      <c r="B6" s="4" t="s">
        <v>120</v>
      </c>
      <c r="C6" s="6" t="s">
        <v>104</v>
      </c>
      <c r="D6" s="4" t="s">
        <v>121</v>
      </c>
      <c r="E6" s="4" t="s">
        <v>122</v>
      </c>
      <c r="F6" s="4" t="s">
        <v>123</v>
      </c>
      <c r="G6" s="4" t="s">
        <v>124</v>
      </c>
      <c r="H6" s="4" t="s">
        <v>125</v>
      </c>
      <c r="I6" s="3" t="s">
        <v>29</v>
      </c>
      <c r="J6" s="3" t="s">
        <v>29</v>
      </c>
      <c r="K6" s="15" t="n">
        <v>1890</v>
      </c>
      <c r="L6" s="15" t="n">
        <v>395</v>
      </c>
      <c r="M6" s="15" t="n">
        <f aca="false">K6-L6</f>
        <v>1495</v>
      </c>
      <c r="N6" s="16" t="n">
        <f aca="false">IF(K6=0,0,M6/K6)</f>
        <v>0.791005291005291</v>
      </c>
      <c r="O6" s="3" t="n">
        <v>8</v>
      </c>
      <c r="P6" s="3" t="n">
        <v>7</v>
      </c>
      <c r="Q6" s="4" t="s">
        <v>126</v>
      </c>
      <c r="R6" s="4" t="s">
        <v>58</v>
      </c>
      <c r="S6" s="3" t="s">
        <v>29</v>
      </c>
      <c r="T6" s="3" t="s">
        <v>118</v>
      </c>
      <c r="U6" s="10" t="n">
        <v>69</v>
      </c>
      <c r="V6" s="4" t="s">
        <v>127</v>
      </c>
    </row>
    <row r="7" customFormat="false" ht="61.5" hidden="false" customHeight="true" outlineLevel="0" collapsed="false">
      <c r="A7" s="7" t="n">
        <v>4</v>
      </c>
      <c r="B7" s="8" t="s">
        <v>128</v>
      </c>
      <c r="C7" s="9" t="s">
        <v>129</v>
      </c>
      <c r="D7" s="8" t="s">
        <v>130</v>
      </c>
      <c r="E7" s="8" t="s">
        <v>131</v>
      </c>
      <c r="F7" s="8" t="s">
        <v>132</v>
      </c>
      <c r="G7" s="8" t="s">
        <v>133</v>
      </c>
      <c r="H7" s="8" t="s">
        <v>134</v>
      </c>
      <c r="I7" s="7" t="s">
        <v>36</v>
      </c>
      <c r="J7" s="7" t="s">
        <v>14</v>
      </c>
      <c r="K7" s="17" t="n">
        <v>1490</v>
      </c>
      <c r="L7" s="17" t="n">
        <v>265</v>
      </c>
      <c r="M7" s="17" t="n">
        <f aca="false">K7-L7</f>
        <v>1225</v>
      </c>
      <c r="N7" s="18" t="n">
        <f aca="false">IF(K7=0,0,M7/K7)</f>
        <v>0.822147651006711</v>
      </c>
      <c r="O7" s="7" t="n">
        <v>7</v>
      </c>
      <c r="P7" s="7" t="n">
        <v>8</v>
      </c>
      <c r="Q7" s="8" t="s">
        <v>58</v>
      </c>
      <c r="R7" s="8" t="s">
        <v>36</v>
      </c>
      <c r="S7" s="7" t="s">
        <v>14</v>
      </c>
      <c r="T7" s="7" t="s">
        <v>14</v>
      </c>
      <c r="U7" s="10" t="n">
        <v>63</v>
      </c>
      <c r="V7" s="8" t="s">
        <v>135</v>
      </c>
    </row>
    <row r="8" customFormat="false" ht="61.5" hidden="false" customHeight="true" outlineLevel="0" collapsed="false">
      <c r="A8" s="3" t="n">
        <v>5</v>
      </c>
      <c r="B8" s="4" t="s">
        <v>136</v>
      </c>
      <c r="C8" s="6" t="s">
        <v>137</v>
      </c>
      <c r="D8" s="4" t="s">
        <v>138</v>
      </c>
      <c r="E8" s="4" t="s">
        <v>139</v>
      </c>
      <c r="F8" s="4" t="s">
        <v>140</v>
      </c>
      <c r="G8" s="4" t="s">
        <v>141</v>
      </c>
      <c r="H8" s="4" t="s">
        <v>142</v>
      </c>
      <c r="I8" s="3" t="s">
        <v>43</v>
      </c>
      <c r="J8" s="3" t="s">
        <v>29</v>
      </c>
      <c r="K8" s="15" t="n">
        <v>1290</v>
      </c>
      <c r="L8" s="15" t="n">
        <v>250</v>
      </c>
      <c r="M8" s="15" t="n">
        <f aca="false">K8-L8</f>
        <v>1040</v>
      </c>
      <c r="N8" s="16" t="n">
        <f aca="false">IF(K8=0,0,M8/K8)</f>
        <v>0.806201550387597</v>
      </c>
      <c r="O8" s="3" t="n">
        <v>7</v>
      </c>
      <c r="P8" s="3" t="n">
        <v>3</v>
      </c>
      <c r="Q8" s="4" t="s">
        <v>58</v>
      </c>
      <c r="R8" s="4" t="s">
        <v>36</v>
      </c>
      <c r="S8" s="3" t="s">
        <v>14</v>
      </c>
      <c r="T8" s="3" t="s">
        <v>14</v>
      </c>
      <c r="U8" s="10" t="n">
        <v>58</v>
      </c>
      <c r="V8" s="4" t="s">
        <v>143</v>
      </c>
    </row>
    <row r="9" customFormat="false" ht="61.5" hidden="false" customHeight="true" outlineLevel="0" collapsed="false">
      <c r="A9" s="7" t="n">
        <v>6</v>
      </c>
      <c r="B9" s="8" t="s">
        <v>144</v>
      </c>
      <c r="C9" s="9" t="s">
        <v>145</v>
      </c>
      <c r="D9" s="8" t="s">
        <v>146</v>
      </c>
      <c r="E9" s="8" t="s">
        <v>147</v>
      </c>
      <c r="F9" s="8" t="s">
        <v>148</v>
      </c>
      <c r="G9" s="8" t="s">
        <v>149</v>
      </c>
      <c r="H9" s="8" t="s">
        <v>150</v>
      </c>
      <c r="I9" s="7" t="s">
        <v>36</v>
      </c>
      <c r="J9" s="7" t="s">
        <v>14</v>
      </c>
      <c r="K9" s="17" t="n">
        <v>1990</v>
      </c>
      <c r="L9" s="17" t="n">
        <v>420</v>
      </c>
      <c r="M9" s="17" t="n">
        <f aca="false">K9-L9</f>
        <v>1570</v>
      </c>
      <c r="N9" s="18" t="n">
        <f aca="false">IF(K9=0,0,M9/K9)</f>
        <v>0.78894472361809</v>
      </c>
      <c r="O9" s="7" t="n">
        <v>8</v>
      </c>
      <c r="P9" s="7" t="n">
        <v>9</v>
      </c>
      <c r="Q9" s="8" t="s">
        <v>151</v>
      </c>
      <c r="R9" s="8" t="s">
        <v>14</v>
      </c>
      <c r="S9" s="7" t="s">
        <v>14</v>
      </c>
      <c r="T9" s="7" t="s">
        <v>29</v>
      </c>
      <c r="U9" s="10" t="n">
        <v>56</v>
      </c>
      <c r="V9" s="8" t="s">
        <v>152</v>
      </c>
    </row>
    <row r="10" customFormat="false" ht="61.5" hidden="false" customHeight="true" outlineLevel="0" collapsed="false">
      <c r="A10" s="3" t="n">
        <v>7</v>
      </c>
      <c r="B10" s="4" t="s">
        <v>153</v>
      </c>
      <c r="C10" s="6" t="s">
        <v>104</v>
      </c>
      <c r="D10" s="4" t="s">
        <v>154</v>
      </c>
      <c r="E10" s="4" t="s">
        <v>155</v>
      </c>
      <c r="F10" s="4" t="s">
        <v>156</v>
      </c>
      <c r="G10" s="4" t="s">
        <v>157</v>
      </c>
      <c r="H10" s="4" t="s">
        <v>158</v>
      </c>
      <c r="I10" s="3" t="s">
        <v>29</v>
      </c>
      <c r="J10" s="3" t="s">
        <v>14</v>
      </c>
      <c r="K10" s="15" t="n">
        <v>1490</v>
      </c>
      <c r="L10" s="15" t="n">
        <v>300</v>
      </c>
      <c r="M10" s="15" t="n">
        <f aca="false">K10-L10</f>
        <v>1190</v>
      </c>
      <c r="N10" s="16" t="n">
        <f aca="false">IF(K10=0,0,M10/K10)</f>
        <v>0.798657718120805</v>
      </c>
      <c r="O10" s="3" t="n">
        <v>7</v>
      </c>
      <c r="P10" s="3" t="n">
        <v>3</v>
      </c>
      <c r="Q10" s="4" t="s">
        <v>14</v>
      </c>
      <c r="R10" s="4" t="s">
        <v>159</v>
      </c>
      <c r="S10" s="3" t="s">
        <v>58</v>
      </c>
      <c r="T10" s="3" t="s">
        <v>29</v>
      </c>
      <c r="U10" s="11" t="n">
        <v>49</v>
      </c>
      <c r="V10" s="4" t="s">
        <v>160</v>
      </c>
    </row>
    <row r="11" customFormat="false" ht="61.5" hidden="false" customHeight="true" outlineLevel="0" collapsed="false">
      <c r="A11" s="7" t="n">
        <v>8</v>
      </c>
      <c r="B11" s="8" t="s">
        <v>161</v>
      </c>
      <c r="C11" s="9" t="s">
        <v>162</v>
      </c>
      <c r="D11" s="8" t="s">
        <v>163</v>
      </c>
      <c r="E11" s="8" t="s">
        <v>164</v>
      </c>
      <c r="F11" s="8" t="s">
        <v>165</v>
      </c>
      <c r="G11" s="8" t="s">
        <v>166</v>
      </c>
      <c r="H11" s="8" t="s">
        <v>36</v>
      </c>
      <c r="I11" s="7" t="s">
        <v>58</v>
      </c>
      <c r="J11" s="7" t="s">
        <v>29</v>
      </c>
      <c r="K11" s="17" t="n">
        <v>2190</v>
      </c>
      <c r="L11" s="17" t="n">
        <v>330</v>
      </c>
      <c r="M11" s="17" t="n">
        <f aca="false">K11-L11</f>
        <v>1860</v>
      </c>
      <c r="N11" s="18" t="n">
        <f aca="false">IF(K11=0,0,M11/K11)</f>
        <v>0.849315068493151</v>
      </c>
      <c r="O11" s="7" t="n">
        <v>8</v>
      </c>
      <c r="P11" s="7" t="n">
        <v>7</v>
      </c>
      <c r="Q11" s="8" t="s">
        <v>58</v>
      </c>
      <c r="R11" s="8" t="s">
        <v>167</v>
      </c>
      <c r="S11" s="7" t="s">
        <v>58</v>
      </c>
      <c r="T11" s="7" t="s">
        <v>29</v>
      </c>
      <c r="U11" s="11" t="n">
        <v>45</v>
      </c>
      <c r="V11" s="8" t="s">
        <v>168</v>
      </c>
    </row>
    <row r="12" customFormat="false" ht="61.5" hidden="false" customHeight="true" outlineLevel="0" collapsed="false">
      <c r="A12" s="3" t="n">
        <v>9</v>
      </c>
      <c r="B12" s="4" t="s">
        <v>169</v>
      </c>
      <c r="C12" s="6" t="s">
        <v>112</v>
      </c>
      <c r="D12" s="4" t="s">
        <v>170</v>
      </c>
      <c r="E12" s="4" t="s">
        <v>171</v>
      </c>
      <c r="F12" s="4" t="s">
        <v>172</v>
      </c>
      <c r="G12" s="4" t="s">
        <v>173</v>
      </c>
      <c r="H12" s="4" t="s">
        <v>174</v>
      </c>
      <c r="I12" s="3" t="s">
        <v>43</v>
      </c>
      <c r="J12" s="3" t="s">
        <v>29</v>
      </c>
      <c r="K12" s="15" t="n">
        <v>1390</v>
      </c>
      <c r="L12" s="15" t="n">
        <v>260</v>
      </c>
      <c r="M12" s="15" t="n">
        <f aca="false">K12-L12</f>
        <v>1130</v>
      </c>
      <c r="N12" s="16" t="n">
        <f aca="false">IF(K12=0,0,M12/K12)</f>
        <v>0.81294964028777</v>
      </c>
      <c r="O12" s="3" t="n">
        <v>8</v>
      </c>
      <c r="P12" s="3" t="n">
        <v>2</v>
      </c>
      <c r="Q12" s="4" t="s">
        <v>175</v>
      </c>
      <c r="R12" s="4" t="s">
        <v>176</v>
      </c>
      <c r="S12" s="3" t="s">
        <v>14</v>
      </c>
      <c r="T12" s="3" t="s">
        <v>14</v>
      </c>
      <c r="U12" s="11" t="n">
        <v>41</v>
      </c>
      <c r="V12" s="4" t="s">
        <v>177</v>
      </c>
    </row>
    <row r="13" customFormat="false" ht="61.5" hidden="false" customHeight="true" outlineLevel="0" collapsed="false">
      <c r="A13" s="7" t="n">
        <v>10</v>
      </c>
      <c r="B13" s="8" t="s">
        <v>178</v>
      </c>
      <c r="C13" s="9" t="s">
        <v>104</v>
      </c>
      <c r="D13" s="8" t="s">
        <v>179</v>
      </c>
      <c r="E13" s="8" t="s">
        <v>180</v>
      </c>
      <c r="F13" s="8" t="s">
        <v>181</v>
      </c>
      <c r="G13" s="8" t="s">
        <v>182</v>
      </c>
      <c r="H13" s="8" t="s">
        <v>43</v>
      </c>
      <c r="I13" s="7" t="s">
        <v>29</v>
      </c>
      <c r="J13" s="7" t="s">
        <v>29</v>
      </c>
      <c r="K13" s="17" t="n">
        <v>2290</v>
      </c>
      <c r="L13" s="17" t="n">
        <v>620</v>
      </c>
      <c r="M13" s="17" t="n">
        <f aca="false">K13-L13</f>
        <v>1670</v>
      </c>
      <c r="N13" s="18" t="n">
        <f aca="false">IF(K13=0,0,M13/K13)</f>
        <v>0.729257641921397</v>
      </c>
      <c r="O13" s="7" t="n">
        <v>6</v>
      </c>
      <c r="P13" s="7" t="n">
        <v>5</v>
      </c>
      <c r="Q13" s="8" t="s">
        <v>183</v>
      </c>
      <c r="R13" s="8" t="s">
        <v>184</v>
      </c>
      <c r="S13" s="7" t="s">
        <v>29</v>
      </c>
      <c r="T13" s="7" t="s">
        <v>58</v>
      </c>
      <c r="U13" s="11" t="n">
        <v>33</v>
      </c>
      <c r="V13" s="8" t="s">
        <v>185</v>
      </c>
    </row>
    <row r="14" customFormat="false" ht="61.5" hidden="false" customHeight="true" outlineLevel="0" collapsed="false">
      <c r="A14" s="3" t="n">
        <v>11</v>
      </c>
      <c r="B14" s="4" t="s">
        <v>186</v>
      </c>
      <c r="C14" s="6" t="s">
        <v>104</v>
      </c>
      <c r="D14" s="4" t="s">
        <v>154</v>
      </c>
      <c r="E14" s="4" t="s">
        <v>155</v>
      </c>
      <c r="F14" s="4" t="s">
        <v>187</v>
      </c>
      <c r="G14" s="4" t="s">
        <v>188</v>
      </c>
      <c r="H14" s="4" t="s">
        <v>118</v>
      </c>
      <c r="I14" s="3" t="s">
        <v>29</v>
      </c>
      <c r="J14" s="3" t="s">
        <v>14</v>
      </c>
      <c r="K14" s="15" t="n">
        <v>1390</v>
      </c>
      <c r="L14" s="15" t="n">
        <v>290</v>
      </c>
      <c r="M14" s="15" t="n">
        <f aca="false">K14-L14</f>
        <v>1100</v>
      </c>
      <c r="N14" s="16" t="n">
        <f aca="false">IF(K14=0,0,M14/K14)</f>
        <v>0.79136690647482</v>
      </c>
      <c r="O14" s="3" t="n">
        <v>6</v>
      </c>
      <c r="P14" s="3" t="n">
        <v>3</v>
      </c>
      <c r="Q14" s="4" t="s">
        <v>189</v>
      </c>
      <c r="R14" s="4" t="s">
        <v>190</v>
      </c>
      <c r="S14" s="3" t="s">
        <v>58</v>
      </c>
      <c r="T14" s="3" t="s">
        <v>29</v>
      </c>
      <c r="U14" s="11" t="n">
        <v>38</v>
      </c>
      <c r="V14" s="4" t="s">
        <v>191</v>
      </c>
    </row>
    <row r="15" customFormat="false" ht="61.5" hidden="false" customHeight="true" outlineLevel="0" collapsed="false">
      <c r="A15" s="7" t="n">
        <v>12</v>
      </c>
      <c r="B15" s="8" t="s">
        <v>192</v>
      </c>
      <c r="C15" s="9" t="s">
        <v>193</v>
      </c>
      <c r="D15" s="8" t="s">
        <v>194</v>
      </c>
      <c r="E15" s="8" t="s">
        <v>195</v>
      </c>
      <c r="F15" s="8" t="s">
        <v>196</v>
      </c>
      <c r="G15" s="8" t="s">
        <v>197</v>
      </c>
      <c r="H15" s="8" t="s">
        <v>118</v>
      </c>
      <c r="I15" s="7" t="s">
        <v>14</v>
      </c>
      <c r="J15" s="7" t="s">
        <v>14</v>
      </c>
      <c r="K15" s="17" t="n">
        <v>2490</v>
      </c>
      <c r="L15" s="17" t="n">
        <v>720</v>
      </c>
      <c r="M15" s="17" t="n">
        <f aca="false">K15-L15</f>
        <v>1770</v>
      </c>
      <c r="N15" s="18" t="n">
        <f aca="false">IF(K15=0,0,M15/K15)</f>
        <v>0.710843373493976</v>
      </c>
      <c r="O15" s="7" t="n">
        <v>7</v>
      </c>
      <c r="P15" s="7" t="n">
        <v>7</v>
      </c>
      <c r="Q15" s="8" t="s">
        <v>29</v>
      </c>
      <c r="R15" s="8" t="s">
        <v>198</v>
      </c>
      <c r="S15" s="7" t="s">
        <v>14</v>
      </c>
      <c r="T15" s="7" t="s">
        <v>14</v>
      </c>
      <c r="U15" s="11" t="n">
        <v>44</v>
      </c>
      <c r="V15" s="8" t="s">
        <v>199</v>
      </c>
    </row>
    <row r="17" customFormat="false" ht="15" hidden="false" customHeight="false" outlineLevel="0" collapsed="false">
      <c r="A17" s="19" t="s">
        <v>200</v>
      </c>
    </row>
    <row r="18" customFormat="false" ht="15" hidden="false" customHeight="false" outlineLevel="0" collapsed="false">
      <c r="A18" s="19" t="s">
        <v>201</v>
      </c>
    </row>
  </sheetData>
  <autoFilter ref="A3:V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3" min="3" style="0" width="30"/>
    <col collapsed="false" customWidth="true" hidden="false" outlineLevel="0" max="4" min="4" style="0" width="12"/>
    <col collapsed="false" customWidth="true" hidden="false" outlineLevel="0" max="5" min="5" style="0" width="8"/>
    <col collapsed="false" customWidth="true" hidden="false" outlineLevel="0" max="6" min="6" style="0" width="22"/>
    <col collapsed="false" customWidth="true" hidden="false" outlineLevel="0" max="7" min="7" style="0" width="12"/>
    <col collapsed="false" customWidth="true" hidden="false" outlineLevel="0" max="8" min="8" style="0" width="14"/>
    <col collapsed="false" customWidth="true" hidden="false" outlineLevel="0" max="9" min="9" style="0" width="40"/>
    <col collapsed="false" customWidth="true" hidden="false" outlineLevel="0" max="10" min="10" style="0" width="32"/>
    <col collapsed="false" customWidth="true" hidden="false" outlineLevel="0" max="11" min="11" style="0" width="20"/>
    <col collapsed="false" customWidth="true" hidden="false" outlineLevel="0" max="12" min="12" style="0" width="44"/>
    <col collapsed="false" customWidth="true" hidden="false" outlineLevel="0" max="13" min="13" style="0" width="20"/>
    <col collapsed="false" customWidth="true" hidden="false" outlineLevel="0" max="14" min="14" style="0" width="8"/>
    <col collapsed="false" customWidth="true" hidden="false" outlineLevel="0" max="15" min="15" style="0" width="74"/>
    <col collapsed="false" customWidth="true" hidden="false" outlineLevel="0" max="16" min="16" style="0" width="12"/>
  </cols>
  <sheetData>
    <row r="1" customFormat="false" ht="21.75" hidden="false" customHeight="true" outlineLevel="0" collapsed="false">
      <c r="A1" s="1" t="s">
        <v>202</v>
      </c>
    </row>
    <row r="2" customFormat="false" ht="6" hidden="false" customHeight="true" outlineLevel="0" collapsed="false"/>
    <row r="3" customFormat="false" ht="42" hidden="false" customHeight="true" outlineLevel="0" collapsed="false">
      <c r="A3" s="2" t="s">
        <v>203</v>
      </c>
      <c r="B3" s="2" t="s">
        <v>204</v>
      </c>
      <c r="C3" s="2" t="s">
        <v>205</v>
      </c>
      <c r="D3" s="2" t="s">
        <v>206</v>
      </c>
      <c r="E3" s="2" t="s">
        <v>207</v>
      </c>
      <c r="F3" s="2" t="s">
        <v>208</v>
      </c>
      <c r="G3" s="2" t="s">
        <v>209</v>
      </c>
      <c r="H3" s="2" t="s">
        <v>210</v>
      </c>
      <c r="I3" s="2" t="s">
        <v>211</v>
      </c>
      <c r="J3" s="2" t="s">
        <v>212</v>
      </c>
      <c r="K3" s="2" t="s">
        <v>213</v>
      </c>
      <c r="L3" s="2" t="s">
        <v>214</v>
      </c>
      <c r="M3" s="2" t="s">
        <v>215</v>
      </c>
      <c r="N3" s="2" t="s">
        <v>216</v>
      </c>
      <c r="O3" s="2" t="s">
        <v>217</v>
      </c>
      <c r="P3" s="2" t="s">
        <v>10</v>
      </c>
    </row>
    <row r="4" customFormat="false" ht="45.75" hidden="false" customHeight="true" outlineLevel="0" collapsed="false">
      <c r="A4" s="4" t="s">
        <v>218</v>
      </c>
      <c r="B4" s="3" t="s">
        <v>219</v>
      </c>
      <c r="C4" s="4" t="s">
        <v>220</v>
      </c>
      <c r="D4" s="3" t="s">
        <v>14</v>
      </c>
      <c r="E4" s="6" t="s">
        <v>53</v>
      </c>
      <c r="F4" s="6" t="s">
        <v>221</v>
      </c>
      <c r="G4" s="3" t="s">
        <v>43</v>
      </c>
      <c r="H4" s="6" t="s">
        <v>222</v>
      </c>
      <c r="I4" s="4" t="s">
        <v>223</v>
      </c>
      <c r="J4" s="4" t="s">
        <v>224</v>
      </c>
      <c r="K4" s="20" t="s">
        <v>225</v>
      </c>
      <c r="L4" s="4" t="s">
        <v>226</v>
      </c>
      <c r="M4" s="6" t="s">
        <v>227</v>
      </c>
      <c r="N4" s="3" t="s">
        <v>228</v>
      </c>
      <c r="O4" s="4" t="s">
        <v>229</v>
      </c>
      <c r="P4" s="3" t="s">
        <v>230</v>
      </c>
    </row>
    <row r="5" customFormat="false" ht="45.75" hidden="false" customHeight="true" outlineLevel="0" collapsed="false">
      <c r="A5" s="8" t="s">
        <v>231</v>
      </c>
      <c r="B5" s="7" t="s">
        <v>219</v>
      </c>
      <c r="C5" s="8" t="s">
        <v>232</v>
      </c>
      <c r="D5" s="7" t="s">
        <v>14</v>
      </c>
      <c r="E5" s="9" t="s">
        <v>53</v>
      </c>
      <c r="F5" s="9" t="s">
        <v>233</v>
      </c>
      <c r="G5" s="7" t="s">
        <v>43</v>
      </c>
      <c r="H5" s="9" t="s">
        <v>234</v>
      </c>
      <c r="I5" s="8" t="s">
        <v>235</v>
      </c>
      <c r="J5" s="8" t="s">
        <v>236</v>
      </c>
      <c r="K5" s="20" t="s">
        <v>225</v>
      </c>
      <c r="L5" s="8" t="s">
        <v>237</v>
      </c>
      <c r="M5" s="9" t="s">
        <v>238</v>
      </c>
      <c r="N5" s="7" t="s">
        <v>228</v>
      </c>
      <c r="O5" s="8" t="s">
        <v>239</v>
      </c>
      <c r="P5" s="7" t="s">
        <v>230</v>
      </c>
    </row>
    <row r="6" customFormat="false" ht="45.75" hidden="false" customHeight="true" outlineLevel="0" collapsed="false">
      <c r="A6" s="4" t="s">
        <v>240</v>
      </c>
      <c r="B6" s="3" t="s">
        <v>219</v>
      </c>
      <c r="C6" s="4" t="s">
        <v>241</v>
      </c>
      <c r="D6" s="3" t="s">
        <v>29</v>
      </c>
      <c r="E6" s="6" t="s">
        <v>53</v>
      </c>
      <c r="F6" s="6" t="s">
        <v>221</v>
      </c>
      <c r="G6" s="3" t="s">
        <v>43</v>
      </c>
      <c r="H6" s="6" t="s">
        <v>222</v>
      </c>
      <c r="I6" s="4" t="s">
        <v>242</v>
      </c>
      <c r="J6" s="4" t="s">
        <v>243</v>
      </c>
      <c r="K6" s="21" t="s">
        <v>244</v>
      </c>
      <c r="L6" s="4" t="s">
        <v>245</v>
      </c>
      <c r="M6" s="6" t="s">
        <v>246</v>
      </c>
      <c r="N6" s="3" t="s">
        <v>247</v>
      </c>
      <c r="O6" s="4" t="s">
        <v>248</v>
      </c>
      <c r="P6" s="3" t="s">
        <v>230</v>
      </c>
    </row>
    <row r="7" customFormat="false" ht="45.75" hidden="false" customHeight="true" outlineLevel="0" collapsed="false">
      <c r="A7" s="8" t="s">
        <v>249</v>
      </c>
      <c r="B7" s="7" t="s">
        <v>219</v>
      </c>
      <c r="C7" s="8" t="s">
        <v>29</v>
      </c>
      <c r="D7" s="7" t="s">
        <v>29</v>
      </c>
      <c r="E7" s="9" t="s">
        <v>53</v>
      </c>
      <c r="F7" s="9" t="s">
        <v>233</v>
      </c>
      <c r="G7" s="7" t="s">
        <v>43</v>
      </c>
      <c r="H7" s="9" t="s">
        <v>234</v>
      </c>
      <c r="I7" s="8" t="s">
        <v>250</v>
      </c>
      <c r="J7" s="8" t="s">
        <v>243</v>
      </c>
      <c r="K7" s="21" t="s">
        <v>244</v>
      </c>
      <c r="L7" s="8" t="s">
        <v>251</v>
      </c>
      <c r="M7" s="9" t="s">
        <v>238</v>
      </c>
      <c r="N7" s="7" t="s">
        <v>247</v>
      </c>
      <c r="O7" s="8" t="s">
        <v>252</v>
      </c>
      <c r="P7" s="7" t="s">
        <v>230</v>
      </c>
    </row>
    <row r="8" customFormat="false" ht="45.75" hidden="false" customHeight="true" outlineLevel="0" collapsed="false">
      <c r="A8" s="4" t="s">
        <v>253</v>
      </c>
      <c r="B8" s="3" t="s">
        <v>219</v>
      </c>
      <c r="C8" s="4" t="s">
        <v>254</v>
      </c>
      <c r="D8" s="3" t="s">
        <v>14</v>
      </c>
      <c r="E8" s="6" t="s">
        <v>53</v>
      </c>
      <c r="F8" s="6" t="s">
        <v>221</v>
      </c>
      <c r="G8" s="3" t="s">
        <v>29</v>
      </c>
      <c r="H8" s="6" t="s">
        <v>222</v>
      </c>
      <c r="I8" s="4" t="s">
        <v>255</v>
      </c>
      <c r="J8" s="4" t="s">
        <v>256</v>
      </c>
      <c r="K8" s="22" t="s">
        <v>257</v>
      </c>
      <c r="L8" s="4" t="s">
        <v>258</v>
      </c>
      <c r="M8" s="6" t="s">
        <v>246</v>
      </c>
      <c r="N8" s="3" t="s">
        <v>259</v>
      </c>
      <c r="O8" s="4" t="s">
        <v>260</v>
      </c>
      <c r="P8" s="3" t="s">
        <v>230</v>
      </c>
    </row>
    <row r="9" customFormat="false" ht="45.75" hidden="false" customHeight="true" outlineLevel="0" collapsed="false">
      <c r="A9" s="8" t="s">
        <v>261</v>
      </c>
      <c r="B9" s="7" t="s">
        <v>219</v>
      </c>
      <c r="C9" s="8" t="s">
        <v>262</v>
      </c>
      <c r="D9" s="7" t="s">
        <v>58</v>
      </c>
      <c r="E9" s="9" t="s">
        <v>53</v>
      </c>
      <c r="F9" s="9" t="s">
        <v>221</v>
      </c>
      <c r="G9" s="7" t="s">
        <v>43</v>
      </c>
      <c r="H9" s="9" t="s">
        <v>222</v>
      </c>
      <c r="I9" s="8" t="s">
        <v>263</v>
      </c>
      <c r="J9" s="8" t="s">
        <v>264</v>
      </c>
      <c r="K9" s="22" t="s">
        <v>257</v>
      </c>
      <c r="L9" s="8" t="s">
        <v>265</v>
      </c>
      <c r="M9" s="9" t="s">
        <v>238</v>
      </c>
      <c r="N9" s="7" t="s">
        <v>259</v>
      </c>
      <c r="O9" s="8" t="s">
        <v>266</v>
      </c>
      <c r="P9" s="7" t="s">
        <v>230</v>
      </c>
    </row>
    <row r="10" customFormat="false" ht="45.75" hidden="false" customHeight="true" outlineLevel="0" collapsed="false">
      <c r="A10" s="4" t="s">
        <v>267</v>
      </c>
      <c r="B10" s="3" t="s">
        <v>219</v>
      </c>
      <c r="C10" s="4" t="s">
        <v>268</v>
      </c>
      <c r="D10" s="3" t="s">
        <v>14</v>
      </c>
      <c r="E10" s="6" t="s">
        <v>53</v>
      </c>
      <c r="F10" s="6" t="s">
        <v>221</v>
      </c>
      <c r="G10" s="3" t="s">
        <v>43</v>
      </c>
      <c r="H10" s="6" t="s">
        <v>222</v>
      </c>
      <c r="I10" s="4" t="s">
        <v>269</v>
      </c>
      <c r="J10" s="4" t="s">
        <v>270</v>
      </c>
      <c r="K10" s="20" t="s">
        <v>225</v>
      </c>
      <c r="L10" s="4" t="s">
        <v>271</v>
      </c>
      <c r="M10" s="6" t="s">
        <v>227</v>
      </c>
      <c r="N10" s="3" t="s">
        <v>228</v>
      </c>
      <c r="O10" s="4" t="s">
        <v>272</v>
      </c>
      <c r="P10" s="3" t="s">
        <v>230</v>
      </c>
    </row>
    <row r="11" customFormat="false" ht="45.75" hidden="false" customHeight="true" outlineLevel="0" collapsed="false">
      <c r="A11" s="8" t="s">
        <v>273</v>
      </c>
      <c r="B11" s="7" t="s">
        <v>219</v>
      </c>
      <c r="C11" s="8" t="s">
        <v>274</v>
      </c>
      <c r="D11" s="7" t="s">
        <v>14</v>
      </c>
      <c r="E11" s="9" t="s">
        <v>53</v>
      </c>
      <c r="F11" s="9" t="s">
        <v>233</v>
      </c>
      <c r="G11" s="7" t="s">
        <v>43</v>
      </c>
      <c r="H11" s="9" t="s">
        <v>234</v>
      </c>
      <c r="I11" s="8" t="s">
        <v>275</v>
      </c>
      <c r="J11" s="8" t="s">
        <v>276</v>
      </c>
      <c r="K11" s="20" t="s">
        <v>225</v>
      </c>
      <c r="L11" s="8" t="s">
        <v>277</v>
      </c>
      <c r="M11" s="9" t="s">
        <v>238</v>
      </c>
      <c r="N11" s="7" t="s">
        <v>228</v>
      </c>
      <c r="O11" s="8" t="s">
        <v>278</v>
      </c>
      <c r="P11" s="7" t="s">
        <v>230</v>
      </c>
    </row>
    <row r="12" customFormat="false" ht="45.75" hidden="false" customHeight="true" outlineLevel="0" collapsed="false">
      <c r="A12" s="4" t="s">
        <v>279</v>
      </c>
      <c r="B12" s="3" t="s">
        <v>219</v>
      </c>
      <c r="C12" s="4" t="s">
        <v>14</v>
      </c>
      <c r="D12" s="3" t="s">
        <v>118</v>
      </c>
      <c r="E12" s="6" t="s">
        <v>53</v>
      </c>
      <c r="F12" s="6" t="s">
        <v>280</v>
      </c>
      <c r="G12" s="3" t="s">
        <v>29</v>
      </c>
      <c r="H12" s="6" t="s">
        <v>222</v>
      </c>
      <c r="I12" s="4" t="s">
        <v>281</v>
      </c>
      <c r="J12" s="4" t="s">
        <v>282</v>
      </c>
      <c r="K12" s="20" t="s">
        <v>225</v>
      </c>
      <c r="L12" s="4" t="s">
        <v>283</v>
      </c>
      <c r="M12" s="6" t="s">
        <v>238</v>
      </c>
      <c r="N12" s="3" t="s">
        <v>228</v>
      </c>
      <c r="O12" s="4" t="s">
        <v>284</v>
      </c>
      <c r="P12" s="3" t="s">
        <v>230</v>
      </c>
    </row>
    <row r="13" customFormat="false" ht="45.75" hidden="false" customHeight="true" outlineLevel="0" collapsed="false">
      <c r="A13" s="8" t="s">
        <v>285</v>
      </c>
      <c r="B13" s="7" t="s">
        <v>219</v>
      </c>
      <c r="C13" s="8" t="s">
        <v>286</v>
      </c>
      <c r="D13" s="7" t="s">
        <v>118</v>
      </c>
      <c r="E13" s="9" t="s">
        <v>53</v>
      </c>
      <c r="F13" s="9" t="s">
        <v>280</v>
      </c>
      <c r="G13" s="7" t="s">
        <v>29</v>
      </c>
      <c r="H13" s="9" t="s">
        <v>222</v>
      </c>
      <c r="I13" s="8" t="s">
        <v>287</v>
      </c>
      <c r="J13" s="8" t="s">
        <v>288</v>
      </c>
      <c r="K13" s="20" t="s">
        <v>225</v>
      </c>
      <c r="L13" s="8" t="s">
        <v>289</v>
      </c>
      <c r="M13" s="9" t="s">
        <v>227</v>
      </c>
      <c r="N13" s="7" t="s">
        <v>259</v>
      </c>
      <c r="O13" s="8" t="s">
        <v>290</v>
      </c>
      <c r="P13" s="7" t="s">
        <v>230</v>
      </c>
    </row>
    <row r="14" customFormat="false" ht="45.75" hidden="false" customHeight="true" outlineLevel="0" collapsed="false">
      <c r="A14" s="4" t="s">
        <v>291</v>
      </c>
      <c r="B14" s="3" t="s">
        <v>219</v>
      </c>
      <c r="C14" s="4" t="s">
        <v>292</v>
      </c>
      <c r="D14" s="3" t="s">
        <v>58</v>
      </c>
      <c r="E14" s="6" t="s">
        <v>53</v>
      </c>
      <c r="F14" s="6" t="s">
        <v>280</v>
      </c>
      <c r="G14" s="3" t="s">
        <v>29</v>
      </c>
      <c r="H14" s="6" t="s">
        <v>293</v>
      </c>
      <c r="I14" s="4" t="s">
        <v>294</v>
      </c>
      <c r="J14" s="4" t="s">
        <v>295</v>
      </c>
      <c r="K14" s="20" t="s">
        <v>225</v>
      </c>
      <c r="L14" s="4" t="s">
        <v>296</v>
      </c>
      <c r="M14" s="6" t="s">
        <v>297</v>
      </c>
      <c r="N14" s="3" t="s">
        <v>259</v>
      </c>
      <c r="O14" s="4" t="s">
        <v>298</v>
      </c>
      <c r="P14" s="3" t="s">
        <v>230</v>
      </c>
    </row>
    <row r="15" customFormat="false" ht="45.75" hidden="false" customHeight="true" outlineLevel="0" collapsed="false">
      <c r="A15" s="8" t="s">
        <v>299</v>
      </c>
      <c r="B15" s="7" t="s">
        <v>219</v>
      </c>
      <c r="C15" s="8" t="s">
        <v>14</v>
      </c>
      <c r="D15" s="7" t="s">
        <v>58</v>
      </c>
      <c r="E15" s="9" t="s">
        <v>53</v>
      </c>
      <c r="F15" s="9" t="s">
        <v>233</v>
      </c>
      <c r="G15" s="7" t="s">
        <v>29</v>
      </c>
      <c r="H15" s="9" t="s">
        <v>234</v>
      </c>
      <c r="I15" s="8" t="s">
        <v>300</v>
      </c>
      <c r="J15" s="8" t="s">
        <v>301</v>
      </c>
      <c r="K15" s="20" t="s">
        <v>225</v>
      </c>
      <c r="L15" s="8" t="s">
        <v>302</v>
      </c>
      <c r="M15" s="9" t="s">
        <v>238</v>
      </c>
      <c r="N15" s="7" t="s">
        <v>228</v>
      </c>
      <c r="O15" s="8" t="s">
        <v>303</v>
      </c>
      <c r="P15" s="7" t="s">
        <v>230</v>
      </c>
    </row>
    <row r="16" customFormat="false" ht="45.75" hidden="false" customHeight="true" outlineLevel="0" collapsed="false">
      <c r="A16" s="4" t="s">
        <v>304</v>
      </c>
      <c r="B16" s="3" t="s">
        <v>219</v>
      </c>
      <c r="C16" s="4" t="s">
        <v>305</v>
      </c>
      <c r="D16" s="3" t="s">
        <v>14</v>
      </c>
      <c r="E16" s="6" t="s">
        <v>53</v>
      </c>
      <c r="F16" s="6" t="s">
        <v>306</v>
      </c>
      <c r="G16" s="3" t="s">
        <v>29</v>
      </c>
      <c r="H16" s="6" t="s">
        <v>222</v>
      </c>
      <c r="I16" s="4" t="s">
        <v>307</v>
      </c>
      <c r="J16" s="4" t="s">
        <v>308</v>
      </c>
      <c r="K16" s="20" t="s">
        <v>309</v>
      </c>
      <c r="L16" s="4" t="s">
        <v>310</v>
      </c>
      <c r="M16" s="6" t="s">
        <v>311</v>
      </c>
      <c r="N16" s="3" t="s">
        <v>259</v>
      </c>
      <c r="O16" s="4" t="s">
        <v>312</v>
      </c>
      <c r="P16" s="3" t="s">
        <v>230</v>
      </c>
    </row>
    <row r="17" customFormat="false" ht="45.75" hidden="false" customHeight="true" outlineLevel="0" collapsed="false">
      <c r="A17" s="8" t="s">
        <v>313</v>
      </c>
      <c r="B17" s="7" t="s">
        <v>219</v>
      </c>
      <c r="C17" s="8" t="s">
        <v>314</v>
      </c>
      <c r="D17" s="7" t="s">
        <v>58</v>
      </c>
      <c r="E17" s="9" t="s">
        <v>53</v>
      </c>
      <c r="F17" s="9" t="s">
        <v>306</v>
      </c>
      <c r="G17" s="7" t="s">
        <v>29</v>
      </c>
      <c r="H17" s="9" t="s">
        <v>222</v>
      </c>
      <c r="I17" s="8" t="s">
        <v>315</v>
      </c>
      <c r="J17" s="8" t="s">
        <v>316</v>
      </c>
      <c r="K17" s="20" t="s">
        <v>225</v>
      </c>
      <c r="L17" s="8" t="s">
        <v>317</v>
      </c>
      <c r="M17" s="9" t="s">
        <v>311</v>
      </c>
      <c r="N17" s="7" t="s">
        <v>228</v>
      </c>
      <c r="O17" s="8" t="s">
        <v>318</v>
      </c>
      <c r="P17" s="7" t="s">
        <v>230</v>
      </c>
    </row>
    <row r="18" customFormat="false" ht="45.75" hidden="false" customHeight="true" outlineLevel="0" collapsed="false">
      <c r="A18" s="4" t="s">
        <v>319</v>
      </c>
      <c r="B18" s="3" t="s">
        <v>219</v>
      </c>
      <c r="C18" s="4" t="s">
        <v>320</v>
      </c>
      <c r="D18" s="3" t="s">
        <v>58</v>
      </c>
      <c r="E18" s="6" t="s">
        <v>53</v>
      </c>
      <c r="F18" s="6" t="s">
        <v>306</v>
      </c>
      <c r="G18" s="3" t="s">
        <v>14</v>
      </c>
      <c r="H18" s="6" t="s">
        <v>222</v>
      </c>
      <c r="I18" s="4" t="s">
        <v>321</v>
      </c>
      <c r="J18" s="4" t="s">
        <v>322</v>
      </c>
      <c r="K18" s="20" t="s">
        <v>225</v>
      </c>
      <c r="L18" s="4" t="s">
        <v>323</v>
      </c>
      <c r="M18" s="6" t="s">
        <v>311</v>
      </c>
      <c r="N18" s="3" t="s">
        <v>247</v>
      </c>
      <c r="O18" s="4" t="s">
        <v>324</v>
      </c>
      <c r="P18" s="3" t="s">
        <v>230</v>
      </c>
    </row>
    <row r="19" customFormat="false" ht="45.75" hidden="false" customHeight="true" outlineLevel="0" collapsed="false">
      <c r="A19" s="8" t="s">
        <v>325</v>
      </c>
      <c r="B19" s="7" t="s">
        <v>219</v>
      </c>
      <c r="C19" s="8" t="s">
        <v>36</v>
      </c>
      <c r="D19" s="7" t="s">
        <v>58</v>
      </c>
      <c r="E19" s="9" t="s">
        <v>53</v>
      </c>
      <c r="F19" s="9" t="s">
        <v>306</v>
      </c>
      <c r="G19" s="7" t="s">
        <v>14</v>
      </c>
      <c r="H19" s="9" t="s">
        <v>222</v>
      </c>
      <c r="I19" s="8" t="s">
        <v>326</v>
      </c>
      <c r="J19" s="8" t="s">
        <v>327</v>
      </c>
      <c r="K19" s="20" t="s">
        <v>225</v>
      </c>
      <c r="L19" s="8" t="s">
        <v>328</v>
      </c>
      <c r="M19" s="9" t="s">
        <v>311</v>
      </c>
      <c r="N19" s="7" t="s">
        <v>259</v>
      </c>
      <c r="O19" s="8" t="s">
        <v>329</v>
      </c>
      <c r="P19" s="7" t="s">
        <v>230</v>
      </c>
    </row>
    <row r="20" customFormat="false" ht="45.75" hidden="false" customHeight="true" outlineLevel="0" collapsed="false">
      <c r="A20" s="4" t="s">
        <v>330</v>
      </c>
      <c r="B20" s="3" t="s">
        <v>219</v>
      </c>
      <c r="C20" s="4" t="s">
        <v>331</v>
      </c>
      <c r="D20" s="3" t="s">
        <v>118</v>
      </c>
      <c r="E20" s="6" t="s">
        <v>53</v>
      </c>
      <c r="F20" s="6" t="s">
        <v>306</v>
      </c>
      <c r="G20" s="3" t="s">
        <v>14</v>
      </c>
      <c r="H20" s="6" t="s">
        <v>222</v>
      </c>
      <c r="I20" s="4" t="s">
        <v>332</v>
      </c>
      <c r="J20" s="4" t="s">
        <v>333</v>
      </c>
      <c r="K20" s="20" t="s">
        <v>225</v>
      </c>
      <c r="L20" s="4" t="s">
        <v>334</v>
      </c>
      <c r="M20" s="6" t="s">
        <v>311</v>
      </c>
      <c r="N20" s="3" t="s">
        <v>259</v>
      </c>
      <c r="O20" s="4" t="s">
        <v>335</v>
      </c>
      <c r="P20" s="3" t="s">
        <v>230</v>
      </c>
    </row>
    <row r="21" customFormat="false" ht="45.75" hidden="false" customHeight="true" outlineLevel="0" collapsed="false">
      <c r="A21" s="8" t="s">
        <v>336</v>
      </c>
      <c r="B21" s="7" t="s">
        <v>219</v>
      </c>
      <c r="C21" s="8" t="s">
        <v>118</v>
      </c>
      <c r="D21" s="7" t="s">
        <v>118</v>
      </c>
      <c r="E21" s="9" t="s">
        <v>53</v>
      </c>
      <c r="F21" s="9" t="s">
        <v>306</v>
      </c>
      <c r="G21" s="7" t="s">
        <v>14</v>
      </c>
      <c r="H21" s="9" t="s">
        <v>222</v>
      </c>
      <c r="I21" s="8" t="s">
        <v>337</v>
      </c>
      <c r="J21" s="8" t="s">
        <v>338</v>
      </c>
      <c r="K21" s="20" t="s">
        <v>225</v>
      </c>
      <c r="L21" s="8" t="s">
        <v>339</v>
      </c>
      <c r="M21" s="9" t="s">
        <v>311</v>
      </c>
      <c r="N21" s="7" t="s">
        <v>247</v>
      </c>
      <c r="O21" s="8" t="s">
        <v>340</v>
      </c>
      <c r="P21" s="7" t="s">
        <v>230</v>
      </c>
    </row>
    <row r="22" customFormat="false" ht="45.75" hidden="false" customHeight="true" outlineLevel="0" collapsed="false">
      <c r="A22" s="4" t="s">
        <v>341</v>
      </c>
      <c r="B22" s="3" t="s">
        <v>219</v>
      </c>
      <c r="C22" s="4" t="s">
        <v>14</v>
      </c>
      <c r="D22" s="3" t="s">
        <v>342</v>
      </c>
      <c r="E22" s="6" t="s">
        <v>53</v>
      </c>
      <c r="F22" s="6" t="s">
        <v>293</v>
      </c>
      <c r="G22" s="3" t="s">
        <v>58</v>
      </c>
      <c r="H22" s="6" t="s">
        <v>293</v>
      </c>
      <c r="I22" s="4" t="s">
        <v>343</v>
      </c>
      <c r="J22" s="4" t="s">
        <v>344</v>
      </c>
      <c r="K22" s="21" t="s">
        <v>345</v>
      </c>
      <c r="L22" s="4" t="s">
        <v>346</v>
      </c>
      <c r="M22" s="6" t="s">
        <v>238</v>
      </c>
      <c r="N22" s="3" t="s">
        <v>259</v>
      </c>
      <c r="O22" s="4" t="s">
        <v>347</v>
      </c>
      <c r="P22" s="3" t="s">
        <v>230</v>
      </c>
    </row>
    <row r="23" customFormat="false" ht="45.75" hidden="false" customHeight="true" outlineLevel="0" collapsed="false">
      <c r="A23" s="8" t="s">
        <v>348</v>
      </c>
      <c r="B23" s="7" t="s">
        <v>219</v>
      </c>
      <c r="C23" s="8" t="s">
        <v>349</v>
      </c>
      <c r="D23" s="7" t="s">
        <v>14</v>
      </c>
      <c r="E23" s="9" t="s">
        <v>53</v>
      </c>
      <c r="F23" s="9" t="s">
        <v>233</v>
      </c>
      <c r="G23" s="7" t="s">
        <v>14</v>
      </c>
      <c r="H23" s="9" t="s">
        <v>234</v>
      </c>
      <c r="I23" s="8" t="s">
        <v>350</v>
      </c>
      <c r="J23" s="8" t="s">
        <v>351</v>
      </c>
      <c r="K23" s="22" t="s">
        <v>257</v>
      </c>
      <c r="L23" s="8" t="s">
        <v>352</v>
      </c>
      <c r="M23" s="9" t="s">
        <v>238</v>
      </c>
      <c r="N23" s="7" t="s">
        <v>247</v>
      </c>
      <c r="O23" s="8" t="s">
        <v>353</v>
      </c>
      <c r="P23" s="7" t="s">
        <v>230</v>
      </c>
    </row>
    <row r="24" customFormat="false" ht="45.75" hidden="false" customHeight="true" outlineLevel="0" collapsed="false">
      <c r="A24" s="4" t="s">
        <v>354</v>
      </c>
      <c r="B24" s="3" t="s">
        <v>219</v>
      </c>
      <c r="C24" s="4" t="s">
        <v>14</v>
      </c>
      <c r="D24" s="3" t="s">
        <v>58</v>
      </c>
      <c r="E24" s="6" t="s">
        <v>53</v>
      </c>
      <c r="F24" s="6" t="s">
        <v>221</v>
      </c>
      <c r="G24" s="3" t="s">
        <v>43</v>
      </c>
      <c r="H24" s="6" t="s">
        <v>222</v>
      </c>
      <c r="I24" s="4" t="s">
        <v>355</v>
      </c>
      <c r="J24" s="4" t="s">
        <v>356</v>
      </c>
      <c r="K24" s="20" t="s">
        <v>225</v>
      </c>
      <c r="L24" s="4" t="s">
        <v>265</v>
      </c>
      <c r="M24" s="6" t="s">
        <v>238</v>
      </c>
      <c r="N24" s="3" t="s">
        <v>259</v>
      </c>
      <c r="O24" s="4" t="s">
        <v>357</v>
      </c>
      <c r="P24" s="3" t="s">
        <v>230</v>
      </c>
    </row>
    <row r="25" customFormat="false" ht="45.75" hidden="false" customHeight="true" outlineLevel="0" collapsed="false">
      <c r="A25" s="8" t="s">
        <v>358</v>
      </c>
      <c r="B25" s="7" t="s">
        <v>219</v>
      </c>
      <c r="C25" s="8" t="s">
        <v>359</v>
      </c>
      <c r="D25" s="7" t="s">
        <v>36</v>
      </c>
      <c r="E25" s="9" t="s">
        <v>53</v>
      </c>
      <c r="F25" s="9" t="s">
        <v>360</v>
      </c>
      <c r="G25" s="7" t="s">
        <v>29</v>
      </c>
      <c r="H25" s="9" t="s">
        <v>234</v>
      </c>
      <c r="I25" s="8" t="s">
        <v>361</v>
      </c>
      <c r="J25" s="8" t="s">
        <v>362</v>
      </c>
      <c r="K25" s="20" t="s">
        <v>363</v>
      </c>
      <c r="L25" s="8" t="s">
        <v>364</v>
      </c>
      <c r="M25" s="9" t="s">
        <v>238</v>
      </c>
      <c r="N25" s="7" t="s">
        <v>228</v>
      </c>
      <c r="O25" s="8" t="s">
        <v>365</v>
      </c>
      <c r="P25" s="7" t="s">
        <v>230</v>
      </c>
    </row>
    <row r="26" customFormat="false" ht="45.75" hidden="false" customHeight="true" outlineLevel="0" collapsed="false">
      <c r="A26" s="4" t="s">
        <v>366</v>
      </c>
      <c r="B26" s="3" t="s">
        <v>219</v>
      </c>
      <c r="C26" s="4" t="s">
        <v>14</v>
      </c>
      <c r="D26" s="3" t="s">
        <v>58</v>
      </c>
      <c r="E26" s="6" t="s">
        <v>53</v>
      </c>
      <c r="F26" s="6" t="s">
        <v>360</v>
      </c>
      <c r="G26" s="3" t="s">
        <v>43</v>
      </c>
      <c r="H26" s="6" t="s">
        <v>234</v>
      </c>
      <c r="I26" s="4" t="s">
        <v>367</v>
      </c>
      <c r="J26" s="4" t="s">
        <v>368</v>
      </c>
      <c r="K26" s="20" t="s">
        <v>225</v>
      </c>
      <c r="L26" s="4" t="s">
        <v>369</v>
      </c>
      <c r="M26" s="6" t="s">
        <v>238</v>
      </c>
      <c r="N26" s="3" t="s">
        <v>228</v>
      </c>
      <c r="O26" s="4" t="s">
        <v>370</v>
      </c>
      <c r="P26" s="3" t="s">
        <v>230</v>
      </c>
    </row>
    <row r="27" customFormat="false" ht="45.75" hidden="false" customHeight="true" outlineLevel="0" collapsed="false">
      <c r="A27" s="8" t="s">
        <v>371</v>
      </c>
      <c r="B27" s="7" t="s">
        <v>219</v>
      </c>
      <c r="C27" s="8" t="s">
        <v>14</v>
      </c>
      <c r="D27" s="7" t="s">
        <v>14</v>
      </c>
      <c r="E27" s="9" t="s">
        <v>53</v>
      </c>
      <c r="F27" s="9" t="s">
        <v>360</v>
      </c>
      <c r="G27" s="7" t="s">
        <v>14</v>
      </c>
      <c r="H27" s="9" t="s">
        <v>234</v>
      </c>
      <c r="I27" s="8" t="s">
        <v>372</v>
      </c>
      <c r="J27" s="8" t="s">
        <v>373</v>
      </c>
      <c r="K27" s="22" t="s">
        <v>257</v>
      </c>
      <c r="L27" s="8" t="s">
        <v>374</v>
      </c>
      <c r="M27" s="9" t="s">
        <v>238</v>
      </c>
      <c r="N27" s="7" t="s">
        <v>259</v>
      </c>
      <c r="O27" s="8" t="s">
        <v>375</v>
      </c>
      <c r="P27" s="7" t="s">
        <v>230</v>
      </c>
    </row>
    <row r="28" customFormat="false" ht="45.75" hidden="false" customHeight="true" outlineLevel="0" collapsed="false">
      <c r="A28" s="4" t="s">
        <v>376</v>
      </c>
      <c r="B28" s="3" t="s">
        <v>219</v>
      </c>
      <c r="C28" s="4" t="s">
        <v>377</v>
      </c>
      <c r="D28" s="3" t="s">
        <v>36</v>
      </c>
      <c r="E28" s="6" t="s">
        <v>53</v>
      </c>
      <c r="F28" s="6" t="s">
        <v>293</v>
      </c>
      <c r="G28" s="3" t="s">
        <v>58</v>
      </c>
      <c r="H28" s="6" t="s">
        <v>293</v>
      </c>
      <c r="I28" s="4" t="s">
        <v>378</v>
      </c>
      <c r="J28" s="4" t="s">
        <v>379</v>
      </c>
      <c r="K28" s="20" t="s">
        <v>225</v>
      </c>
      <c r="L28" s="4" t="s">
        <v>380</v>
      </c>
      <c r="M28" s="6" t="s">
        <v>381</v>
      </c>
      <c r="N28" s="3" t="s">
        <v>228</v>
      </c>
      <c r="O28" s="4" t="s">
        <v>382</v>
      </c>
      <c r="P28" s="3" t="s">
        <v>230</v>
      </c>
    </row>
    <row r="29" customFormat="false" ht="45.75" hidden="false" customHeight="true" outlineLevel="0" collapsed="false">
      <c r="A29" s="8" t="s">
        <v>383</v>
      </c>
      <c r="B29" s="7" t="s">
        <v>219</v>
      </c>
      <c r="C29" s="8" t="s">
        <v>384</v>
      </c>
      <c r="D29" s="7" t="s">
        <v>36</v>
      </c>
      <c r="E29" s="9" t="s">
        <v>53</v>
      </c>
      <c r="F29" s="9" t="s">
        <v>280</v>
      </c>
      <c r="G29" s="7" t="s">
        <v>14</v>
      </c>
      <c r="H29" s="9" t="s">
        <v>293</v>
      </c>
      <c r="I29" s="8" t="s">
        <v>385</v>
      </c>
      <c r="J29" s="8" t="s">
        <v>386</v>
      </c>
      <c r="K29" s="20" t="s">
        <v>225</v>
      </c>
      <c r="L29" s="8" t="s">
        <v>387</v>
      </c>
      <c r="M29" s="9" t="s">
        <v>381</v>
      </c>
      <c r="N29" s="7" t="s">
        <v>228</v>
      </c>
      <c r="O29" s="8" t="s">
        <v>388</v>
      </c>
      <c r="P29" s="7" t="s">
        <v>230</v>
      </c>
    </row>
    <row r="30" customFormat="false" ht="45.75" hidden="false" customHeight="true" outlineLevel="0" collapsed="false">
      <c r="A30" s="4" t="s">
        <v>389</v>
      </c>
      <c r="B30" s="3" t="s">
        <v>219</v>
      </c>
      <c r="C30" s="4" t="s">
        <v>390</v>
      </c>
      <c r="D30" s="3" t="s">
        <v>36</v>
      </c>
      <c r="E30" s="6" t="s">
        <v>53</v>
      </c>
      <c r="F30" s="6" t="s">
        <v>293</v>
      </c>
      <c r="G30" s="3" t="s">
        <v>14</v>
      </c>
      <c r="H30" s="6" t="s">
        <v>293</v>
      </c>
      <c r="I30" s="4" t="s">
        <v>391</v>
      </c>
      <c r="J30" s="4" t="s">
        <v>243</v>
      </c>
      <c r="K30" s="20" t="s">
        <v>225</v>
      </c>
      <c r="L30" s="4" t="s">
        <v>392</v>
      </c>
      <c r="M30" s="6" t="s">
        <v>238</v>
      </c>
      <c r="N30" s="3" t="s">
        <v>228</v>
      </c>
      <c r="O30" s="4" t="s">
        <v>393</v>
      </c>
      <c r="P30" s="3" t="s">
        <v>230</v>
      </c>
    </row>
    <row r="31" customFormat="false" ht="45.75" hidden="false" customHeight="true" outlineLevel="0" collapsed="false">
      <c r="A31" s="8" t="s">
        <v>394</v>
      </c>
      <c r="B31" s="7" t="s">
        <v>395</v>
      </c>
      <c r="C31" s="8" t="s">
        <v>396</v>
      </c>
      <c r="D31" s="7" t="s">
        <v>29</v>
      </c>
      <c r="E31" s="9" t="s">
        <v>53</v>
      </c>
      <c r="F31" s="9" t="s">
        <v>221</v>
      </c>
      <c r="G31" s="7" t="s">
        <v>43</v>
      </c>
      <c r="H31" s="9" t="s">
        <v>222</v>
      </c>
      <c r="I31" s="8" t="s">
        <v>397</v>
      </c>
      <c r="J31" s="8" t="s">
        <v>398</v>
      </c>
      <c r="K31" s="22" t="s">
        <v>257</v>
      </c>
      <c r="L31" s="8" t="s">
        <v>399</v>
      </c>
      <c r="M31" s="9" t="s">
        <v>400</v>
      </c>
      <c r="N31" s="7" t="s">
        <v>247</v>
      </c>
      <c r="O31" s="8" t="s">
        <v>401</v>
      </c>
      <c r="P31" s="7" t="s">
        <v>230</v>
      </c>
    </row>
    <row r="32" customFormat="false" ht="45.75" hidden="false" customHeight="true" outlineLevel="0" collapsed="false">
      <c r="A32" s="4" t="s">
        <v>402</v>
      </c>
      <c r="B32" s="3" t="s">
        <v>403</v>
      </c>
      <c r="C32" s="4" t="s">
        <v>404</v>
      </c>
      <c r="D32" s="3" t="s">
        <v>14</v>
      </c>
      <c r="E32" s="6" t="s">
        <v>53</v>
      </c>
      <c r="F32" s="6" t="s">
        <v>221</v>
      </c>
      <c r="G32" s="3" t="s">
        <v>43</v>
      </c>
      <c r="H32" s="6" t="s">
        <v>222</v>
      </c>
      <c r="I32" s="4" t="s">
        <v>405</v>
      </c>
      <c r="J32" s="4" t="s">
        <v>53</v>
      </c>
      <c r="K32" s="22" t="s">
        <v>257</v>
      </c>
      <c r="L32" s="4" t="s">
        <v>406</v>
      </c>
      <c r="M32" s="6" t="s">
        <v>407</v>
      </c>
      <c r="N32" s="3" t="s">
        <v>408</v>
      </c>
      <c r="O32" s="4" t="s">
        <v>409</v>
      </c>
      <c r="P32" s="3" t="s">
        <v>230</v>
      </c>
    </row>
    <row r="33" customFormat="false" ht="45.75" hidden="false" customHeight="true" outlineLevel="0" collapsed="false">
      <c r="A33" s="8" t="s">
        <v>253</v>
      </c>
      <c r="B33" s="7" t="s">
        <v>410</v>
      </c>
      <c r="C33" s="8" t="s">
        <v>411</v>
      </c>
      <c r="D33" s="7" t="s">
        <v>43</v>
      </c>
      <c r="E33" s="9" t="s">
        <v>53</v>
      </c>
      <c r="F33" s="9" t="s">
        <v>221</v>
      </c>
      <c r="G33" s="7" t="s">
        <v>43</v>
      </c>
      <c r="H33" s="9" t="s">
        <v>222</v>
      </c>
      <c r="I33" s="8" t="s">
        <v>412</v>
      </c>
      <c r="J33" s="8" t="s">
        <v>413</v>
      </c>
      <c r="K33" s="21" t="s">
        <v>244</v>
      </c>
      <c r="L33" s="8" t="s">
        <v>414</v>
      </c>
      <c r="M33" s="9" t="s">
        <v>415</v>
      </c>
      <c r="N33" s="7" t="s">
        <v>416</v>
      </c>
      <c r="O33" s="8" t="s">
        <v>417</v>
      </c>
      <c r="P33" s="7" t="s">
        <v>230</v>
      </c>
    </row>
    <row r="34" customFormat="false" ht="45.75" hidden="false" customHeight="true" outlineLevel="0" collapsed="false">
      <c r="A34" s="4" t="s">
        <v>418</v>
      </c>
      <c r="B34" s="3" t="s">
        <v>419</v>
      </c>
      <c r="C34" s="4" t="s">
        <v>420</v>
      </c>
      <c r="D34" s="3" t="s">
        <v>43</v>
      </c>
      <c r="E34" s="6" t="s">
        <v>53</v>
      </c>
      <c r="F34" s="6" t="s">
        <v>280</v>
      </c>
      <c r="G34" s="3" t="s">
        <v>29</v>
      </c>
      <c r="H34" s="6" t="s">
        <v>222</v>
      </c>
      <c r="I34" s="4" t="s">
        <v>421</v>
      </c>
      <c r="J34" s="4" t="s">
        <v>422</v>
      </c>
      <c r="K34" s="21" t="s">
        <v>244</v>
      </c>
      <c r="L34" s="4" t="s">
        <v>423</v>
      </c>
      <c r="M34" s="6" t="s">
        <v>424</v>
      </c>
      <c r="N34" s="3" t="s">
        <v>416</v>
      </c>
      <c r="O34" s="4" t="s">
        <v>425</v>
      </c>
      <c r="P34" s="3" t="s">
        <v>230</v>
      </c>
    </row>
    <row r="36" customFormat="false" ht="15" hidden="false" customHeight="false" outlineLevel="0" collapsed="false">
      <c r="A36" s="19" t="s">
        <v>426</v>
      </c>
    </row>
    <row r="37" customFormat="false" ht="15" hidden="false" customHeight="false" outlineLevel="0" collapsed="false">
      <c r="A37" s="19" t="s">
        <v>427</v>
      </c>
    </row>
  </sheetData>
  <autoFilter ref="A3:P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26"/>
    <col collapsed="false" customWidth="true" hidden="false" outlineLevel="0" max="4" min="4" style="0" width="30"/>
    <col collapsed="false" customWidth="true" hidden="false" outlineLevel="0" max="5" min="5" style="0" width="20"/>
    <col collapsed="false" customWidth="true" hidden="false" outlineLevel="0" max="6" min="6" style="0" width="11"/>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0" min="10" style="0" width="24"/>
    <col collapsed="false" customWidth="true" hidden="false" outlineLevel="0" max="11" min="11" style="0" width="26"/>
    <col collapsed="false" customWidth="true" hidden="false" outlineLevel="0" max="12" min="12" style="0" width="36"/>
    <col collapsed="false" customWidth="true" hidden="false" outlineLevel="0" max="13" min="13" style="0" width="8"/>
    <col collapsed="false" customWidth="true" hidden="false" outlineLevel="0" max="14" min="14" style="0" width="46"/>
    <col collapsed="false" customWidth="true" hidden="false" outlineLevel="0" max="15" min="15" style="0" width="30"/>
    <col collapsed="false" customWidth="true" hidden="false" outlineLevel="0" max="17" min="16" style="0" width="46"/>
    <col collapsed="false" customWidth="true" hidden="false" outlineLevel="0" max="18" min="18" style="0" width="78"/>
    <col collapsed="false" customWidth="true" hidden="false" outlineLevel="0" max="19" min="19" style="0" width="60"/>
    <col collapsed="false" customWidth="true" hidden="false" outlineLevel="0" max="20" min="20" style="0" width="12"/>
    <col collapsed="false" customWidth="true" hidden="false" outlineLevel="0" max="21" min="21" style="0" width="44"/>
  </cols>
  <sheetData>
    <row r="1" customFormat="false" ht="21.75" hidden="false" customHeight="true" outlineLevel="0" collapsed="false">
      <c r="A1" s="1" t="s">
        <v>428</v>
      </c>
    </row>
    <row r="2" customFormat="false" ht="6" hidden="false" customHeight="true" outlineLevel="0" collapsed="false"/>
    <row r="3" customFormat="false" ht="42" hidden="false" customHeight="true" outlineLevel="0" collapsed="false">
      <c r="A3" s="2" t="s">
        <v>429</v>
      </c>
      <c r="B3" s="2" t="s">
        <v>204</v>
      </c>
      <c r="C3" s="2" t="s">
        <v>430</v>
      </c>
      <c r="D3" s="2" t="s">
        <v>431</v>
      </c>
      <c r="E3" s="2" t="s">
        <v>432</v>
      </c>
      <c r="F3" s="2" t="s">
        <v>433</v>
      </c>
      <c r="G3" s="2" t="s">
        <v>434</v>
      </c>
      <c r="H3" s="2" t="s">
        <v>435</v>
      </c>
      <c r="I3" s="2" t="s">
        <v>87</v>
      </c>
      <c r="J3" s="2" t="s">
        <v>436</v>
      </c>
      <c r="K3" s="2" t="s">
        <v>437</v>
      </c>
      <c r="L3" s="2" t="s">
        <v>438</v>
      </c>
      <c r="M3" s="2" t="s">
        <v>439</v>
      </c>
      <c r="N3" s="2" t="s">
        <v>440</v>
      </c>
      <c r="O3" s="2" t="s">
        <v>441</v>
      </c>
      <c r="P3" s="2" t="s">
        <v>442</v>
      </c>
      <c r="Q3" s="2" t="s">
        <v>443</v>
      </c>
      <c r="R3" s="2" t="s">
        <v>444</v>
      </c>
      <c r="S3" s="2" t="s">
        <v>445</v>
      </c>
      <c r="T3" s="2" t="s">
        <v>446</v>
      </c>
      <c r="U3" s="2" t="s">
        <v>447</v>
      </c>
    </row>
    <row r="4" customFormat="false" ht="96" hidden="false" customHeight="true" outlineLevel="0" collapsed="false">
      <c r="A4" s="4" t="s">
        <v>448</v>
      </c>
      <c r="B4" s="3" t="s">
        <v>38</v>
      </c>
      <c r="C4" s="6" t="s">
        <v>373</v>
      </c>
      <c r="D4" s="4" t="s">
        <v>449</v>
      </c>
      <c r="E4" s="6" t="s">
        <v>450</v>
      </c>
      <c r="F4" s="23" t="n">
        <v>1998</v>
      </c>
      <c r="G4" s="3" t="n">
        <v>30</v>
      </c>
      <c r="H4" s="24" t="n">
        <v>66.6</v>
      </c>
      <c r="I4" s="4" t="s">
        <v>451</v>
      </c>
      <c r="J4" s="4" t="s">
        <v>452</v>
      </c>
      <c r="K4" s="4" t="s">
        <v>453</v>
      </c>
      <c r="L4" s="4" t="s">
        <v>454</v>
      </c>
      <c r="M4" s="3" t="n">
        <v>4.8</v>
      </c>
      <c r="N4" s="4" t="s">
        <v>455</v>
      </c>
      <c r="O4" s="4" t="s">
        <v>456</v>
      </c>
      <c r="P4" s="4" t="s">
        <v>457</v>
      </c>
      <c r="Q4" s="4" t="s">
        <v>458</v>
      </c>
      <c r="R4" s="4" t="s">
        <v>459</v>
      </c>
      <c r="S4" s="4" t="s">
        <v>460</v>
      </c>
      <c r="T4" s="25" t="s">
        <v>461</v>
      </c>
      <c r="U4" s="4" t="s">
        <v>462</v>
      </c>
    </row>
    <row r="5" customFormat="false" ht="96" hidden="false" customHeight="true" outlineLevel="0" collapsed="false">
      <c r="A5" s="8" t="s">
        <v>463</v>
      </c>
      <c r="B5" s="7" t="s">
        <v>38</v>
      </c>
      <c r="C5" s="9" t="s">
        <v>464</v>
      </c>
      <c r="D5" s="8" t="s">
        <v>136</v>
      </c>
      <c r="E5" s="9" t="s">
        <v>450</v>
      </c>
      <c r="F5" s="26" t="n">
        <v>999</v>
      </c>
      <c r="G5" s="7" t="n">
        <v>30</v>
      </c>
      <c r="H5" s="27" t="n">
        <v>33.3</v>
      </c>
      <c r="I5" s="8" t="s">
        <v>465</v>
      </c>
      <c r="J5" s="8" t="s">
        <v>466</v>
      </c>
      <c r="K5" s="8" t="s">
        <v>467</v>
      </c>
      <c r="L5" s="8" t="s">
        <v>468</v>
      </c>
      <c r="M5" s="7" t="s">
        <v>469</v>
      </c>
      <c r="N5" s="8" t="s">
        <v>470</v>
      </c>
      <c r="O5" s="8" t="s">
        <v>471</v>
      </c>
      <c r="P5" s="8" t="s">
        <v>472</v>
      </c>
      <c r="Q5" s="8" t="s">
        <v>473</v>
      </c>
      <c r="R5" s="8" t="s">
        <v>474</v>
      </c>
      <c r="S5" s="8" t="s">
        <v>475</v>
      </c>
      <c r="T5" s="28" t="s">
        <v>257</v>
      </c>
      <c r="U5" s="8" t="s">
        <v>476</v>
      </c>
    </row>
    <row r="6" customFormat="false" ht="96" hidden="false" customHeight="true" outlineLevel="0" collapsed="false">
      <c r="A6" s="4" t="s">
        <v>477</v>
      </c>
      <c r="B6" s="3" t="s">
        <v>38</v>
      </c>
      <c r="C6" s="6" t="s">
        <v>478</v>
      </c>
      <c r="D6" s="4" t="s">
        <v>479</v>
      </c>
      <c r="E6" s="6" t="s">
        <v>450</v>
      </c>
      <c r="F6" s="23" t="n">
        <v>1350</v>
      </c>
      <c r="G6" s="3"/>
      <c r="H6" s="24"/>
      <c r="I6" s="4" t="s">
        <v>480</v>
      </c>
      <c r="J6" s="4" t="s">
        <v>481</v>
      </c>
      <c r="K6" s="4" t="s">
        <v>482</v>
      </c>
      <c r="L6" s="4" t="s">
        <v>483</v>
      </c>
      <c r="M6" s="3" t="s">
        <v>468</v>
      </c>
      <c r="N6" s="4" t="s">
        <v>484</v>
      </c>
      <c r="O6" s="4" t="s">
        <v>471</v>
      </c>
      <c r="P6" s="4" t="s">
        <v>485</v>
      </c>
      <c r="Q6" s="4" t="s">
        <v>486</v>
      </c>
      <c r="R6" s="4" t="s">
        <v>487</v>
      </c>
      <c r="S6" s="4" t="s">
        <v>488</v>
      </c>
      <c r="T6" s="28" t="s">
        <v>257</v>
      </c>
      <c r="U6" s="4" t="s">
        <v>489</v>
      </c>
    </row>
    <row r="7" customFormat="false" ht="96" hidden="false" customHeight="true" outlineLevel="0" collapsed="false">
      <c r="A7" s="8" t="s">
        <v>490</v>
      </c>
      <c r="B7" s="7" t="s">
        <v>38</v>
      </c>
      <c r="C7" s="9" t="s">
        <v>295</v>
      </c>
      <c r="D7" s="8" t="s">
        <v>491</v>
      </c>
      <c r="E7" s="9" t="s">
        <v>492</v>
      </c>
      <c r="F7" s="26" t="n">
        <v>1390</v>
      </c>
      <c r="G7" s="7" t="n">
        <v>30</v>
      </c>
      <c r="H7" s="27" t="n">
        <v>46.3</v>
      </c>
      <c r="I7" s="8" t="s">
        <v>493</v>
      </c>
      <c r="J7" s="8" t="s">
        <v>494</v>
      </c>
      <c r="K7" s="8" t="s">
        <v>495</v>
      </c>
      <c r="L7" s="8" t="s">
        <v>496</v>
      </c>
      <c r="M7" s="7" t="s">
        <v>468</v>
      </c>
      <c r="N7" s="8" t="s">
        <v>497</v>
      </c>
      <c r="O7" s="8" t="s">
        <v>498</v>
      </c>
      <c r="P7" s="8" t="s">
        <v>499</v>
      </c>
      <c r="Q7" s="8" t="s">
        <v>500</v>
      </c>
      <c r="R7" s="8" t="s">
        <v>501</v>
      </c>
      <c r="S7" s="8" t="s">
        <v>502</v>
      </c>
      <c r="T7" s="28" t="s">
        <v>257</v>
      </c>
      <c r="U7" s="8" t="s">
        <v>503</v>
      </c>
    </row>
    <row r="8" customFormat="false" ht="96" hidden="false" customHeight="true" outlineLevel="0" collapsed="false">
      <c r="A8" s="4" t="s">
        <v>504</v>
      </c>
      <c r="B8" s="3" t="s">
        <v>38</v>
      </c>
      <c r="C8" s="6" t="s">
        <v>505</v>
      </c>
      <c r="D8" s="4" t="s">
        <v>506</v>
      </c>
      <c r="E8" s="6" t="s">
        <v>507</v>
      </c>
      <c r="F8" s="23"/>
      <c r="G8" s="3"/>
      <c r="H8" s="24"/>
      <c r="I8" s="4" t="s">
        <v>508</v>
      </c>
      <c r="J8" s="4" t="s">
        <v>507</v>
      </c>
      <c r="K8" s="4" t="s">
        <v>509</v>
      </c>
      <c r="L8" s="4" t="s">
        <v>510</v>
      </c>
      <c r="M8" s="3" t="s">
        <v>511</v>
      </c>
      <c r="N8" s="4" t="s">
        <v>512</v>
      </c>
      <c r="O8" s="4" t="s">
        <v>513</v>
      </c>
      <c r="P8" s="4" t="s">
        <v>514</v>
      </c>
      <c r="Q8" s="4" t="s">
        <v>515</v>
      </c>
      <c r="R8" s="4" t="s">
        <v>516</v>
      </c>
      <c r="S8" s="4" t="s">
        <v>517</v>
      </c>
      <c r="T8" s="28" t="s">
        <v>257</v>
      </c>
      <c r="U8" s="4" t="s">
        <v>505</v>
      </c>
    </row>
    <row r="9" customFormat="false" ht="96" hidden="false" customHeight="true" outlineLevel="0" collapsed="false">
      <c r="A9" s="8" t="s">
        <v>518</v>
      </c>
      <c r="B9" s="7" t="s">
        <v>38</v>
      </c>
      <c r="C9" s="9" t="s">
        <v>256</v>
      </c>
      <c r="D9" s="8" t="s">
        <v>519</v>
      </c>
      <c r="E9" s="9" t="s">
        <v>450</v>
      </c>
      <c r="F9" s="26" t="n">
        <v>1099</v>
      </c>
      <c r="G9" s="7" t="n">
        <v>30</v>
      </c>
      <c r="H9" s="27" t="n">
        <v>36.6</v>
      </c>
      <c r="I9" s="8" t="s">
        <v>520</v>
      </c>
      <c r="J9" s="8" t="s">
        <v>521</v>
      </c>
      <c r="K9" s="8" t="s">
        <v>509</v>
      </c>
      <c r="L9" s="8" t="s">
        <v>522</v>
      </c>
      <c r="M9" s="7" t="s">
        <v>468</v>
      </c>
      <c r="N9" s="8" t="s">
        <v>523</v>
      </c>
      <c r="O9" s="8" t="s">
        <v>471</v>
      </c>
      <c r="P9" s="8" t="s">
        <v>524</v>
      </c>
      <c r="Q9" s="8" t="s">
        <v>525</v>
      </c>
      <c r="R9" s="8" t="s">
        <v>526</v>
      </c>
      <c r="S9" s="8" t="s">
        <v>527</v>
      </c>
      <c r="T9" s="29" t="s">
        <v>225</v>
      </c>
      <c r="U9" s="8" t="s">
        <v>528</v>
      </c>
    </row>
    <row r="10" customFormat="false" ht="96" hidden="false" customHeight="true" outlineLevel="0" collapsed="false">
      <c r="A10" s="4" t="s">
        <v>529</v>
      </c>
      <c r="B10" s="3" t="s">
        <v>38</v>
      </c>
      <c r="C10" s="6" t="s">
        <v>530</v>
      </c>
      <c r="D10" s="4" t="s">
        <v>136</v>
      </c>
      <c r="E10" s="6" t="s">
        <v>450</v>
      </c>
      <c r="F10" s="23" t="n">
        <v>1483</v>
      </c>
      <c r="G10" s="3" t="n">
        <v>30</v>
      </c>
      <c r="H10" s="24" t="n">
        <v>49.4</v>
      </c>
      <c r="I10" s="4" t="s">
        <v>531</v>
      </c>
      <c r="J10" s="4" t="s">
        <v>532</v>
      </c>
      <c r="K10" s="4" t="s">
        <v>533</v>
      </c>
      <c r="L10" s="4" t="s">
        <v>534</v>
      </c>
      <c r="M10" s="3" t="s">
        <v>53</v>
      </c>
      <c r="N10" s="4" t="s">
        <v>257</v>
      </c>
      <c r="O10" s="4" t="s">
        <v>471</v>
      </c>
      <c r="P10" s="4" t="s">
        <v>535</v>
      </c>
      <c r="Q10" s="4" t="s">
        <v>536</v>
      </c>
      <c r="R10" s="4" t="s">
        <v>537</v>
      </c>
      <c r="S10" s="4" t="s">
        <v>538</v>
      </c>
      <c r="T10" s="28" t="s">
        <v>257</v>
      </c>
      <c r="U10" s="4" t="s">
        <v>539</v>
      </c>
    </row>
    <row r="11" customFormat="false" ht="96" hidden="false" customHeight="true" outlineLevel="0" collapsed="false">
      <c r="A11" s="8" t="s">
        <v>540</v>
      </c>
      <c r="B11" s="7" t="s">
        <v>38</v>
      </c>
      <c r="C11" s="9" t="s">
        <v>541</v>
      </c>
      <c r="D11" s="8" t="s">
        <v>542</v>
      </c>
      <c r="E11" s="9" t="s">
        <v>450</v>
      </c>
      <c r="F11" s="26" t="n">
        <v>945</v>
      </c>
      <c r="G11" s="7" t="n">
        <v>30</v>
      </c>
      <c r="H11" s="27" t="n">
        <v>31.5</v>
      </c>
      <c r="I11" s="8" t="s">
        <v>543</v>
      </c>
      <c r="J11" s="8" t="s">
        <v>481</v>
      </c>
      <c r="K11" s="8" t="s">
        <v>544</v>
      </c>
      <c r="L11" s="8" t="s">
        <v>545</v>
      </c>
      <c r="M11" s="7" t="s">
        <v>546</v>
      </c>
      <c r="N11" s="8" t="s">
        <v>257</v>
      </c>
      <c r="O11" s="8" t="s">
        <v>471</v>
      </c>
      <c r="P11" s="8" t="s">
        <v>547</v>
      </c>
      <c r="Q11" s="8" t="s">
        <v>548</v>
      </c>
      <c r="R11" s="8" t="s">
        <v>549</v>
      </c>
      <c r="S11" s="8" t="s">
        <v>550</v>
      </c>
      <c r="T11" s="30" t="s">
        <v>551</v>
      </c>
      <c r="U11" s="8" t="s">
        <v>552</v>
      </c>
    </row>
    <row r="12" customFormat="false" ht="96" hidden="false" customHeight="true" outlineLevel="0" collapsed="false">
      <c r="A12" s="4" t="s">
        <v>553</v>
      </c>
      <c r="B12" s="3" t="s">
        <v>38</v>
      </c>
      <c r="C12" s="6" t="s">
        <v>243</v>
      </c>
      <c r="D12" s="4" t="s">
        <v>554</v>
      </c>
      <c r="E12" s="6" t="s">
        <v>555</v>
      </c>
      <c r="F12" s="23" t="n">
        <v>1450</v>
      </c>
      <c r="G12" s="3"/>
      <c r="H12" s="24"/>
      <c r="I12" s="4" t="s">
        <v>556</v>
      </c>
      <c r="J12" s="4" t="s">
        <v>557</v>
      </c>
      <c r="K12" s="4" t="s">
        <v>558</v>
      </c>
      <c r="L12" s="4" t="s">
        <v>559</v>
      </c>
      <c r="M12" s="3" t="s">
        <v>53</v>
      </c>
      <c r="N12" s="4" t="s">
        <v>560</v>
      </c>
      <c r="O12" s="4" t="s">
        <v>471</v>
      </c>
      <c r="P12" s="4" t="s">
        <v>561</v>
      </c>
      <c r="Q12" s="4" t="s">
        <v>562</v>
      </c>
      <c r="R12" s="4" t="s">
        <v>563</v>
      </c>
      <c r="S12" s="4" t="s">
        <v>564</v>
      </c>
      <c r="T12" s="29" t="s">
        <v>565</v>
      </c>
      <c r="U12" s="4" t="s">
        <v>566</v>
      </c>
    </row>
    <row r="13" customFormat="false" ht="96" hidden="false" customHeight="true" outlineLevel="0" collapsed="false">
      <c r="A13" s="8" t="s">
        <v>567</v>
      </c>
      <c r="B13" s="7" t="s">
        <v>38</v>
      </c>
      <c r="C13" s="9" t="s">
        <v>568</v>
      </c>
      <c r="D13" s="8" t="s">
        <v>569</v>
      </c>
      <c r="E13" s="9" t="s">
        <v>492</v>
      </c>
      <c r="F13" s="26" t="n">
        <v>1599</v>
      </c>
      <c r="G13" s="7" t="n">
        <v>30</v>
      </c>
      <c r="H13" s="27" t="n">
        <v>53.3</v>
      </c>
      <c r="I13" s="8" t="s">
        <v>570</v>
      </c>
      <c r="J13" s="8" t="s">
        <v>154</v>
      </c>
      <c r="K13" s="8" t="s">
        <v>571</v>
      </c>
      <c r="L13" s="8" t="s">
        <v>572</v>
      </c>
      <c r="M13" s="7" t="s">
        <v>573</v>
      </c>
      <c r="N13" s="8" t="s">
        <v>574</v>
      </c>
      <c r="O13" s="8" t="s">
        <v>471</v>
      </c>
      <c r="P13" s="8" t="s">
        <v>575</v>
      </c>
      <c r="Q13" s="8" t="s">
        <v>576</v>
      </c>
      <c r="R13" s="8" t="s">
        <v>577</v>
      </c>
      <c r="S13" s="8" t="s">
        <v>578</v>
      </c>
      <c r="T13" s="30" t="s">
        <v>551</v>
      </c>
      <c r="U13" s="8" t="s">
        <v>579</v>
      </c>
    </row>
    <row r="14" customFormat="false" ht="96" hidden="false" customHeight="true" outlineLevel="0" collapsed="false">
      <c r="A14" s="4" t="s">
        <v>580</v>
      </c>
      <c r="B14" s="3" t="s">
        <v>38</v>
      </c>
      <c r="C14" s="6" t="s">
        <v>581</v>
      </c>
      <c r="D14" s="4" t="s">
        <v>582</v>
      </c>
      <c r="E14" s="6" t="s">
        <v>583</v>
      </c>
      <c r="F14" s="23" t="n">
        <v>1625</v>
      </c>
      <c r="G14" s="3" t="n">
        <v>30</v>
      </c>
      <c r="H14" s="24" t="n">
        <v>54.2</v>
      </c>
      <c r="I14" s="4" t="s">
        <v>584</v>
      </c>
      <c r="J14" s="4" t="s">
        <v>583</v>
      </c>
      <c r="K14" s="4" t="s">
        <v>585</v>
      </c>
      <c r="L14" s="4" t="s">
        <v>586</v>
      </c>
      <c r="M14" s="3" t="s">
        <v>587</v>
      </c>
      <c r="N14" s="4" t="s">
        <v>574</v>
      </c>
      <c r="O14" s="4" t="s">
        <v>471</v>
      </c>
      <c r="P14" s="4" t="s">
        <v>588</v>
      </c>
      <c r="Q14" s="4" t="s">
        <v>589</v>
      </c>
      <c r="R14" s="4" t="s">
        <v>590</v>
      </c>
      <c r="S14" s="4" t="s">
        <v>591</v>
      </c>
      <c r="T14" s="30" t="s">
        <v>244</v>
      </c>
      <c r="U14" s="4" t="s">
        <v>592</v>
      </c>
    </row>
    <row r="15" customFormat="false" ht="96" hidden="false" customHeight="true" outlineLevel="0" collapsed="false">
      <c r="A15" s="8" t="s">
        <v>593</v>
      </c>
      <c r="B15" s="7" t="s">
        <v>38</v>
      </c>
      <c r="C15" s="9" t="s">
        <v>594</v>
      </c>
      <c r="D15" s="8" t="s">
        <v>595</v>
      </c>
      <c r="E15" s="9" t="s">
        <v>596</v>
      </c>
      <c r="F15" s="26" t="n">
        <v>1800</v>
      </c>
      <c r="G15" s="7" t="n">
        <v>30</v>
      </c>
      <c r="H15" s="27" t="n">
        <v>60</v>
      </c>
      <c r="I15" s="8" t="s">
        <v>597</v>
      </c>
      <c r="J15" s="8" t="s">
        <v>598</v>
      </c>
      <c r="K15" s="8" t="s">
        <v>599</v>
      </c>
      <c r="L15" s="8" t="s">
        <v>600</v>
      </c>
      <c r="M15" s="7" t="s">
        <v>53</v>
      </c>
      <c r="N15" s="8" t="s">
        <v>601</v>
      </c>
      <c r="O15" s="8" t="s">
        <v>602</v>
      </c>
      <c r="P15" s="8" t="s">
        <v>603</v>
      </c>
      <c r="Q15" s="8" t="s">
        <v>604</v>
      </c>
      <c r="R15" s="8" t="s">
        <v>605</v>
      </c>
      <c r="S15" s="8" t="s">
        <v>606</v>
      </c>
      <c r="T15" s="30" t="s">
        <v>244</v>
      </c>
      <c r="U15" s="8" t="s">
        <v>607</v>
      </c>
    </row>
    <row r="16" customFormat="false" ht="96" hidden="false" customHeight="true" outlineLevel="0" collapsed="false">
      <c r="A16" s="4" t="s">
        <v>608</v>
      </c>
      <c r="B16" s="3" t="s">
        <v>38</v>
      </c>
      <c r="C16" s="6" t="s">
        <v>609</v>
      </c>
      <c r="D16" s="4" t="s">
        <v>610</v>
      </c>
      <c r="E16" s="6" t="s">
        <v>611</v>
      </c>
      <c r="F16" s="23" t="n">
        <v>1199</v>
      </c>
      <c r="G16" s="3"/>
      <c r="H16" s="24"/>
      <c r="I16" s="4" t="s">
        <v>612</v>
      </c>
      <c r="J16" s="4" t="s">
        <v>507</v>
      </c>
      <c r="K16" s="4" t="s">
        <v>613</v>
      </c>
      <c r="L16" s="4" t="s">
        <v>614</v>
      </c>
      <c r="M16" s="3" t="s">
        <v>53</v>
      </c>
      <c r="N16" s="4" t="s">
        <v>615</v>
      </c>
      <c r="O16" s="4" t="s">
        <v>471</v>
      </c>
      <c r="P16" s="4" t="s">
        <v>616</v>
      </c>
      <c r="Q16" s="4" t="s">
        <v>617</v>
      </c>
      <c r="R16" s="4" t="s">
        <v>618</v>
      </c>
      <c r="S16" s="4" t="s">
        <v>619</v>
      </c>
      <c r="T16" s="30" t="s">
        <v>244</v>
      </c>
      <c r="U16" s="4" t="s">
        <v>620</v>
      </c>
    </row>
    <row r="17" customFormat="false" ht="96" hidden="false" customHeight="true" outlineLevel="0" collapsed="false">
      <c r="A17" s="8" t="s">
        <v>621</v>
      </c>
      <c r="B17" s="7" t="s">
        <v>622</v>
      </c>
      <c r="C17" s="9" t="s">
        <v>623</v>
      </c>
      <c r="D17" s="8" t="s">
        <v>136</v>
      </c>
      <c r="E17" s="9" t="s">
        <v>450</v>
      </c>
      <c r="F17" s="26" t="n">
        <v>3150</v>
      </c>
      <c r="G17" s="7" t="n">
        <v>30</v>
      </c>
      <c r="H17" s="27" t="n">
        <v>105</v>
      </c>
      <c r="I17" s="8" t="s">
        <v>624</v>
      </c>
      <c r="J17" s="8" t="s">
        <v>625</v>
      </c>
      <c r="K17" s="8" t="s">
        <v>626</v>
      </c>
      <c r="L17" s="8" t="s">
        <v>627</v>
      </c>
      <c r="M17" s="7" t="s">
        <v>53</v>
      </c>
      <c r="N17" s="8" t="s">
        <v>628</v>
      </c>
      <c r="O17" s="8" t="s">
        <v>629</v>
      </c>
      <c r="P17" s="8" t="s">
        <v>630</v>
      </c>
      <c r="Q17" s="8" t="s">
        <v>631</v>
      </c>
      <c r="R17" s="8" t="s">
        <v>632</v>
      </c>
      <c r="S17" s="8" t="s">
        <v>633</v>
      </c>
      <c r="T17" s="29" t="s">
        <v>225</v>
      </c>
      <c r="U17" s="8" t="s">
        <v>634</v>
      </c>
    </row>
    <row r="18" customFormat="false" ht="96" hidden="false" customHeight="true" outlineLevel="0" collapsed="false">
      <c r="A18" s="4" t="s">
        <v>635</v>
      </c>
      <c r="B18" s="3" t="s">
        <v>636</v>
      </c>
      <c r="C18" s="6" t="s">
        <v>637</v>
      </c>
      <c r="D18" s="4" t="s">
        <v>638</v>
      </c>
      <c r="E18" s="6" t="s">
        <v>639</v>
      </c>
      <c r="F18" s="23" t="n">
        <v>3099</v>
      </c>
      <c r="G18" s="3"/>
      <c r="H18" s="24"/>
      <c r="I18" s="4" t="s">
        <v>640</v>
      </c>
      <c r="J18" s="4" t="s">
        <v>466</v>
      </c>
      <c r="K18" s="4" t="s">
        <v>641</v>
      </c>
      <c r="L18" s="4" t="s">
        <v>642</v>
      </c>
      <c r="M18" s="3" t="s">
        <v>53</v>
      </c>
      <c r="N18" s="4" t="s">
        <v>643</v>
      </c>
      <c r="O18" s="4" t="s">
        <v>644</v>
      </c>
      <c r="P18" s="4" t="s">
        <v>645</v>
      </c>
      <c r="Q18" s="4" t="s">
        <v>646</v>
      </c>
      <c r="R18" s="4" t="s">
        <v>647</v>
      </c>
      <c r="S18" s="4" t="s">
        <v>648</v>
      </c>
      <c r="T18" s="28" t="s">
        <v>257</v>
      </c>
      <c r="U18" s="4" t="s">
        <v>649</v>
      </c>
    </row>
    <row r="19" customFormat="false" ht="96" hidden="false" customHeight="true" outlineLevel="0" collapsed="false">
      <c r="A19" s="8" t="s">
        <v>650</v>
      </c>
      <c r="B19" s="7" t="s">
        <v>651</v>
      </c>
      <c r="C19" s="9" t="s">
        <v>652</v>
      </c>
      <c r="D19" s="8" t="s">
        <v>653</v>
      </c>
      <c r="E19" s="9" t="s">
        <v>492</v>
      </c>
      <c r="F19" s="26" t="n">
        <v>1995</v>
      </c>
      <c r="G19" s="7" t="n">
        <v>30</v>
      </c>
      <c r="H19" s="27" t="n">
        <v>66.5</v>
      </c>
      <c r="I19" s="8" t="s">
        <v>654</v>
      </c>
      <c r="J19" s="8" t="s">
        <v>492</v>
      </c>
      <c r="K19" s="8" t="s">
        <v>509</v>
      </c>
      <c r="L19" s="8" t="s">
        <v>655</v>
      </c>
      <c r="M19" s="7" t="s">
        <v>656</v>
      </c>
      <c r="N19" s="8" t="s">
        <v>657</v>
      </c>
      <c r="O19" s="8" t="s">
        <v>658</v>
      </c>
      <c r="P19" s="8" t="s">
        <v>659</v>
      </c>
      <c r="Q19" s="8" t="s">
        <v>660</v>
      </c>
      <c r="R19" s="8" t="s">
        <v>661</v>
      </c>
      <c r="S19" s="8" t="s">
        <v>662</v>
      </c>
      <c r="T19" s="28" t="s">
        <v>257</v>
      </c>
      <c r="U19" s="8" t="s">
        <v>663</v>
      </c>
    </row>
    <row r="20" customFormat="false" ht="96" hidden="false" customHeight="true" outlineLevel="0" collapsed="false">
      <c r="A20" s="4" t="s">
        <v>664</v>
      </c>
      <c r="B20" s="3" t="s">
        <v>665</v>
      </c>
      <c r="C20" s="6" t="s">
        <v>664</v>
      </c>
      <c r="D20" s="4" t="s">
        <v>666</v>
      </c>
      <c r="E20" s="6" t="s">
        <v>667</v>
      </c>
      <c r="F20" s="23"/>
      <c r="G20" s="3"/>
      <c r="H20" s="24"/>
      <c r="I20" s="4" t="s">
        <v>625</v>
      </c>
      <c r="J20" s="4" t="s">
        <v>625</v>
      </c>
      <c r="K20" s="4" t="s">
        <v>625</v>
      </c>
      <c r="L20" s="4" t="s">
        <v>53</v>
      </c>
      <c r="M20" s="3" t="s">
        <v>53</v>
      </c>
      <c r="N20" s="4" t="s">
        <v>668</v>
      </c>
      <c r="O20" s="4" t="s">
        <v>53</v>
      </c>
      <c r="P20" s="4" t="s">
        <v>669</v>
      </c>
      <c r="Q20" s="4" t="s">
        <v>670</v>
      </c>
      <c r="R20" s="4" t="s">
        <v>671</v>
      </c>
      <c r="S20" s="4" t="s">
        <v>672</v>
      </c>
      <c r="T20" s="29" t="s">
        <v>673</v>
      </c>
      <c r="U20" s="4" t="s">
        <v>674</v>
      </c>
    </row>
    <row r="21" customFormat="false" ht="96" hidden="false" customHeight="true" outlineLevel="0" collapsed="false">
      <c r="A21" s="8" t="s">
        <v>675</v>
      </c>
      <c r="B21" s="7" t="s">
        <v>38</v>
      </c>
      <c r="C21" s="9" t="s">
        <v>676</v>
      </c>
      <c r="D21" s="8" t="s">
        <v>677</v>
      </c>
      <c r="E21" s="9" t="s">
        <v>639</v>
      </c>
      <c r="F21" s="26" t="n">
        <v>2700</v>
      </c>
      <c r="G21" s="7" t="n">
        <v>50</v>
      </c>
      <c r="H21" s="27" t="n">
        <v>54</v>
      </c>
      <c r="I21" s="8" t="s">
        <v>678</v>
      </c>
      <c r="J21" s="8" t="s">
        <v>679</v>
      </c>
      <c r="K21" s="8" t="s">
        <v>680</v>
      </c>
      <c r="L21" s="8" t="s">
        <v>681</v>
      </c>
      <c r="M21" s="7" t="s">
        <v>573</v>
      </c>
      <c r="N21" s="8" t="s">
        <v>682</v>
      </c>
      <c r="O21" s="8" t="s">
        <v>683</v>
      </c>
      <c r="P21" s="8" t="s">
        <v>684</v>
      </c>
      <c r="Q21" s="8" t="s">
        <v>685</v>
      </c>
      <c r="R21" s="8" t="s">
        <v>686</v>
      </c>
      <c r="S21" s="8" t="s">
        <v>687</v>
      </c>
      <c r="T21" s="30" t="s">
        <v>244</v>
      </c>
      <c r="U21" s="8" t="s">
        <v>688</v>
      </c>
    </row>
    <row r="22" customFormat="false" ht="96" hidden="false" customHeight="true" outlineLevel="0" collapsed="false">
      <c r="A22" s="4" t="s">
        <v>689</v>
      </c>
      <c r="B22" s="3" t="s">
        <v>38</v>
      </c>
      <c r="C22" s="6" t="s">
        <v>676</v>
      </c>
      <c r="D22" s="4" t="s">
        <v>690</v>
      </c>
      <c r="E22" s="6" t="s">
        <v>180</v>
      </c>
      <c r="F22" s="23" t="n">
        <v>2895</v>
      </c>
      <c r="G22" s="3" t="n">
        <v>30</v>
      </c>
      <c r="H22" s="24" t="n">
        <v>96.5</v>
      </c>
      <c r="I22" s="4" t="s">
        <v>691</v>
      </c>
      <c r="J22" s="4" t="s">
        <v>692</v>
      </c>
      <c r="K22" s="4" t="s">
        <v>680</v>
      </c>
      <c r="L22" s="4" t="s">
        <v>693</v>
      </c>
      <c r="M22" s="3" t="s">
        <v>53</v>
      </c>
      <c r="N22" s="4" t="s">
        <v>682</v>
      </c>
      <c r="O22" s="4" t="s">
        <v>683</v>
      </c>
      <c r="P22" s="4" t="s">
        <v>694</v>
      </c>
      <c r="Q22" s="4" t="s">
        <v>695</v>
      </c>
      <c r="R22" s="4" t="s">
        <v>696</v>
      </c>
      <c r="S22" s="4" t="s">
        <v>697</v>
      </c>
      <c r="T22" s="30" t="s">
        <v>244</v>
      </c>
      <c r="U22" s="4" t="s">
        <v>664</v>
      </c>
    </row>
    <row r="23" customFormat="false" ht="96" hidden="false" customHeight="true" outlineLevel="0" collapsed="false">
      <c r="A23" s="8" t="s">
        <v>698</v>
      </c>
      <c r="B23" s="7" t="s">
        <v>38</v>
      </c>
      <c r="C23" s="9" t="s">
        <v>699</v>
      </c>
      <c r="D23" s="8" t="s">
        <v>700</v>
      </c>
      <c r="E23" s="9" t="s">
        <v>492</v>
      </c>
      <c r="F23" s="26" t="n">
        <v>699</v>
      </c>
      <c r="G23" s="7" t="n">
        <v>30</v>
      </c>
      <c r="H23" s="27" t="n">
        <v>23.3</v>
      </c>
      <c r="I23" s="8" t="s">
        <v>701</v>
      </c>
      <c r="J23" s="8" t="s">
        <v>492</v>
      </c>
      <c r="K23" s="8" t="s">
        <v>702</v>
      </c>
      <c r="L23" s="8" t="s">
        <v>471</v>
      </c>
      <c r="M23" s="7" t="s">
        <v>53</v>
      </c>
      <c r="N23" s="8" t="s">
        <v>703</v>
      </c>
      <c r="O23" s="8" t="s">
        <v>471</v>
      </c>
      <c r="P23" s="8" t="s">
        <v>704</v>
      </c>
      <c r="Q23" s="8" t="s">
        <v>705</v>
      </c>
      <c r="R23" s="8" t="s">
        <v>706</v>
      </c>
      <c r="S23" s="8" t="s">
        <v>707</v>
      </c>
      <c r="T23" s="28" t="s">
        <v>257</v>
      </c>
      <c r="U23" s="8" t="s">
        <v>708</v>
      </c>
    </row>
    <row r="25" customFormat="false" ht="15" hidden="false" customHeight="false" outlineLevel="0" collapsed="false">
      <c r="A25" s="19" t="s">
        <v>709</v>
      </c>
    </row>
    <row r="26" customFormat="false" ht="15" hidden="false" customHeight="false" outlineLevel="0" collapsed="false">
      <c r="A26" s="19" t="s">
        <v>710</v>
      </c>
    </row>
  </sheetData>
  <autoFilter ref="A3:U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24"/>
    <col collapsed="false" customWidth="true" hidden="false" outlineLevel="0" max="4" min="4" style="0" width="44"/>
    <col collapsed="false" customWidth="true" hidden="false" outlineLevel="0" max="5" min="5" style="0" width="11"/>
    <col collapsed="false" customWidth="true" hidden="false" outlineLevel="0" max="6" min="6" style="0" width="24"/>
    <col collapsed="false" customWidth="true" hidden="false" outlineLevel="0" max="7" min="7" style="0" width="9"/>
    <col collapsed="false" customWidth="true" hidden="false" outlineLevel="0" max="8" min="8" style="0" width="24"/>
    <col collapsed="false" customWidth="true" hidden="false" outlineLevel="0" max="9" min="9" style="0" width="8"/>
    <col collapsed="false" customWidth="true" hidden="false" outlineLevel="0" max="10" min="10" style="0" width="40"/>
    <col collapsed="false" customWidth="true" hidden="false" outlineLevel="0" max="11" min="11" style="0" width="22"/>
    <col collapsed="false" customWidth="true" hidden="false" outlineLevel="0" max="12" min="12" style="0" width="34"/>
    <col collapsed="false" customWidth="true" hidden="false" outlineLevel="0" max="13" min="13" style="0" width="54"/>
    <col collapsed="false" customWidth="true" hidden="false" outlineLevel="0" max="14" min="14" style="0" width="78"/>
  </cols>
  <sheetData>
    <row r="1" customFormat="false" ht="21.75" hidden="false" customHeight="true" outlineLevel="0" collapsed="false">
      <c r="A1" s="1" t="s">
        <v>711</v>
      </c>
    </row>
    <row r="2" customFormat="false" ht="6" hidden="false" customHeight="true" outlineLevel="0" collapsed="false"/>
    <row r="3" customFormat="false" ht="42" hidden="false" customHeight="true" outlineLevel="0" collapsed="false">
      <c r="A3" s="2" t="s">
        <v>712</v>
      </c>
      <c r="B3" s="2" t="s">
        <v>222</v>
      </c>
      <c r="C3" s="2" t="s">
        <v>713</v>
      </c>
      <c r="D3" s="2" t="s">
        <v>714</v>
      </c>
      <c r="E3" s="2" t="s">
        <v>433</v>
      </c>
      <c r="F3" s="2" t="s">
        <v>715</v>
      </c>
      <c r="G3" s="2" t="s">
        <v>435</v>
      </c>
      <c r="H3" s="2" t="s">
        <v>438</v>
      </c>
      <c r="I3" s="2" t="s">
        <v>439</v>
      </c>
      <c r="J3" s="2" t="s">
        <v>716</v>
      </c>
      <c r="K3" s="2" t="s">
        <v>717</v>
      </c>
      <c r="L3" s="2" t="s">
        <v>442</v>
      </c>
      <c r="M3" s="2" t="s">
        <v>718</v>
      </c>
      <c r="N3" s="2" t="s">
        <v>719</v>
      </c>
    </row>
    <row r="4" customFormat="false" ht="81.75" hidden="false" customHeight="true" outlineLevel="0" collapsed="false">
      <c r="A4" s="6" t="s">
        <v>720</v>
      </c>
      <c r="B4" s="4" t="s">
        <v>449</v>
      </c>
      <c r="C4" s="4" t="s">
        <v>721</v>
      </c>
      <c r="D4" s="4" t="s">
        <v>451</v>
      </c>
      <c r="E4" s="23" t="n">
        <v>1998</v>
      </c>
      <c r="F4" s="4" t="s">
        <v>722</v>
      </c>
      <c r="G4" s="24" t="n">
        <v>66.6</v>
      </c>
      <c r="H4" s="4" t="s">
        <v>723</v>
      </c>
      <c r="I4" s="3" t="n">
        <v>4.8</v>
      </c>
      <c r="J4" s="4" t="s">
        <v>724</v>
      </c>
      <c r="K4" s="4" t="s">
        <v>725</v>
      </c>
      <c r="L4" s="4" t="s">
        <v>726</v>
      </c>
      <c r="M4" s="4" t="s">
        <v>727</v>
      </c>
      <c r="N4" s="4" t="s">
        <v>728</v>
      </c>
    </row>
    <row r="5" customFormat="false" ht="81.75" hidden="false" customHeight="true" outlineLevel="0" collapsed="false">
      <c r="A5" s="9" t="s">
        <v>720</v>
      </c>
      <c r="B5" s="8" t="s">
        <v>729</v>
      </c>
      <c r="C5" s="8" t="s">
        <v>730</v>
      </c>
      <c r="D5" s="8" t="s">
        <v>731</v>
      </c>
      <c r="E5" s="26" t="n">
        <v>1598</v>
      </c>
      <c r="F5" s="8" t="s">
        <v>732</v>
      </c>
      <c r="G5" s="27" t="n">
        <v>53.3</v>
      </c>
      <c r="H5" s="8" t="s">
        <v>723</v>
      </c>
      <c r="I5" s="7" t="n">
        <v>4.8</v>
      </c>
      <c r="J5" s="8" t="s">
        <v>733</v>
      </c>
      <c r="K5" s="8" t="s">
        <v>725</v>
      </c>
      <c r="L5" s="8" t="s">
        <v>734</v>
      </c>
      <c r="M5" s="8" t="s">
        <v>735</v>
      </c>
      <c r="N5" s="8" t="s">
        <v>736</v>
      </c>
    </row>
    <row r="6" customFormat="false" ht="81.75" hidden="false" customHeight="true" outlineLevel="0" collapsed="false">
      <c r="A6" s="6" t="s">
        <v>720</v>
      </c>
      <c r="B6" s="4" t="s">
        <v>737</v>
      </c>
      <c r="C6" s="4" t="s">
        <v>738</v>
      </c>
      <c r="D6" s="4" t="s">
        <v>739</v>
      </c>
      <c r="E6" s="23" t="n">
        <v>1998</v>
      </c>
      <c r="F6" s="4" t="s">
        <v>740</v>
      </c>
      <c r="G6" s="24"/>
      <c r="H6" s="4" t="s">
        <v>723</v>
      </c>
      <c r="I6" s="3" t="n">
        <v>4.8</v>
      </c>
      <c r="J6" s="4" t="s">
        <v>741</v>
      </c>
      <c r="K6" s="4" t="s">
        <v>725</v>
      </c>
      <c r="L6" s="4" t="s">
        <v>742</v>
      </c>
      <c r="M6" s="4" t="s">
        <v>743</v>
      </c>
      <c r="N6" s="4" t="s">
        <v>744</v>
      </c>
    </row>
    <row r="7" customFormat="false" ht="81.75" hidden="false" customHeight="true" outlineLevel="0" collapsed="false">
      <c r="A7" s="9" t="s">
        <v>463</v>
      </c>
      <c r="B7" s="8" t="s">
        <v>136</v>
      </c>
      <c r="C7" s="8" t="s">
        <v>745</v>
      </c>
      <c r="D7" s="8" t="s">
        <v>746</v>
      </c>
      <c r="E7" s="26" t="n">
        <v>999</v>
      </c>
      <c r="F7" s="8" t="s">
        <v>732</v>
      </c>
      <c r="G7" s="27" t="n">
        <v>33.3</v>
      </c>
      <c r="H7" s="8" t="s">
        <v>747</v>
      </c>
      <c r="I7" s="7" t="s">
        <v>469</v>
      </c>
      <c r="J7" s="8" t="s">
        <v>748</v>
      </c>
      <c r="K7" s="8" t="s">
        <v>749</v>
      </c>
      <c r="L7" s="8" t="s">
        <v>750</v>
      </c>
      <c r="M7" s="8" t="s">
        <v>751</v>
      </c>
      <c r="N7" s="8" t="s">
        <v>752</v>
      </c>
    </row>
    <row r="8" customFormat="false" ht="81.75" hidden="false" customHeight="true" outlineLevel="0" collapsed="false">
      <c r="A8" s="6" t="s">
        <v>753</v>
      </c>
      <c r="B8" s="4" t="s">
        <v>136</v>
      </c>
      <c r="C8" s="4" t="s">
        <v>754</v>
      </c>
      <c r="D8" s="4" t="s">
        <v>531</v>
      </c>
      <c r="E8" s="23" t="n">
        <v>3150</v>
      </c>
      <c r="F8" s="4" t="s">
        <v>732</v>
      </c>
      <c r="G8" s="24" t="n">
        <v>105</v>
      </c>
      <c r="H8" s="4" t="s">
        <v>755</v>
      </c>
      <c r="I8" s="3" t="s">
        <v>53</v>
      </c>
      <c r="J8" s="4" t="s">
        <v>756</v>
      </c>
      <c r="K8" s="4" t="s">
        <v>757</v>
      </c>
      <c r="L8" s="4" t="s">
        <v>758</v>
      </c>
      <c r="M8" s="4" t="s">
        <v>759</v>
      </c>
      <c r="N8" s="4" t="s">
        <v>760</v>
      </c>
    </row>
    <row r="9" customFormat="false" ht="81.75" hidden="false" customHeight="true" outlineLevel="0" collapsed="false">
      <c r="A9" s="9" t="s">
        <v>753</v>
      </c>
      <c r="B9" s="8" t="s">
        <v>761</v>
      </c>
      <c r="C9" s="8" t="s">
        <v>762</v>
      </c>
      <c r="D9" s="8" t="s">
        <v>763</v>
      </c>
      <c r="E9" s="26" t="n">
        <v>5500</v>
      </c>
      <c r="F9" s="8" t="s">
        <v>732</v>
      </c>
      <c r="G9" s="27" t="n">
        <v>183.3</v>
      </c>
      <c r="H9" s="8" t="s">
        <v>53</v>
      </c>
      <c r="I9" s="7" t="s">
        <v>53</v>
      </c>
      <c r="J9" s="8" t="s">
        <v>764</v>
      </c>
      <c r="K9" s="8" t="s">
        <v>765</v>
      </c>
      <c r="L9" s="8" t="s">
        <v>766</v>
      </c>
      <c r="M9" s="8" t="s">
        <v>767</v>
      </c>
      <c r="N9" s="8" t="s">
        <v>768</v>
      </c>
    </row>
    <row r="10" customFormat="false" ht="81.75" hidden="false" customHeight="true" outlineLevel="0" collapsed="false">
      <c r="A10" s="6" t="s">
        <v>518</v>
      </c>
      <c r="B10" s="4" t="s">
        <v>519</v>
      </c>
      <c r="C10" s="4" t="s">
        <v>521</v>
      </c>
      <c r="D10" s="4" t="s">
        <v>769</v>
      </c>
      <c r="E10" s="23" t="n">
        <v>1099</v>
      </c>
      <c r="F10" s="4" t="s">
        <v>732</v>
      </c>
      <c r="G10" s="24" t="n">
        <v>36.6</v>
      </c>
      <c r="H10" s="4" t="s">
        <v>770</v>
      </c>
      <c r="I10" s="3" t="s">
        <v>53</v>
      </c>
      <c r="J10" s="4" t="s">
        <v>771</v>
      </c>
      <c r="K10" s="4" t="s">
        <v>772</v>
      </c>
      <c r="L10" s="4" t="s">
        <v>773</v>
      </c>
      <c r="M10" s="4" t="s">
        <v>774</v>
      </c>
      <c r="N10" s="4" t="s">
        <v>775</v>
      </c>
    </row>
    <row r="11" customFormat="false" ht="81.75" hidden="false" customHeight="true" outlineLevel="0" collapsed="false">
      <c r="A11" s="9" t="s">
        <v>490</v>
      </c>
      <c r="B11" s="8" t="s">
        <v>776</v>
      </c>
      <c r="C11" s="8" t="s">
        <v>180</v>
      </c>
      <c r="D11" s="8" t="s">
        <v>493</v>
      </c>
      <c r="E11" s="26" t="n">
        <v>1390</v>
      </c>
      <c r="F11" s="8" t="s">
        <v>732</v>
      </c>
      <c r="G11" s="27" t="n">
        <v>46.3</v>
      </c>
      <c r="H11" s="8" t="s">
        <v>777</v>
      </c>
      <c r="I11" s="7" t="s">
        <v>53</v>
      </c>
      <c r="J11" s="8" t="s">
        <v>778</v>
      </c>
      <c r="K11" s="8" t="s">
        <v>772</v>
      </c>
      <c r="L11" s="8" t="s">
        <v>779</v>
      </c>
      <c r="M11" s="8" t="s">
        <v>780</v>
      </c>
      <c r="N11" s="8" t="s">
        <v>781</v>
      </c>
    </row>
    <row r="12" customFormat="false" ht="81.75" hidden="false" customHeight="true" outlineLevel="0" collapsed="false">
      <c r="A12" s="6" t="s">
        <v>504</v>
      </c>
      <c r="B12" s="4" t="s">
        <v>506</v>
      </c>
      <c r="C12" s="4" t="s">
        <v>507</v>
      </c>
      <c r="D12" s="4" t="s">
        <v>508</v>
      </c>
      <c r="E12" s="23" t="s">
        <v>782</v>
      </c>
      <c r="F12" s="4" t="s">
        <v>782</v>
      </c>
      <c r="G12" s="24"/>
      <c r="H12" s="4" t="s">
        <v>783</v>
      </c>
      <c r="I12" s="3" t="s">
        <v>511</v>
      </c>
      <c r="J12" s="4" t="s">
        <v>784</v>
      </c>
      <c r="K12" s="4" t="s">
        <v>785</v>
      </c>
      <c r="L12" s="4" t="s">
        <v>786</v>
      </c>
      <c r="M12" s="4" t="s">
        <v>787</v>
      </c>
      <c r="N12" s="4" t="s">
        <v>788</v>
      </c>
    </row>
    <row r="13" customFormat="false" ht="81.75" hidden="false" customHeight="true" outlineLevel="0" collapsed="false">
      <c r="A13" s="9" t="s">
        <v>529</v>
      </c>
      <c r="B13" s="8" t="s">
        <v>136</v>
      </c>
      <c r="C13" s="8" t="s">
        <v>789</v>
      </c>
      <c r="D13" s="8" t="s">
        <v>531</v>
      </c>
      <c r="E13" s="26" t="n">
        <v>1483</v>
      </c>
      <c r="F13" s="8" t="s">
        <v>732</v>
      </c>
      <c r="G13" s="27" t="n">
        <v>49.4</v>
      </c>
      <c r="H13" s="8" t="s">
        <v>790</v>
      </c>
      <c r="I13" s="7" t="s">
        <v>53</v>
      </c>
      <c r="J13" s="8" t="s">
        <v>791</v>
      </c>
      <c r="K13" s="8" t="s">
        <v>792</v>
      </c>
      <c r="L13" s="8" t="s">
        <v>793</v>
      </c>
      <c r="M13" s="8" t="s">
        <v>794</v>
      </c>
      <c r="N13" s="8" t="s">
        <v>795</v>
      </c>
    </row>
    <row r="14" customFormat="false" ht="81.75" hidden="false" customHeight="true" outlineLevel="0" collapsed="false">
      <c r="A14" s="6" t="s">
        <v>567</v>
      </c>
      <c r="B14" s="4" t="s">
        <v>569</v>
      </c>
      <c r="C14" s="4" t="s">
        <v>154</v>
      </c>
      <c r="D14" s="4" t="s">
        <v>570</v>
      </c>
      <c r="E14" s="23" t="n">
        <v>1599</v>
      </c>
      <c r="F14" s="4" t="s">
        <v>732</v>
      </c>
      <c r="G14" s="24" t="n">
        <v>53.3</v>
      </c>
      <c r="H14" s="4" t="s">
        <v>796</v>
      </c>
      <c r="I14" s="3" t="s">
        <v>573</v>
      </c>
      <c r="J14" s="4" t="s">
        <v>797</v>
      </c>
      <c r="K14" s="4" t="s">
        <v>772</v>
      </c>
      <c r="L14" s="4" t="s">
        <v>798</v>
      </c>
      <c r="M14" s="4" t="s">
        <v>799</v>
      </c>
      <c r="N14" s="4" t="s">
        <v>800</v>
      </c>
    </row>
    <row r="15" customFormat="false" ht="81.75" hidden="false" customHeight="true" outlineLevel="0" collapsed="false">
      <c r="A15" s="9" t="s">
        <v>580</v>
      </c>
      <c r="B15" s="8" t="s">
        <v>582</v>
      </c>
      <c r="C15" s="8" t="s">
        <v>583</v>
      </c>
      <c r="D15" s="8" t="s">
        <v>584</v>
      </c>
      <c r="E15" s="26" t="n">
        <v>1625</v>
      </c>
      <c r="F15" s="8" t="s">
        <v>732</v>
      </c>
      <c r="G15" s="27" t="n">
        <v>54.2</v>
      </c>
      <c r="H15" s="8" t="s">
        <v>801</v>
      </c>
      <c r="I15" s="7" t="s">
        <v>587</v>
      </c>
      <c r="J15" s="8" t="s">
        <v>802</v>
      </c>
      <c r="K15" s="8" t="s">
        <v>772</v>
      </c>
      <c r="L15" s="8" t="s">
        <v>803</v>
      </c>
      <c r="M15" s="8" t="s">
        <v>804</v>
      </c>
      <c r="N15" s="8" t="s">
        <v>805</v>
      </c>
    </row>
    <row r="16" customFormat="false" ht="81.75" hidden="false" customHeight="true" outlineLevel="0" collapsed="false">
      <c r="A16" s="6" t="s">
        <v>806</v>
      </c>
      <c r="B16" s="4" t="s">
        <v>595</v>
      </c>
      <c r="C16" s="4" t="s">
        <v>583</v>
      </c>
      <c r="D16" s="4" t="s">
        <v>597</v>
      </c>
      <c r="E16" s="23" t="n">
        <v>1800</v>
      </c>
      <c r="F16" s="4" t="s">
        <v>732</v>
      </c>
      <c r="G16" s="24" t="n">
        <v>60</v>
      </c>
      <c r="H16" s="4" t="s">
        <v>807</v>
      </c>
      <c r="I16" s="3" t="s">
        <v>53</v>
      </c>
      <c r="J16" s="4" t="s">
        <v>808</v>
      </c>
      <c r="K16" s="4" t="s">
        <v>772</v>
      </c>
      <c r="L16" s="4" t="s">
        <v>809</v>
      </c>
      <c r="M16" s="4" t="s">
        <v>810</v>
      </c>
      <c r="N16" s="4" t="s">
        <v>811</v>
      </c>
    </row>
    <row r="17" customFormat="false" ht="81.75" hidden="false" customHeight="true" outlineLevel="0" collapsed="false">
      <c r="A17" s="9" t="s">
        <v>675</v>
      </c>
      <c r="B17" s="8" t="s">
        <v>812</v>
      </c>
      <c r="C17" s="8" t="s">
        <v>813</v>
      </c>
      <c r="D17" s="8" t="s">
        <v>678</v>
      </c>
      <c r="E17" s="26" t="n">
        <v>2700</v>
      </c>
      <c r="F17" s="8" t="s">
        <v>814</v>
      </c>
      <c r="G17" s="27" t="n">
        <v>54</v>
      </c>
      <c r="H17" s="8" t="s">
        <v>815</v>
      </c>
      <c r="I17" s="7" t="s">
        <v>573</v>
      </c>
      <c r="J17" s="8" t="s">
        <v>816</v>
      </c>
      <c r="K17" s="8" t="s">
        <v>817</v>
      </c>
      <c r="L17" s="8" t="s">
        <v>818</v>
      </c>
      <c r="M17" s="8" t="s">
        <v>819</v>
      </c>
      <c r="N17" s="8" t="s">
        <v>820</v>
      </c>
    </row>
    <row r="18" customFormat="false" ht="81.75" hidden="false" customHeight="true" outlineLevel="0" collapsed="false">
      <c r="A18" s="6" t="s">
        <v>689</v>
      </c>
      <c r="B18" s="4" t="s">
        <v>821</v>
      </c>
      <c r="C18" s="4" t="s">
        <v>163</v>
      </c>
      <c r="D18" s="4" t="s">
        <v>822</v>
      </c>
      <c r="E18" s="23" t="n">
        <v>2895</v>
      </c>
      <c r="F18" s="4" t="s">
        <v>732</v>
      </c>
      <c r="G18" s="24" t="n">
        <v>96.5</v>
      </c>
      <c r="H18" s="4" t="s">
        <v>782</v>
      </c>
      <c r="I18" s="3" t="s">
        <v>53</v>
      </c>
      <c r="J18" s="4" t="s">
        <v>823</v>
      </c>
      <c r="K18" s="4" t="s">
        <v>817</v>
      </c>
      <c r="L18" s="4" t="s">
        <v>824</v>
      </c>
      <c r="M18" s="4" t="s">
        <v>825</v>
      </c>
      <c r="N18" s="4" t="s">
        <v>826</v>
      </c>
    </row>
    <row r="19" customFormat="false" ht="81.75" hidden="false" customHeight="true" outlineLevel="0" collapsed="false">
      <c r="A19" s="9" t="s">
        <v>553</v>
      </c>
      <c r="B19" s="8" t="s">
        <v>554</v>
      </c>
      <c r="C19" s="8" t="s">
        <v>557</v>
      </c>
      <c r="D19" s="8" t="s">
        <v>556</v>
      </c>
      <c r="E19" s="26" t="n">
        <v>1450</v>
      </c>
      <c r="F19" s="8" t="s">
        <v>740</v>
      </c>
      <c r="G19" s="27"/>
      <c r="H19" s="8" t="s">
        <v>827</v>
      </c>
      <c r="I19" s="7" t="s">
        <v>53</v>
      </c>
      <c r="J19" s="8" t="s">
        <v>828</v>
      </c>
      <c r="K19" s="8" t="s">
        <v>772</v>
      </c>
      <c r="L19" s="8" t="s">
        <v>829</v>
      </c>
      <c r="M19" s="8" t="s">
        <v>830</v>
      </c>
      <c r="N19" s="8" t="s">
        <v>831</v>
      </c>
    </row>
    <row r="20" customFormat="false" ht="81.75" hidden="false" customHeight="true" outlineLevel="0" collapsed="false">
      <c r="A20" s="6" t="s">
        <v>540</v>
      </c>
      <c r="B20" s="4" t="s">
        <v>542</v>
      </c>
      <c r="C20" s="4" t="s">
        <v>492</v>
      </c>
      <c r="D20" s="4" t="s">
        <v>832</v>
      </c>
      <c r="E20" s="23" t="n">
        <v>945</v>
      </c>
      <c r="F20" s="4" t="s">
        <v>732</v>
      </c>
      <c r="G20" s="24" t="n">
        <v>31.5</v>
      </c>
      <c r="H20" s="4" t="s">
        <v>833</v>
      </c>
      <c r="I20" s="3" t="s">
        <v>546</v>
      </c>
      <c r="J20" s="4" t="s">
        <v>834</v>
      </c>
      <c r="K20" s="4" t="s">
        <v>835</v>
      </c>
      <c r="L20" s="4" t="s">
        <v>836</v>
      </c>
      <c r="M20" s="4" t="s">
        <v>837</v>
      </c>
      <c r="N20" s="4" t="s">
        <v>838</v>
      </c>
    </row>
    <row r="21" customFormat="false" ht="81.75" hidden="false" customHeight="true" outlineLevel="0" collapsed="false">
      <c r="A21" s="9" t="s">
        <v>650</v>
      </c>
      <c r="B21" s="8" t="s">
        <v>653</v>
      </c>
      <c r="C21" s="8" t="s">
        <v>492</v>
      </c>
      <c r="D21" s="8" t="s">
        <v>654</v>
      </c>
      <c r="E21" s="26" t="n">
        <v>1995</v>
      </c>
      <c r="F21" s="8" t="s">
        <v>732</v>
      </c>
      <c r="G21" s="27" t="n">
        <v>66.5</v>
      </c>
      <c r="H21" s="8" t="s">
        <v>839</v>
      </c>
      <c r="I21" s="7" t="s">
        <v>656</v>
      </c>
      <c r="J21" s="8" t="s">
        <v>840</v>
      </c>
      <c r="K21" s="8" t="s">
        <v>841</v>
      </c>
      <c r="L21" s="8" t="s">
        <v>842</v>
      </c>
      <c r="M21" s="8" t="s">
        <v>843</v>
      </c>
      <c r="N21" s="8" t="s">
        <v>844</v>
      </c>
    </row>
    <row r="22" customFormat="false" ht="81.75" hidden="false" customHeight="true" outlineLevel="0" collapsed="false">
      <c r="A22" s="6" t="s">
        <v>845</v>
      </c>
      <c r="B22" s="4" t="s">
        <v>638</v>
      </c>
      <c r="C22" s="4" t="s">
        <v>846</v>
      </c>
      <c r="D22" s="4" t="s">
        <v>847</v>
      </c>
      <c r="E22" s="23" t="n">
        <v>3099</v>
      </c>
      <c r="F22" s="4" t="s">
        <v>740</v>
      </c>
      <c r="G22" s="24"/>
      <c r="H22" s="4" t="s">
        <v>848</v>
      </c>
      <c r="I22" s="3" t="s">
        <v>53</v>
      </c>
      <c r="J22" s="4" t="s">
        <v>849</v>
      </c>
      <c r="K22" s="4" t="s">
        <v>850</v>
      </c>
      <c r="L22" s="4" t="s">
        <v>851</v>
      </c>
      <c r="M22" s="4" t="s">
        <v>852</v>
      </c>
      <c r="N22" s="4" t="s">
        <v>853</v>
      </c>
    </row>
    <row r="24" customFormat="false" ht="15" hidden="false" customHeight="false" outlineLevel="0" collapsed="false">
      <c r="A24" s="19" t="s">
        <v>854</v>
      </c>
    </row>
  </sheetData>
  <autoFilter ref="A3:N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66"/>
    <col collapsed="false" customWidth="true" hidden="false" outlineLevel="0" max="4" min="4" style="0" width="14"/>
    <col collapsed="false" customWidth="true" hidden="false" outlineLevel="0" max="5" min="5" style="0" width="38"/>
    <col collapsed="false" customWidth="true" hidden="false" outlineLevel="0" max="6" min="6" style="0" width="54"/>
    <col collapsed="false" customWidth="true" hidden="false" outlineLevel="0" max="7" min="7" style="0" width="36"/>
    <col collapsed="false" customWidth="true" hidden="false" outlineLevel="0" max="8" min="8" style="0" width="74"/>
    <col collapsed="false" customWidth="true" hidden="false" outlineLevel="0" max="9" min="9" style="0" width="40"/>
  </cols>
  <sheetData>
    <row r="1" customFormat="false" ht="21.75" hidden="false" customHeight="true" outlineLevel="0" collapsed="false">
      <c r="A1" s="1" t="s">
        <v>855</v>
      </c>
    </row>
    <row r="2" customFormat="false" ht="6" hidden="false" customHeight="true" outlineLevel="0" collapsed="false"/>
    <row r="3" customFormat="false" ht="42" hidden="false" customHeight="true" outlineLevel="0" collapsed="false">
      <c r="A3" s="2" t="s">
        <v>856</v>
      </c>
      <c r="B3" s="2" t="s">
        <v>447</v>
      </c>
      <c r="C3" s="2" t="s">
        <v>857</v>
      </c>
      <c r="D3" s="2" t="s">
        <v>858</v>
      </c>
      <c r="E3" s="2" t="s">
        <v>859</v>
      </c>
      <c r="F3" s="2" t="s">
        <v>860</v>
      </c>
      <c r="G3" s="2" t="s">
        <v>861</v>
      </c>
      <c r="H3" s="2" t="s">
        <v>862</v>
      </c>
      <c r="I3" s="2" t="s">
        <v>2</v>
      </c>
    </row>
    <row r="4" customFormat="false" ht="87.75" hidden="false" customHeight="true" outlineLevel="0" collapsed="false">
      <c r="A4" s="4" t="s">
        <v>863</v>
      </c>
      <c r="B4" s="4" t="s">
        <v>864</v>
      </c>
      <c r="C4" s="4" t="s">
        <v>865</v>
      </c>
      <c r="D4" s="25" t="s">
        <v>866</v>
      </c>
      <c r="E4" s="4" t="s">
        <v>867</v>
      </c>
      <c r="F4" s="4" t="s">
        <v>868</v>
      </c>
      <c r="G4" s="4" t="s">
        <v>869</v>
      </c>
      <c r="H4" s="4" t="s">
        <v>870</v>
      </c>
      <c r="I4" s="4" t="s">
        <v>871</v>
      </c>
    </row>
    <row r="5" customFormat="false" ht="87.75" hidden="false" customHeight="true" outlineLevel="0" collapsed="false">
      <c r="A5" s="8" t="s">
        <v>872</v>
      </c>
      <c r="B5" s="8" t="s">
        <v>873</v>
      </c>
      <c r="C5" s="8" t="s">
        <v>874</v>
      </c>
      <c r="D5" s="25" t="s">
        <v>363</v>
      </c>
      <c r="E5" s="8" t="s">
        <v>875</v>
      </c>
      <c r="F5" s="8" t="s">
        <v>876</v>
      </c>
      <c r="G5" s="8" t="s">
        <v>877</v>
      </c>
      <c r="H5" s="8" t="s">
        <v>878</v>
      </c>
      <c r="I5" s="8" t="s">
        <v>879</v>
      </c>
    </row>
    <row r="6" customFormat="false" ht="87.75" hidden="false" customHeight="true" outlineLevel="0" collapsed="false">
      <c r="A6" s="4" t="s">
        <v>880</v>
      </c>
      <c r="B6" s="4" t="s">
        <v>881</v>
      </c>
      <c r="C6" s="4" t="s">
        <v>882</v>
      </c>
      <c r="D6" s="29" t="s">
        <v>225</v>
      </c>
      <c r="E6" s="4" t="s">
        <v>883</v>
      </c>
      <c r="F6" s="4" t="s">
        <v>884</v>
      </c>
      <c r="G6" s="4" t="s">
        <v>885</v>
      </c>
      <c r="H6" s="4" t="s">
        <v>886</v>
      </c>
      <c r="I6" s="4" t="s">
        <v>887</v>
      </c>
    </row>
    <row r="7" customFormat="false" ht="87.75" hidden="false" customHeight="true" outlineLevel="0" collapsed="false">
      <c r="A7" s="8" t="s">
        <v>888</v>
      </c>
      <c r="B7" s="8" t="s">
        <v>889</v>
      </c>
      <c r="C7" s="8" t="s">
        <v>890</v>
      </c>
      <c r="D7" s="25" t="s">
        <v>363</v>
      </c>
      <c r="E7" s="8" t="s">
        <v>891</v>
      </c>
      <c r="F7" s="8" t="s">
        <v>892</v>
      </c>
      <c r="G7" s="8" t="s">
        <v>893</v>
      </c>
      <c r="H7" s="8" t="s">
        <v>894</v>
      </c>
      <c r="I7" s="8" t="s">
        <v>895</v>
      </c>
    </row>
    <row r="8" customFormat="false" ht="87.75" hidden="false" customHeight="true" outlineLevel="0" collapsed="false">
      <c r="A8" s="4" t="s">
        <v>896</v>
      </c>
      <c r="B8" s="4" t="s">
        <v>897</v>
      </c>
      <c r="C8" s="4" t="s">
        <v>898</v>
      </c>
      <c r="D8" s="29" t="s">
        <v>899</v>
      </c>
      <c r="E8" s="4" t="s">
        <v>900</v>
      </c>
      <c r="F8" s="4" t="s">
        <v>901</v>
      </c>
      <c r="G8" s="4" t="s">
        <v>902</v>
      </c>
      <c r="H8" s="4" t="s">
        <v>903</v>
      </c>
      <c r="I8" s="4" t="s">
        <v>904</v>
      </c>
    </row>
    <row r="9" customFormat="false" ht="87.75" hidden="false" customHeight="true" outlineLevel="0" collapsed="false">
      <c r="A9" s="8" t="s">
        <v>905</v>
      </c>
      <c r="B9" s="8" t="s">
        <v>906</v>
      </c>
      <c r="C9" s="8" t="s">
        <v>907</v>
      </c>
      <c r="D9" s="29" t="s">
        <v>225</v>
      </c>
      <c r="E9" s="8" t="s">
        <v>908</v>
      </c>
      <c r="F9" s="8" t="s">
        <v>909</v>
      </c>
      <c r="G9" s="8" t="s">
        <v>910</v>
      </c>
      <c r="H9" s="8" t="s">
        <v>911</v>
      </c>
      <c r="I9" s="8" t="s">
        <v>912</v>
      </c>
    </row>
    <row r="10" customFormat="false" ht="87.75" hidden="false" customHeight="true" outlineLevel="0" collapsed="false">
      <c r="A10" s="4" t="s">
        <v>913</v>
      </c>
      <c r="B10" s="4" t="s">
        <v>914</v>
      </c>
      <c r="C10" s="4" t="s">
        <v>915</v>
      </c>
      <c r="D10" s="29" t="s">
        <v>225</v>
      </c>
      <c r="E10" s="4" t="s">
        <v>916</v>
      </c>
      <c r="F10" s="4" t="s">
        <v>917</v>
      </c>
      <c r="G10" s="4" t="s">
        <v>918</v>
      </c>
      <c r="H10" s="4" t="s">
        <v>919</v>
      </c>
      <c r="I10" s="4" t="s">
        <v>920</v>
      </c>
    </row>
    <row r="11" customFormat="false" ht="87.75" hidden="false" customHeight="true" outlineLevel="0" collapsed="false">
      <c r="A11" s="8" t="s">
        <v>921</v>
      </c>
      <c r="B11" s="8" t="s">
        <v>922</v>
      </c>
      <c r="C11" s="8" t="s">
        <v>923</v>
      </c>
      <c r="D11" s="28" t="s">
        <v>924</v>
      </c>
      <c r="E11" s="8" t="s">
        <v>925</v>
      </c>
      <c r="F11" s="8" t="s">
        <v>926</v>
      </c>
      <c r="G11" s="8" t="s">
        <v>927</v>
      </c>
      <c r="H11" s="8" t="s">
        <v>928</v>
      </c>
      <c r="I11" s="8" t="s">
        <v>929</v>
      </c>
    </row>
    <row r="12" customFormat="false" ht="87.75" hidden="false" customHeight="true" outlineLevel="0" collapsed="false">
      <c r="A12" s="4" t="s">
        <v>930</v>
      </c>
      <c r="B12" s="4" t="s">
        <v>931</v>
      </c>
      <c r="C12" s="4" t="s">
        <v>932</v>
      </c>
      <c r="D12" s="28" t="s">
        <v>933</v>
      </c>
      <c r="E12" s="4" t="s">
        <v>934</v>
      </c>
      <c r="F12" s="4" t="s">
        <v>935</v>
      </c>
      <c r="G12" s="4" t="s">
        <v>936</v>
      </c>
      <c r="H12" s="4" t="s">
        <v>937</v>
      </c>
      <c r="I12" s="4" t="s">
        <v>938</v>
      </c>
    </row>
    <row r="13" customFormat="false" ht="87.75" hidden="false" customHeight="true" outlineLevel="0" collapsed="false">
      <c r="A13" s="8" t="s">
        <v>939</v>
      </c>
      <c r="B13" s="8" t="s">
        <v>940</v>
      </c>
      <c r="C13" s="8" t="s">
        <v>941</v>
      </c>
      <c r="D13" s="29" t="s">
        <v>942</v>
      </c>
      <c r="E13" s="8" t="s">
        <v>943</v>
      </c>
      <c r="F13" s="8" t="s">
        <v>944</v>
      </c>
      <c r="G13" s="8" t="s">
        <v>945</v>
      </c>
      <c r="H13" s="8" t="s">
        <v>946</v>
      </c>
      <c r="I13" s="8" t="s">
        <v>947</v>
      </c>
    </row>
    <row r="14" customFormat="false" ht="87.75" hidden="false" customHeight="true" outlineLevel="0" collapsed="false">
      <c r="A14" s="4" t="s">
        <v>948</v>
      </c>
      <c r="B14" s="4" t="s">
        <v>949</v>
      </c>
      <c r="C14" s="4" t="s">
        <v>950</v>
      </c>
      <c r="D14" s="29" t="s">
        <v>225</v>
      </c>
      <c r="E14" s="4" t="s">
        <v>951</v>
      </c>
      <c r="F14" s="4" t="s">
        <v>952</v>
      </c>
      <c r="G14" s="4" t="s">
        <v>953</v>
      </c>
      <c r="H14" s="4" t="s">
        <v>954</v>
      </c>
      <c r="I14" s="4" t="s">
        <v>955</v>
      </c>
    </row>
    <row r="15" customFormat="false" ht="87.75" hidden="false" customHeight="true" outlineLevel="0" collapsed="false">
      <c r="A15" s="8" t="s">
        <v>956</v>
      </c>
      <c r="B15" s="8" t="s">
        <v>957</v>
      </c>
      <c r="C15" s="8" t="s">
        <v>958</v>
      </c>
      <c r="D15" s="28" t="s">
        <v>257</v>
      </c>
      <c r="E15" s="8" t="s">
        <v>959</v>
      </c>
      <c r="F15" s="8" t="s">
        <v>960</v>
      </c>
      <c r="G15" s="8" t="s">
        <v>961</v>
      </c>
      <c r="H15" s="8" t="s">
        <v>962</v>
      </c>
      <c r="I15" s="8" t="s">
        <v>963</v>
      </c>
    </row>
    <row r="16" customFormat="false" ht="87.75" hidden="false" customHeight="true" outlineLevel="0" collapsed="false">
      <c r="A16" s="4" t="s">
        <v>964</v>
      </c>
      <c r="B16" s="4" t="s">
        <v>965</v>
      </c>
      <c r="C16" s="4" t="s">
        <v>966</v>
      </c>
      <c r="D16" s="29" t="s">
        <v>225</v>
      </c>
      <c r="E16" s="4" t="s">
        <v>967</v>
      </c>
      <c r="F16" s="4" t="s">
        <v>968</v>
      </c>
      <c r="G16" s="4" t="s">
        <v>969</v>
      </c>
      <c r="H16" s="4" t="s">
        <v>970</v>
      </c>
      <c r="I16" s="4" t="s">
        <v>971</v>
      </c>
    </row>
    <row r="17" customFormat="false" ht="87.75" hidden="false" customHeight="true" outlineLevel="0" collapsed="false">
      <c r="A17" s="8" t="s">
        <v>972</v>
      </c>
      <c r="B17" s="8" t="s">
        <v>973</v>
      </c>
      <c r="C17" s="8" t="s">
        <v>974</v>
      </c>
      <c r="D17" s="29" t="s">
        <v>225</v>
      </c>
      <c r="E17" s="8" t="s">
        <v>975</v>
      </c>
      <c r="F17" s="8" t="s">
        <v>976</v>
      </c>
      <c r="G17" s="8" t="s">
        <v>977</v>
      </c>
      <c r="H17" s="8" t="s">
        <v>978</v>
      </c>
      <c r="I17" s="8" t="s">
        <v>979</v>
      </c>
    </row>
    <row r="18" customFormat="false" ht="87.75" hidden="false" customHeight="true" outlineLevel="0" collapsed="false">
      <c r="A18" s="4" t="s">
        <v>980</v>
      </c>
      <c r="B18" s="4" t="s">
        <v>981</v>
      </c>
      <c r="C18" s="4" t="s">
        <v>982</v>
      </c>
      <c r="D18" s="28" t="s">
        <v>924</v>
      </c>
      <c r="E18" s="4" t="s">
        <v>983</v>
      </c>
      <c r="F18" s="4" t="s">
        <v>984</v>
      </c>
      <c r="G18" s="4" t="s">
        <v>985</v>
      </c>
      <c r="H18" s="4" t="s">
        <v>986</v>
      </c>
      <c r="I18" s="4" t="s">
        <v>987</v>
      </c>
    </row>
    <row r="20" customFormat="false" ht="15" hidden="false" customHeight="false" outlineLevel="0" collapsed="false">
      <c r="A20" s="19" t="s">
        <v>988</v>
      </c>
    </row>
    <row r="21" customFormat="false" ht="15" hidden="false" customHeight="false" outlineLevel="0" collapsed="false">
      <c r="A21" s="19" t="s">
        <v>989</v>
      </c>
    </row>
  </sheetData>
  <autoFilter ref="A3:I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2"/>
    <col collapsed="false" customWidth="true" hidden="false" outlineLevel="0" max="4" min="4" style="0" width="24"/>
    <col collapsed="false" customWidth="true" hidden="false" outlineLevel="0" max="5" min="5" style="0" width="34"/>
    <col collapsed="false" customWidth="true" hidden="false" outlineLevel="0" max="6" min="6" style="0" width="16"/>
    <col collapsed="false" customWidth="true" hidden="false" outlineLevel="0" max="7" min="7" style="0" width="42"/>
    <col collapsed="false" customWidth="true" hidden="false" outlineLevel="0" max="8" min="8" style="0" width="60"/>
    <col collapsed="false" customWidth="true" hidden="false" outlineLevel="0" max="9" min="9" style="0" width="22"/>
    <col collapsed="false" customWidth="true" hidden="false" outlineLevel="0" max="11" min="10" style="0" width="30"/>
    <col collapsed="false" customWidth="true" hidden="false" outlineLevel="0" max="12" min="12" style="0" width="11"/>
    <col collapsed="false" customWidth="true" hidden="false" outlineLevel="0" max="13" min="13" style="0" width="84"/>
  </cols>
  <sheetData>
    <row r="1" customFormat="false" ht="21.75" hidden="false" customHeight="true" outlineLevel="0" collapsed="false">
      <c r="A1" s="1" t="s">
        <v>990</v>
      </c>
    </row>
    <row r="2" customFormat="false" ht="6" hidden="false" customHeight="true" outlineLevel="0" collapsed="false"/>
    <row r="3" customFormat="false" ht="42" hidden="false" customHeight="true" outlineLevel="0" collapsed="false">
      <c r="A3" s="2" t="s">
        <v>991</v>
      </c>
      <c r="B3" s="2" t="s">
        <v>992</v>
      </c>
      <c r="C3" s="2" t="s">
        <v>993</v>
      </c>
      <c r="D3" s="2" t="s">
        <v>994</v>
      </c>
      <c r="E3" s="2" t="s">
        <v>89</v>
      </c>
      <c r="F3" s="2" t="s">
        <v>995</v>
      </c>
      <c r="G3" s="2" t="s">
        <v>996</v>
      </c>
      <c r="H3" s="2" t="s">
        <v>98</v>
      </c>
      <c r="I3" s="2" t="s">
        <v>997</v>
      </c>
      <c r="J3" s="2" t="s">
        <v>998</v>
      </c>
      <c r="K3" s="2" t="s">
        <v>999</v>
      </c>
      <c r="L3" s="2" t="s">
        <v>1000</v>
      </c>
      <c r="M3" s="2" t="s">
        <v>1001</v>
      </c>
    </row>
    <row r="4" customFormat="false" ht="75.75" hidden="false" customHeight="true" outlineLevel="0" collapsed="false">
      <c r="A4" s="4" t="s">
        <v>1002</v>
      </c>
      <c r="B4" s="4" t="s">
        <v>1003</v>
      </c>
      <c r="C4" s="6" t="s">
        <v>1004</v>
      </c>
      <c r="D4" s="3" t="s">
        <v>1005</v>
      </c>
      <c r="E4" s="4" t="s">
        <v>1006</v>
      </c>
      <c r="F4" s="3" t="s">
        <v>43</v>
      </c>
      <c r="G4" s="4" t="s">
        <v>58</v>
      </c>
      <c r="H4" s="4" t="s">
        <v>1007</v>
      </c>
      <c r="I4" s="3" t="s">
        <v>1008</v>
      </c>
      <c r="J4" s="4" t="s">
        <v>1009</v>
      </c>
      <c r="K4" s="4" t="s">
        <v>1010</v>
      </c>
      <c r="L4" s="5" t="n">
        <v>7</v>
      </c>
      <c r="M4" s="4" t="s">
        <v>1011</v>
      </c>
    </row>
    <row r="5" customFormat="false" ht="75.75" hidden="false" customHeight="true" outlineLevel="0" collapsed="false">
      <c r="A5" s="8" t="s">
        <v>1012</v>
      </c>
      <c r="B5" s="8" t="s">
        <v>1013</v>
      </c>
      <c r="C5" s="9" t="s">
        <v>1014</v>
      </c>
      <c r="D5" s="7" t="s">
        <v>1015</v>
      </c>
      <c r="E5" s="8" t="s">
        <v>29</v>
      </c>
      <c r="F5" s="7" t="s">
        <v>14</v>
      </c>
      <c r="G5" s="8" t="s">
        <v>1016</v>
      </c>
      <c r="H5" s="8" t="s">
        <v>1017</v>
      </c>
      <c r="I5" s="7" t="s">
        <v>1018</v>
      </c>
      <c r="J5" s="8" t="s">
        <v>1019</v>
      </c>
      <c r="K5" s="8" t="s">
        <v>1020</v>
      </c>
      <c r="L5" s="5" t="n">
        <v>7</v>
      </c>
      <c r="M5" s="8" t="s">
        <v>1021</v>
      </c>
    </row>
    <row r="6" customFormat="false" ht="75.75" hidden="false" customHeight="true" outlineLevel="0" collapsed="false">
      <c r="A6" s="4" t="s">
        <v>1022</v>
      </c>
      <c r="B6" s="4" t="s">
        <v>1023</v>
      </c>
      <c r="C6" s="6" t="s">
        <v>1024</v>
      </c>
      <c r="D6" s="3" t="s">
        <v>1025</v>
      </c>
      <c r="E6" s="4" t="s">
        <v>1026</v>
      </c>
      <c r="F6" s="3" t="s">
        <v>118</v>
      </c>
      <c r="G6" s="4" t="s">
        <v>1027</v>
      </c>
      <c r="H6" s="4" t="s">
        <v>1028</v>
      </c>
      <c r="I6" s="3" t="s">
        <v>1029</v>
      </c>
      <c r="J6" s="4" t="s">
        <v>1030</v>
      </c>
      <c r="K6" s="4" t="s">
        <v>1031</v>
      </c>
      <c r="L6" s="10" t="n">
        <v>6</v>
      </c>
      <c r="M6" s="4" t="s">
        <v>1032</v>
      </c>
    </row>
    <row r="7" customFormat="false" ht="75.75" hidden="false" customHeight="true" outlineLevel="0" collapsed="false">
      <c r="A7" s="8" t="s">
        <v>1033</v>
      </c>
      <c r="B7" s="8" t="s">
        <v>1034</v>
      </c>
      <c r="C7" s="9" t="s">
        <v>1035</v>
      </c>
      <c r="D7" s="7" t="s">
        <v>314</v>
      </c>
      <c r="E7" s="8" t="s">
        <v>1036</v>
      </c>
      <c r="F7" s="7" t="s">
        <v>58</v>
      </c>
      <c r="G7" s="8" t="s">
        <v>1037</v>
      </c>
      <c r="H7" s="8" t="s">
        <v>1038</v>
      </c>
      <c r="I7" s="7" t="s">
        <v>1039</v>
      </c>
      <c r="J7" s="8" t="s">
        <v>1040</v>
      </c>
      <c r="K7" s="8" t="s">
        <v>1041</v>
      </c>
      <c r="L7" s="5" t="n">
        <v>9</v>
      </c>
      <c r="M7" s="8" t="s">
        <v>1042</v>
      </c>
    </row>
    <row r="8" customFormat="false" ht="75.75" hidden="false" customHeight="true" outlineLevel="0" collapsed="false">
      <c r="A8" s="4" t="s">
        <v>1043</v>
      </c>
      <c r="B8" s="4" t="s">
        <v>1044</v>
      </c>
      <c r="C8" s="6" t="s">
        <v>1045</v>
      </c>
      <c r="D8" s="3" t="s">
        <v>1046</v>
      </c>
      <c r="E8" s="4" t="s">
        <v>1047</v>
      </c>
      <c r="F8" s="3" t="s">
        <v>58</v>
      </c>
      <c r="G8" s="4" t="s">
        <v>1048</v>
      </c>
      <c r="H8" s="4" t="s">
        <v>1049</v>
      </c>
      <c r="I8" s="3" t="s">
        <v>1050</v>
      </c>
      <c r="J8" s="4" t="s">
        <v>1051</v>
      </c>
      <c r="K8" s="4" t="s">
        <v>1002</v>
      </c>
      <c r="L8" s="10" t="n">
        <v>6</v>
      </c>
      <c r="M8" s="4" t="s">
        <v>1052</v>
      </c>
    </row>
    <row r="9" customFormat="false" ht="75.75" hidden="false" customHeight="true" outlineLevel="0" collapsed="false">
      <c r="A9" s="8" t="s">
        <v>1053</v>
      </c>
      <c r="B9" s="8" t="s">
        <v>1054</v>
      </c>
      <c r="C9" s="9" t="s">
        <v>1055</v>
      </c>
      <c r="D9" s="7" t="s">
        <v>1056</v>
      </c>
      <c r="E9" s="8" t="s">
        <v>363</v>
      </c>
      <c r="F9" s="7" t="s">
        <v>29</v>
      </c>
      <c r="G9" s="8" t="s">
        <v>1057</v>
      </c>
      <c r="H9" s="8" t="s">
        <v>1058</v>
      </c>
      <c r="I9" s="7" t="s">
        <v>1059</v>
      </c>
      <c r="J9" s="8" t="s">
        <v>1060</v>
      </c>
      <c r="K9" s="8" t="s">
        <v>1002</v>
      </c>
      <c r="L9" s="11" t="n">
        <v>3</v>
      </c>
      <c r="M9" s="8" t="s">
        <v>1061</v>
      </c>
    </row>
    <row r="10" customFormat="false" ht="75.75" hidden="false" customHeight="true" outlineLevel="0" collapsed="false">
      <c r="A10" s="4" t="s">
        <v>1062</v>
      </c>
      <c r="B10" s="4" t="s">
        <v>1063</v>
      </c>
      <c r="C10" s="6" t="s">
        <v>1064</v>
      </c>
      <c r="D10" s="3" t="s">
        <v>1065</v>
      </c>
      <c r="E10" s="4" t="s">
        <v>29</v>
      </c>
      <c r="F10" s="3" t="s">
        <v>43</v>
      </c>
      <c r="G10" s="4" t="s">
        <v>1066</v>
      </c>
      <c r="H10" s="4" t="s">
        <v>36</v>
      </c>
      <c r="I10" s="3" t="s">
        <v>1067</v>
      </c>
      <c r="J10" s="4" t="s">
        <v>1068</v>
      </c>
      <c r="K10" s="4" t="s">
        <v>1069</v>
      </c>
      <c r="L10" s="5" t="n">
        <v>8</v>
      </c>
      <c r="M10" s="4" t="s">
        <v>1070</v>
      </c>
    </row>
    <row r="11" customFormat="false" ht="75.75" hidden="false" customHeight="true" outlineLevel="0" collapsed="false">
      <c r="A11" s="8" t="s">
        <v>1071</v>
      </c>
      <c r="B11" s="8" t="s">
        <v>492</v>
      </c>
      <c r="C11" s="9" t="s">
        <v>1072</v>
      </c>
      <c r="D11" s="7" t="s">
        <v>1073</v>
      </c>
      <c r="E11" s="8" t="s">
        <v>29</v>
      </c>
      <c r="F11" s="7" t="s">
        <v>43</v>
      </c>
      <c r="G11" s="8" t="s">
        <v>1074</v>
      </c>
      <c r="H11" s="8" t="s">
        <v>1075</v>
      </c>
      <c r="I11" s="7" t="s">
        <v>1076</v>
      </c>
      <c r="J11" s="8" t="s">
        <v>1077</v>
      </c>
      <c r="K11" s="8" t="s">
        <v>1077</v>
      </c>
      <c r="L11" s="11" t="n">
        <v>2</v>
      </c>
      <c r="M11" s="8" t="s">
        <v>1078</v>
      </c>
    </row>
    <row r="12" customFormat="false" ht="75.75" hidden="false" customHeight="true" outlineLevel="0" collapsed="false">
      <c r="A12" s="4" t="s">
        <v>1079</v>
      </c>
      <c r="B12" s="4" t="s">
        <v>1080</v>
      </c>
      <c r="C12" s="6" t="s">
        <v>1081</v>
      </c>
      <c r="D12" s="3" t="s">
        <v>36</v>
      </c>
      <c r="E12" s="4" t="s">
        <v>36</v>
      </c>
      <c r="F12" s="3" t="s">
        <v>58</v>
      </c>
      <c r="G12" s="4" t="s">
        <v>1082</v>
      </c>
      <c r="H12" s="4" t="s">
        <v>36</v>
      </c>
      <c r="I12" s="3" t="s">
        <v>1083</v>
      </c>
      <c r="J12" s="4" t="s">
        <v>1084</v>
      </c>
      <c r="K12" s="4" t="s">
        <v>1085</v>
      </c>
      <c r="L12" s="10" t="n">
        <v>5</v>
      </c>
      <c r="M12" s="4" t="s">
        <v>1086</v>
      </c>
    </row>
    <row r="13" customFormat="false" ht="75.75" hidden="false" customHeight="true" outlineLevel="0" collapsed="false">
      <c r="A13" s="8" t="s">
        <v>1087</v>
      </c>
      <c r="B13" s="8" t="s">
        <v>1088</v>
      </c>
      <c r="C13" s="9" t="s">
        <v>154</v>
      </c>
      <c r="D13" s="7" t="s">
        <v>1089</v>
      </c>
      <c r="E13" s="8" t="s">
        <v>1090</v>
      </c>
      <c r="F13" s="7" t="s">
        <v>36</v>
      </c>
      <c r="G13" s="8" t="s">
        <v>14</v>
      </c>
      <c r="H13" s="8" t="s">
        <v>14</v>
      </c>
      <c r="I13" s="7" t="s">
        <v>1091</v>
      </c>
      <c r="J13" s="8" t="s">
        <v>1092</v>
      </c>
      <c r="K13" s="8" t="s">
        <v>1031</v>
      </c>
      <c r="L13" s="5" t="n">
        <v>7</v>
      </c>
      <c r="M13" s="8" t="s">
        <v>1093</v>
      </c>
    </row>
    <row r="14" customFormat="false" ht="75.75" hidden="false" customHeight="true" outlineLevel="0" collapsed="false">
      <c r="A14" s="4" t="s">
        <v>1094</v>
      </c>
      <c r="B14" s="4" t="s">
        <v>492</v>
      </c>
      <c r="C14" s="6" t="s">
        <v>154</v>
      </c>
      <c r="D14" s="3" t="s">
        <v>118</v>
      </c>
      <c r="E14" s="4" t="s">
        <v>29</v>
      </c>
      <c r="F14" s="3" t="s">
        <v>126</v>
      </c>
      <c r="G14" s="4" t="s">
        <v>1095</v>
      </c>
      <c r="H14" s="4" t="s">
        <v>1096</v>
      </c>
      <c r="I14" s="3" t="s">
        <v>1091</v>
      </c>
      <c r="J14" s="4" t="s">
        <v>1097</v>
      </c>
      <c r="K14" s="4" t="s">
        <v>1077</v>
      </c>
      <c r="L14" s="11" t="n">
        <v>4</v>
      </c>
      <c r="M14" s="4" t="s">
        <v>1098</v>
      </c>
    </row>
    <row r="15" customFormat="false" ht="75.75" hidden="false" customHeight="true" outlineLevel="0" collapsed="false">
      <c r="A15" s="8" t="s">
        <v>1099</v>
      </c>
      <c r="B15" s="8" t="s">
        <v>1100</v>
      </c>
      <c r="C15" s="9" t="s">
        <v>1101</v>
      </c>
      <c r="D15" s="7" t="s">
        <v>58</v>
      </c>
      <c r="E15" s="8" t="s">
        <v>1102</v>
      </c>
      <c r="F15" s="7" t="s">
        <v>14</v>
      </c>
      <c r="G15" s="8" t="s">
        <v>1103</v>
      </c>
      <c r="H15" s="8" t="s">
        <v>1104</v>
      </c>
      <c r="I15" s="7" t="s">
        <v>1105</v>
      </c>
      <c r="J15" s="8" t="s">
        <v>1106</v>
      </c>
      <c r="K15" s="8" t="s">
        <v>1107</v>
      </c>
      <c r="L15" s="5" t="n">
        <v>8</v>
      </c>
      <c r="M15" s="8" t="s">
        <v>1108</v>
      </c>
    </row>
    <row r="16" customFormat="false" ht="75.75" hidden="false" customHeight="true" outlineLevel="0" collapsed="false">
      <c r="A16" s="4" t="s">
        <v>1109</v>
      </c>
      <c r="B16" s="4" t="s">
        <v>1110</v>
      </c>
      <c r="C16" s="6" t="s">
        <v>1111</v>
      </c>
      <c r="D16" s="3" t="s">
        <v>58</v>
      </c>
      <c r="E16" s="4" t="s">
        <v>58</v>
      </c>
      <c r="F16" s="3" t="s">
        <v>14</v>
      </c>
      <c r="G16" s="4" t="s">
        <v>36</v>
      </c>
      <c r="H16" s="4" t="s">
        <v>36</v>
      </c>
      <c r="I16" s="3" t="s">
        <v>1112</v>
      </c>
      <c r="J16" s="4" t="s">
        <v>1113</v>
      </c>
      <c r="K16" s="4" t="s">
        <v>1114</v>
      </c>
      <c r="L16" s="5" t="n">
        <v>7</v>
      </c>
      <c r="M16" s="4" t="s">
        <v>1115</v>
      </c>
    </row>
    <row r="17" customFormat="false" ht="75.75" hidden="false" customHeight="true" outlineLevel="0" collapsed="false">
      <c r="A17" s="8" t="s">
        <v>1116</v>
      </c>
      <c r="B17" s="8" t="s">
        <v>1117</v>
      </c>
      <c r="C17" s="9" t="s">
        <v>1118</v>
      </c>
      <c r="D17" s="7" t="s">
        <v>14</v>
      </c>
      <c r="E17" s="8" t="s">
        <v>1119</v>
      </c>
      <c r="F17" s="7" t="s">
        <v>43</v>
      </c>
      <c r="G17" s="8" t="s">
        <v>36</v>
      </c>
      <c r="H17" s="8" t="s">
        <v>36</v>
      </c>
      <c r="I17" s="7" t="s">
        <v>1120</v>
      </c>
      <c r="J17" s="8" t="s">
        <v>1121</v>
      </c>
      <c r="K17" s="8" t="s">
        <v>1122</v>
      </c>
      <c r="L17" s="11" t="n">
        <v>3</v>
      </c>
      <c r="M17" s="8" t="s">
        <v>1123</v>
      </c>
    </row>
    <row r="18" customFormat="false" ht="75.75" hidden="false" customHeight="true" outlineLevel="0" collapsed="false">
      <c r="A18" s="4" t="s">
        <v>1124</v>
      </c>
      <c r="B18" s="4" t="s">
        <v>1125</v>
      </c>
      <c r="C18" s="6" t="s">
        <v>139</v>
      </c>
      <c r="D18" s="3" t="s">
        <v>1126</v>
      </c>
      <c r="E18" s="4" t="s">
        <v>29</v>
      </c>
      <c r="F18" s="3" t="s">
        <v>14</v>
      </c>
      <c r="G18" s="4" t="s">
        <v>1127</v>
      </c>
      <c r="H18" s="4" t="s">
        <v>36</v>
      </c>
      <c r="I18" s="3" t="s">
        <v>1112</v>
      </c>
      <c r="J18" s="4" t="s">
        <v>1128</v>
      </c>
      <c r="K18" s="4" t="s">
        <v>1129</v>
      </c>
      <c r="L18" s="10" t="n">
        <v>6</v>
      </c>
      <c r="M18" s="4" t="s">
        <v>1130</v>
      </c>
    </row>
    <row r="19" customFormat="false" ht="75.75" hidden="false" customHeight="true" outlineLevel="0" collapsed="false">
      <c r="A19" s="8" t="s">
        <v>1131</v>
      </c>
      <c r="B19" s="8" t="s">
        <v>1132</v>
      </c>
      <c r="C19" s="9" t="s">
        <v>583</v>
      </c>
      <c r="D19" s="7" t="s">
        <v>118</v>
      </c>
      <c r="E19" s="8" t="s">
        <v>1133</v>
      </c>
      <c r="F19" s="7" t="s">
        <v>126</v>
      </c>
      <c r="G19" s="8" t="s">
        <v>1134</v>
      </c>
      <c r="H19" s="8" t="s">
        <v>1135</v>
      </c>
      <c r="I19" s="7" t="s">
        <v>1091</v>
      </c>
      <c r="J19" s="8" t="s">
        <v>1136</v>
      </c>
      <c r="K19" s="8" t="s">
        <v>1137</v>
      </c>
      <c r="L19" s="11" t="n">
        <v>4</v>
      </c>
      <c r="M19" s="8" t="s">
        <v>1138</v>
      </c>
    </row>
    <row r="20" customFormat="false" ht="75.75" hidden="false" customHeight="true" outlineLevel="0" collapsed="false">
      <c r="A20" s="4" t="s">
        <v>1139</v>
      </c>
      <c r="B20" s="4" t="s">
        <v>1140</v>
      </c>
      <c r="C20" s="6" t="s">
        <v>1077</v>
      </c>
      <c r="D20" s="3" t="s">
        <v>1141</v>
      </c>
      <c r="E20" s="4" t="s">
        <v>29</v>
      </c>
      <c r="F20" s="3" t="s">
        <v>43</v>
      </c>
      <c r="G20" s="4" t="s">
        <v>58</v>
      </c>
      <c r="H20" s="4" t="s">
        <v>1142</v>
      </c>
      <c r="I20" s="3" t="s">
        <v>1091</v>
      </c>
      <c r="J20" s="4" t="s">
        <v>1077</v>
      </c>
      <c r="K20" s="4" t="s">
        <v>1077</v>
      </c>
      <c r="L20" s="11" t="n">
        <v>2</v>
      </c>
      <c r="M20" s="4" t="s">
        <v>1143</v>
      </c>
    </row>
    <row r="21" customFormat="false" ht="75.75" hidden="false" customHeight="true" outlineLevel="0" collapsed="false">
      <c r="A21" s="8" t="s">
        <v>1144</v>
      </c>
      <c r="B21" s="8" t="s">
        <v>1077</v>
      </c>
      <c r="C21" s="9" t="s">
        <v>1077</v>
      </c>
      <c r="D21" s="7" t="s">
        <v>1077</v>
      </c>
      <c r="E21" s="8" t="s">
        <v>1077</v>
      </c>
      <c r="F21" s="7" t="s">
        <v>1077</v>
      </c>
      <c r="G21" s="8" t="s">
        <v>1077</v>
      </c>
      <c r="H21" s="8" t="s">
        <v>1145</v>
      </c>
      <c r="I21" s="7" t="s">
        <v>1077</v>
      </c>
      <c r="J21" s="8" t="s">
        <v>1077</v>
      </c>
      <c r="K21" s="8" t="s">
        <v>1077</v>
      </c>
      <c r="L21" s="11" t="n">
        <v>0</v>
      </c>
      <c r="M21" s="8" t="s">
        <v>1146</v>
      </c>
    </row>
    <row r="23" customFormat="false" ht="15" hidden="false" customHeight="false" outlineLevel="0" collapsed="false">
      <c r="A23" s="19" t="s">
        <v>1147</v>
      </c>
    </row>
    <row r="24" customFormat="false" ht="15" hidden="false" customHeight="false" outlineLevel="0" collapsed="false">
      <c r="A24" s="19" t="s">
        <v>1148</v>
      </c>
    </row>
  </sheetData>
  <autoFilter ref="A3:M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8"/>
    <col collapsed="false" customWidth="true" hidden="false" outlineLevel="0" max="6" min="4" style="0" width="14"/>
    <col collapsed="false" customWidth="true" hidden="false" outlineLevel="0" max="7" min="7" style="0" width="28"/>
    <col collapsed="false" customWidth="true" hidden="false" outlineLevel="0" max="8" min="8" style="0" width="60"/>
    <col collapsed="false" customWidth="true" hidden="false" outlineLevel="0" max="9" min="9" style="0" width="12"/>
    <col collapsed="false" customWidth="true" hidden="false" outlineLevel="0" max="10" min="10" style="0" width="42"/>
    <col collapsed="false" customWidth="true" hidden="false" outlineLevel="0" max="11" min="11" style="0" width="34"/>
    <col collapsed="false" customWidth="true" hidden="false" outlineLevel="0" max="12" min="12" style="0" width="10"/>
    <col collapsed="false" customWidth="true" hidden="false" outlineLevel="0" max="13" min="13" style="0" width="96"/>
  </cols>
  <sheetData>
    <row r="1" customFormat="false" ht="21.75" hidden="false" customHeight="true" outlineLevel="0" collapsed="false">
      <c r="A1" s="1" t="s">
        <v>1149</v>
      </c>
    </row>
    <row r="2" customFormat="false" ht="6" hidden="false" customHeight="true" outlineLevel="0" collapsed="false"/>
    <row r="3" customFormat="false" ht="42" hidden="false" customHeight="true" outlineLevel="0" collapsed="false">
      <c r="A3" s="2" t="s">
        <v>203</v>
      </c>
      <c r="B3" s="2" t="s">
        <v>1150</v>
      </c>
      <c r="C3" s="2" t="s">
        <v>88</v>
      </c>
      <c r="D3" s="2" t="s">
        <v>209</v>
      </c>
      <c r="E3" s="2" t="s">
        <v>89</v>
      </c>
      <c r="F3" s="2" t="s">
        <v>1151</v>
      </c>
      <c r="G3" s="2" t="s">
        <v>100</v>
      </c>
      <c r="H3" s="2" t="s">
        <v>1152</v>
      </c>
      <c r="I3" s="2" t="s">
        <v>1153</v>
      </c>
      <c r="J3" s="2" t="s">
        <v>1154</v>
      </c>
      <c r="K3" s="2" t="s">
        <v>1155</v>
      </c>
      <c r="L3" s="2" t="s">
        <v>1156</v>
      </c>
      <c r="M3" s="2" t="s">
        <v>1157</v>
      </c>
    </row>
    <row r="4" customFormat="false" ht="91.5" hidden="false" customHeight="true" outlineLevel="0" collapsed="false">
      <c r="A4" s="4" t="s">
        <v>1158</v>
      </c>
      <c r="B4" s="6" t="s">
        <v>1159</v>
      </c>
      <c r="C4" s="4" t="s">
        <v>1160</v>
      </c>
      <c r="D4" s="3" t="s">
        <v>43</v>
      </c>
      <c r="E4" s="3" t="s">
        <v>14</v>
      </c>
      <c r="F4" s="3" t="s">
        <v>58</v>
      </c>
      <c r="G4" s="4" t="s">
        <v>1161</v>
      </c>
      <c r="H4" s="4" t="s">
        <v>1162</v>
      </c>
      <c r="I4" s="3" t="s">
        <v>363</v>
      </c>
      <c r="J4" s="4" t="s">
        <v>226</v>
      </c>
      <c r="K4" s="31" t="s">
        <v>1163</v>
      </c>
      <c r="L4" s="3" t="n">
        <v>22</v>
      </c>
      <c r="M4" s="4" t="s">
        <v>1164</v>
      </c>
    </row>
    <row r="5" customFormat="false" ht="91.5" hidden="false" customHeight="true" outlineLevel="0" collapsed="false">
      <c r="A5" s="8" t="s">
        <v>1165</v>
      </c>
      <c r="B5" s="9" t="s">
        <v>1166</v>
      </c>
      <c r="C5" s="8" t="s">
        <v>268</v>
      </c>
      <c r="D5" s="7" t="s">
        <v>43</v>
      </c>
      <c r="E5" s="7" t="s">
        <v>14</v>
      </c>
      <c r="F5" s="7" t="s">
        <v>58</v>
      </c>
      <c r="G5" s="8" t="s">
        <v>1167</v>
      </c>
      <c r="H5" s="8" t="s">
        <v>682</v>
      </c>
      <c r="I5" s="7" t="s">
        <v>363</v>
      </c>
      <c r="J5" s="8" t="s">
        <v>271</v>
      </c>
      <c r="K5" s="31" t="s">
        <v>1163</v>
      </c>
      <c r="L5" s="7" t="n">
        <v>21</v>
      </c>
      <c r="M5" s="8" t="s">
        <v>1168</v>
      </c>
    </row>
    <row r="6" customFormat="false" ht="91.5" hidden="false" customHeight="true" outlineLevel="0" collapsed="false">
      <c r="A6" s="4" t="s">
        <v>253</v>
      </c>
      <c r="B6" s="6" t="s">
        <v>1169</v>
      </c>
      <c r="C6" s="4" t="s">
        <v>254</v>
      </c>
      <c r="D6" s="3" t="s">
        <v>29</v>
      </c>
      <c r="E6" s="3" t="s">
        <v>43</v>
      </c>
      <c r="F6" s="3" t="s">
        <v>58</v>
      </c>
      <c r="G6" s="4" t="s">
        <v>1167</v>
      </c>
      <c r="H6" s="4" t="s">
        <v>682</v>
      </c>
      <c r="I6" s="3" t="s">
        <v>363</v>
      </c>
      <c r="J6" s="4" t="s">
        <v>1170</v>
      </c>
      <c r="K6" s="31" t="s">
        <v>1163</v>
      </c>
      <c r="L6" s="3" t="n">
        <v>19</v>
      </c>
      <c r="M6" s="4" t="s">
        <v>1171</v>
      </c>
    </row>
    <row r="7" customFormat="false" ht="91.5" hidden="false" customHeight="true" outlineLevel="0" collapsed="false">
      <c r="A7" s="8" t="s">
        <v>240</v>
      </c>
      <c r="B7" s="9" t="s">
        <v>1172</v>
      </c>
      <c r="C7" s="8" t="s">
        <v>1173</v>
      </c>
      <c r="D7" s="7" t="s">
        <v>43</v>
      </c>
      <c r="E7" s="7" t="s">
        <v>29</v>
      </c>
      <c r="F7" s="7" t="s">
        <v>58</v>
      </c>
      <c r="G7" s="8" t="s">
        <v>1167</v>
      </c>
      <c r="H7" s="8" t="s">
        <v>682</v>
      </c>
      <c r="I7" s="7" t="s">
        <v>363</v>
      </c>
      <c r="J7" s="8" t="s">
        <v>245</v>
      </c>
      <c r="K7" s="31" t="s">
        <v>1163</v>
      </c>
      <c r="L7" s="7" t="n">
        <v>20</v>
      </c>
      <c r="M7" s="8" t="s">
        <v>1174</v>
      </c>
    </row>
    <row r="8" customFormat="false" ht="91.5" hidden="false" customHeight="true" outlineLevel="0" collapsed="false">
      <c r="A8" s="4" t="s">
        <v>1175</v>
      </c>
      <c r="B8" s="6" t="s">
        <v>1176</v>
      </c>
      <c r="C8" s="4" t="s">
        <v>314</v>
      </c>
      <c r="D8" s="3" t="s">
        <v>14</v>
      </c>
      <c r="E8" s="3" t="s">
        <v>36</v>
      </c>
      <c r="F8" s="3" t="s">
        <v>58</v>
      </c>
      <c r="G8" s="4" t="s">
        <v>1177</v>
      </c>
      <c r="H8" s="4" t="s">
        <v>1178</v>
      </c>
      <c r="I8" s="3" t="s">
        <v>225</v>
      </c>
      <c r="J8" s="4" t="s">
        <v>317</v>
      </c>
      <c r="K8" s="31" t="s">
        <v>1179</v>
      </c>
      <c r="L8" s="3" t="n">
        <v>31</v>
      </c>
      <c r="M8" s="4" t="s">
        <v>1180</v>
      </c>
    </row>
    <row r="9" customFormat="false" ht="91.5" hidden="false" customHeight="true" outlineLevel="0" collapsed="false">
      <c r="A9" s="8" t="s">
        <v>1181</v>
      </c>
      <c r="B9" s="9" t="s">
        <v>1182</v>
      </c>
      <c r="C9" s="8" t="s">
        <v>1183</v>
      </c>
      <c r="D9" s="7" t="s">
        <v>1184</v>
      </c>
      <c r="E9" s="7" t="s">
        <v>36</v>
      </c>
      <c r="F9" s="7" t="s">
        <v>14</v>
      </c>
      <c r="G9" s="8" t="s">
        <v>1185</v>
      </c>
      <c r="H9" s="8" t="s">
        <v>1186</v>
      </c>
      <c r="I9" s="7" t="s">
        <v>257</v>
      </c>
      <c r="J9" s="8" t="s">
        <v>1187</v>
      </c>
      <c r="K9" s="31" t="s">
        <v>1188</v>
      </c>
      <c r="L9" s="7" t="n">
        <v>38</v>
      </c>
      <c r="M9" s="8" t="s">
        <v>1189</v>
      </c>
    </row>
    <row r="10" customFormat="false" ht="91.5" hidden="false" customHeight="true" outlineLevel="0" collapsed="false">
      <c r="A10" s="4" t="s">
        <v>1190</v>
      </c>
      <c r="B10" s="6" t="s">
        <v>1191</v>
      </c>
      <c r="C10" s="4" t="s">
        <v>1192</v>
      </c>
      <c r="D10" s="3" t="s">
        <v>29</v>
      </c>
      <c r="E10" s="3" t="s">
        <v>58</v>
      </c>
      <c r="F10" s="3" t="s">
        <v>14</v>
      </c>
      <c r="G10" s="4" t="s">
        <v>225</v>
      </c>
      <c r="H10" s="4" t="s">
        <v>1193</v>
      </c>
      <c r="I10" s="3" t="s">
        <v>1194</v>
      </c>
      <c r="J10" s="4" t="s">
        <v>265</v>
      </c>
      <c r="K10" s="31" t="s">
        <v>1195</v>
      </c>
      <c r="L10" s="3" t="n">
        <v>41</v>
      </c>
      <c r="M10" s="4" t="s">
        <v>1196</v>
      </c>
    </row>
    <row r="11" customFormat="false" ht="91.5" hidden="false" customHeight="true" outlineLevel="0" collapsed="false">
      <c r="A11" s="8" t="s">
        <v>1197</v>
      </c>
      <c r="B11" s="9" t="s">
        <v>1198</v>
      </c>
      <c r="C11" s="8" t="s">
        <v>712</v>
      </c>
      <c r="D11" s="7" t="s">
        <v>53</v>
      </c>
      <c r="E11" s="7" t="s">
        <v>53</v>
      </c>
      <c r="F11" s="7" t="s">
        <v>29</v>
      </c>
      <c r="G11" s="8" t="s">
        <v>53</v>
      </c>
      <c r="H11" s="8" t="s">
        <v>1199</v>
      </c>
      <c r="I11" s="7" t="s">
        <v>683</v>
      </c>
      <c r="J11" s="8" t="s">
        <v>1200</v>
      </c>
      <c r="K11" s="32" t="s">
        <v>1201</v>
      </c>
      <c r="L11" s="7" t="n">
        <v>70</v>
      </c>
      <c r="M11" s="8" t="s">
        <v>1202</v>
      </c>
    </row>
    <row r="14" customFormat="false" ht="15" hidden="false" customHeight="false" outlineLevel="0" collapsed="false">
      <c r="A14" s="33" t="s">
        <v>1203</v>
      </c>
    </row>
    <row r="15" customFormat="false" ht="15" hidden="false" customHeight="false" outlineLevel="0" collapsed="false">
      <c r="A15" s="34"/>
    </row>
    <row r="16" customFormat="false" ht="15" hidden="false" customHeight="false" outlineLevel="0" collapsed="false">
      <c r="A16" s="34" t="s">
        <v>1204</v>
      </c>
    </row>
    <row r="17" customFormat="false" ht="15" hidden="false" customHeight="false" outlineLevel="0" collapsed="false">
      <c r="A17" s="34" t="s">
        <v>1205</v>
      </c>
    </row>
    <row r="18" customFormat="false" ht="15" hidden="false" customHeight="false" outlineLevel="0" collapsed="false">
      <c r="A18" s="34" t="s">
        <v>1206</v>
      </c>
    </row>
    <row r="19" customFormat="false" ht="15" hidden="false" customHeight="false" outlineLevel="0" collapsed="false">
      <c r="A19" s="34" t="s">
        <v>1207</v>
      </c>
    </row>
    <row r="20" customFormat="false" ht="15" hidden="false" customHeight="false" outlineLevel="0" collapsed="false">
      <c r="A20" s="34"/>
    </row>
    <row r="21" customFormat="false" ht="15" hidden="false" customHeight="false" outlineLevel="0" collapsed="false">
      <c r="A21" s="33" t="s">
        <v>1208</v>
      </c>
    </row>
  </sheetData>
  <autoFilter ref="A3:M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30"/>
    <col collapsed="false" customWidth="true" hidden="false" outlineLevel="0" max="4" min="4" style="0" width="12"/>
    <col collapsed="false" customWidth="true" hidden="false" outlineLevel="0" max="5" min="5" style="0" width="24"/>
    <col collapsed="false" customWidth="true" hidden="false" outlineLevel="0" max="6" min="6" style="0" width="76"/>
    <col collapsed="false" customWidth="true" hidden="false" outlineLevel="0" max="7" min="7" style="0" width="42"/>
    <col collapsed="false" customWidth="true" hidden="false" outlineLevel="0" max="8" min="8" style="0" width="24"/>
    <col collapsed="false" customWidth="true" hidden="false" outlineLevel="0" max="9" min="9" style="0" width="9"/>
    <col collapsed="false" customWidth="true" hidden="false" outlineLevel="0" max="10" min="10" style="0" width="15"/>
    <col collapsed="false" customWidth="true" hidden="false" outlineLevel="0" max="11" min="11" style="0" width="78"/>
  </cols>
  <sheetData>
    <row r="1" customFormat="false" ht="21.75" hidden="false" customHeight="true" outlineLevel="0" collapsed="false">
      <c r="A1" s="1" t="s">
        <v>1209</v>
      </c>
    </row>
    <row r="2" customFormat="false" ht="6" hidden="false" customHeight="true" outlineLevel="0" collapsed="false"/>
    <row r="3" customFormat="false" ht="42" hidden="false" customHeight="true" outlineLevel="0" collapsed="false">
      <c r="A3" s="2" t="s">
        <v>203</v>
      </c>
      <c r="B3" s="2" t="s">
        <v>208</v>
      </c>
      <c r="C3" s="2" t="s">
        <v>205</v>
      </c>
      <c r="D3" s="2" t="s">
        <v>206</v>
      </c>
      <c r="E3" s="2" t="s">
        <v>1210</v>
      </c>
      <c r="F3" s="2" t="s">
        <v>1211</v>
      </c>
      <c r="G3" s="2" t="s">
        <v>214</v>
      </c>
      <c r="H3" s="2" t="s">
        <v>1212</v>
      </c>
      <c r="I3" s="2" t="s">
        <v>216</v>
      </c>
      <c r="J3" s="2" t="s">
        <v>1213</v>
      </c>
      <c r="K3" s="2" t="s">
        <v>1214</v>
      </c>
    </row>
    <row r="4" customFormat="false" ht="57.75" hidden="false" customHeight="true" outlineLevel="0" collapsed="false">
      <c r="A4" s="4" t="s">
        <v>358</v>
      </c>
      <c r="B4" s="6" t="s">
        <v>360</v>
      </c>
      <c r="C4" s="4" t="s">
        <v>1215</v>
      </c>
      <c r="D4" s="3" t="s">
        <v>36</v>
      </c>
      <c r="E4" s="6" t="s">
        <v>1216</v>
      </c>
      <c r="F4" s="4" t="s">
        <v>1217</v>
      </c>
      <c r="G4" s="4" t="s">
        <v>1218</v>
      </c>
      <c r="H4" s="4" t="s">
        <v>1219</v>
      </c>
      <c r="I4" s="30" t="s">
        <v>228</v>
      </c>
      <c r="J4" s="3" t="s">
        <v>1220</v>
      </c>
      <c r="K4" s="4" t="s">
        <v>1221</v>
      </c>
    </row>
    <row r="5" customFormat="false" ht="57.75" hidden="false" customHeight="true" outlineLevel="0" collapsed="false">
      <c r="A5" s="8" t="s">
        <v>273</v>
      </c>
      <c r="B5" s="9" t="s">
        <v>233</v>
      </c>
      <c r="C5" s="8" t="s">
        <v>268</v>
      </c>
      <c r="D5" s="7" t="s">
        <v>14</v>
      </c>
      <c r="E5" s="9" t="s">
        <v>1222</v>
      </c>
      <c r="F5" s="8" t="s">
        <v>1223</v>
      </c>
      <c r="G5" s="8" t="s">
        <v>1224</v>
      </c>
      <c r="H5" s="8" t="s">
        <v>1225</v>
      </c>
      <c r="I5" s="30" t="s">
        <v>228</v>
      </c>
      <c r="J5" s="7" t="s">
        <v>1220</v>
      </c>
      <c r="K5" s="8" t="s">
        <v>1226</v>
      </c>
    </row>
    <row r="6" customFormat="false" ht="57.75" hidden="false" customHeight="true" outlineLevel="0" collapsed="false">
      <c r="A6" s="4" t="s">
        <v>1227</v>
      </c>
      <c r="B6" s="6" t="s">
        <v>280</v>
      </c>
      <c r="C6" s="4" t="s">
        <v>14</v>
      </c>
      <c r="D6" s="3" t="s">
        <v>118</v>
      </c>
      <c r="E6" s="6" t="s">
        <v>1228</v>
      </c>
      <c r="F6" s="4" t="s">
        <v>1229</v>
      </c>
      <c r="G6" s="4" t="s">
        <v>1230</v>
      </c>
      <c r="H6" s="4" t="s">
        <v>1231</v>
      </c>
      <c r="I6" s="30" t="s">
        <v>228</v>
      </c>
      <c r="J6" s="3" t="s">
        <v>1232</v>
      </c>
      <c r="K6" s="4" t="s">
        <v>1233</v>
      </c>
    </row>
    <row r="7" customFormat="false" ht="57.75" hidden="false" customHeight="true" outlineLevel="0" collapsed="false">
      <c r="A7" s="8" t="s">
        <v>1234</v>
      </c>
      <c r="B7" s="9" t="s">
        <v>233</v>
      </c>
      <c r="C7" s="8" t="s">
        <v>14</v>
      </c>
      <c r="D7" s="7" t="s">
        <v>58</v>
      </c>
      <c r="E7" s="9" t="s">
        <v>1235</v>
      </c>
      <c r="F7" s="8" t="s">
        <v>1236</v>
      </c>
      <c r="G7" s="8" t="s">
        <v>1237</v>
      </c>
      <c r="H7" s="8" t="s">
        <v>1238</v>
      </c>
      <c r="I7" s="30" t="s">
        <v>228</v>
      </c>
      <c r="J7" s="7" t="s">
        <v>1220</v>
      </c>
      <c r="K7" s="8" t="s">
        <v>1239</v>
      </c>
    </row>
    <row r="8" customFormat="false" ht="57.75" hidden="false" customHeight="true" outlineLevel="0" collapsed="false">
      <c r="A8" s="4" t="s">
        <v>231</v>
      </c>
      <c r="B8" s="6" t="s">
        <v>233</v>
      </c>
      <c r="C8" s="4" t="s">
        <v>1240</v>
      </c>
      <c r="D8" s="3" t="s">
        <v>14</v>
      </c>
      <c r="E8" s="6" t="s">
        <v>1241</v>
      </c>
      <c r="F8" s="4" t="s">
        <v>1242</v>
      </c>
      <c r="G8" s="4" t="s">
        <v>1243</v>
      </c>
      <c r="H8" s="4" t="s">
        <v>1244</v>
      </c>
      <c r="I8" s="30" t="s">
        <v>228</v>
      </c>
      <c r="J8" s="3" t="s">
        <v>1220</v>
      </c>
      <c r="K8" s="4" t="s">
        <v>1245</v>
      </c>
    </row>
    <row r="9" customFormat="false" ht="57.75" hidden="false" customHeight="true" outlineLevel="0" collapsed="false">
      <c r="A9" s="8" t="s">
        <v>376</v>
      </c>
      <c r="B9" s="9" t="s">
        <v>293</v>
      </c>
      <c r="C9" s="8" t="s">
        <v>1246</v>
      </c>
      <c r="D9" s="7" t="s">
        <v>36</v>
      </c>
      <c r="E9" s="9" t="s">
        <v>1247</v>
      </c>
      <c r="F9" s="8" t="s">
        <v>1248</v>
      </c>
      <c r="G9" s="8" t="s">
        <v>1249</v>
      </c>
      <c r="H9" s="8" t="s">
        <v>625</v>
      </c>
      <c r="I9" s="30" t="s">
        <v>228</v>
      </c>
      <c r="J9" s="7" t="s">
        <v>1232</v>
      </c>
      <c r="K9" s="8" t="s">
        <v>1250</v>
      </c>
    </row>
    <row r="10" customFormat="false" ht="57.75" hidden="false" customHeight="true" outlineLevel="0" collapsed="false">
      <c r="A10" s="4" t="s">
        <v>383</v>
      </c>
      <c r="B10" s="6" t="s">
        <v>280</v>
      </c>
      <c r="C10" s="4" t="s">
        <v>1251</v>
      </c>
      <c r="D10" s="3" t="s">
        <v>36</v>
      </c>
      <c r="E10" s="6" t="s">
        <v>1252</v>
      </c>
      <c r="F10" s="4" t="s">
        <v>1253</v>
      </c>
      <c r="G10" s="4" t="s">
        <v>1254</v>
      </c>
      <c r="H10" s="4" t="s">
        <v>1244</v>
      </c>
      <c r="I10" s="30" t="s">
        <v>228</v>
      </c>
      <c r="J10" s="3" t="s">
        <v>1232</v>
      </c>
      <c r="K10" s="4" t="s">
        <v>1255</v>
      </c>
    </row>
    <row r="11" customFormat="false" ht="57.75" hidden="false" customHeight="true" outlineLevel="0" collapsed="false">
      <c r="A11" s="8" t="s">
        <v>389</v>
      </c>
      <c r="B11" s="9" t="s">
        <v>293</v>
      </c>
      <c r="C11" s="8" t="s">
        <v>1256</v>
      </c>
      <c r="D11" s="7" t="s">
        <v>36</v>
      </c>
      <c r="E11" s="9" t="s">
        <v>1257</v>
      </c>
      <c r="F11" s="8" t="s">
        <v>1258</v>
      </c>
      <c r="G11" s="8" t="s">
        <v>1259</v>
      </c>
      <c r="H11" s="8" t="s">
        <v>1260</v>
      </c>
      <c r="I11" s="30" t="s">
        <v>228</v>
      </c>
      <c r="J11" s="7" t="s">
        <v>1232</v>
      </c>
      <c r="K11" s="8" t="s">
        <v>1261</v>
      </c>
    </row>
    <row r="12" customFormat="false" ht="57.75" hidden="false" customHeight="true" outlineLevel="0" collapsed="false">
      <c r="A12" s="4" t="s">
        <v>366</v>
      </c>
      <c r="B12" s="6" t="s">
        <v>360</v>
      </c>
      <c r="C12" s="4" t="s">
        <v>14</v>
      </c>
      <c r="D12" s="3" t="s">
        <v>58</v>
      </c>
      <c r="E12" s="6" t="s">
        <v>1241</v>
      </c>
      <c r="F12" s="4" t="s">
        <v>1262</v>
      </c>
      <c r="G12" s="4" t="s">
        <v>1263</v>
      </c>
      <c r="H12" s="4" t="s">
        <v>1264</v>
      </c>
      <c r="I12" s="30" t="s">
        <v>228</v>
      </c>
      <c r="J12" s="3" t="s">
        <v>1220</v>
      </c>
      <c r="K12" s="4" t="s">
        <v>1265</v>
      </c>
    </row>
    <row r="13" customFormat="false" ht="57.75" hidden="false" customHeight="true" outlineLevel="0" collapsed="false">
      <c r="A13" s="8" t="s">
        <v>1266</v>
      </c>
      <c r="B13" s="9" t="s">
        <v>306</v>
      </c>
      <c r="C13" s="8" t="s">
        <v>314</v>
      </c>
      <c r="D13" s="7" t="s">
        <v>58</v>
      </c>
      <c r="E13" s="9" t="s">
        <v>1267</v>
      </c>
      <c r="F13" s="8" t="s">
        <v>1268</v>
      </c>
      <c r="G13" s="8" t="s">
        <v>1269</v>
      </c>
      <c r="H13" s="8" t="s">
        <v>1231</v>
      </c>
      <c r="I13" s="30" t="s">
        <v>228</v>
      </c>
      <c r="J13" s="7" t="s">
        <v>1232</v>
      </c>
      <c r="K13" s="8" t="s">
        <v>1270</v>
      </c>
    </row>
    <row r="14" customFormat="false" ht="57.75" hidden="false" customHeight="true" outlineLevel="0" collapsed="false">
      <c r="A14" s="4" t="s">
        <v>1271</v>
      </c>
      <c r="B14" s="6" t="s">
        <v>306</v>
      </c>
      <c r="C14" s="4" t="s">
        <v>1272</v>
      </c>
      <c r="D14" s="3" t="s">
        <v>36</v>
      </c>
      <c r="E14" s="6" t="s">
        <v>1273</v>
      </c>
      <c r="F14" s="4" t="s">
        <v>1274</v>
      </c>
      <c r="G14" s="4" t="s">
        <v>1275</v>
      </c>
      <c r="H14" s="4" t="s">
        <v>1276</v>
      </c>
      <c r="I14" s="28" t="s">
        <v>259</v>
      </c>
      <c r="J14" s="3" t="s">
        <v>1232</v>
      </c>
      <c r="K14" s="4" t="s">
        <v>1277</v>
      </c>
    </row>
    <row r="15" customFormat="false" ht="57.75" hidden="false" customHeight="true" outlineLevel="0" collapsed="false">
      <c r="A15" s="8" t="s">
        <v>1278</v>
      </c>
      <c r="B15" s="9" t="s">
        <v>280</v>
      </c>
      <c r="C15" s="8" t="s">
        <v>14</v>
      </c>
      <c r="D15" s="7" t="s">
        <v>14</v>
      </c>
      <c r="E15" s="9" t="s">
        <v>1279</v>
      </c>
      <c r="F15" s="8" t="s">
        <v>1280</v>
      </c>
      <c r="G15" s="8" t="s">
        <v>1281</v>
      </c>
      <c r="H15" s="8" t="s">
        <v>1244</v>
      </c>
      <c r="I15" s="28" t="s">
        <v>259</v>
      </c>
      <c r="J15" s="7" t="s">
        <v>1232</v>
      </c>
      <c r="K15" s="8" t="s">
        <v>1282</v>
      </c>
    </row>
    <row r="16" customFormat="false" ht="57.75" hidden="false" customHeight="true" outlineLevel="0" collapsed="false">
      <c r="A16" s="4" t="s">
        <v>1283</v>
      </c>
      <c r="B16" s="6" t="s">
        <v>306</v>
      </c>
      <c r="C16" s="4" t="s">
        <v>1025</v>
      </c>
      <c r="D16" s="3" t="s">
        <v>58</v>
      </c>
      <c r="E16" s="6" t="s">
        <v>1267</v>
      </c>
      <c r="F16" s="4" t="s">
        <v>1284</v>
      </c>
      <c r="G16" s="4" t="s">
        <v>1285</v>
      </c>
      <c r="H16" s="4" t="s">
        <v>1244</v>
      </c>
      <c r="I16" s="28" t="s">
        <v>259</v>
      </c>
      <c r="J16" s="3" t="s">
        <v>1232</v>
      </c>
      <c r="K16" s="4" t="s">
        <v>1286</v>
      </c>
    </row>
    <row r="17" customFormat="false" ht="57.75" hidden="false" customHeight="true" outlineLevel="0" collapsed="false">
      <c r="A17" s="8" t="s">
        <v>1287</v>
      </c>
      <c r="B17" s="9" t="s">
        <v>306</v>
      </c>
      <c r="C17" s="8" t="s">
        <v>331</v>
      </c>
      <c r="D17" s="7" t="s">
        <v>118</v>
      </c>
      <c r="E17" s="9" t="s">
        <v>1267</v>
      </c>
      <c r="F17" s="8" t="s">
        <v>1288</v>
      </c>
      <c r="G17" s="8" t="s">
        <v>1289</v>
      </c>
      <c r="H17" s="8" t="s">
        <v>1244</v>
      </c>
      <c r="I17" s="28" t="s">
        <v>259</v>
      </c>
      <c r="J17" s="7" t="s">
        <v>1232</v>
      </c>
      <c r="K17" s="8" t="s">
        <v>1290</v>
      </c>
    </row>
    <row r="18" customFormat="false" ht="57.75" hidden="false" customHeight="true" outlineLevel="0" collapsed="false">
      <c r="A18" s="4" t="s">
        <v>1291</v>
      </c>
      <c r="B18" s="6" t="s">
        <v>280</v>
      </c>
      <c r="C18" s="4" t="s">
        <v>1292</v>
      </c>
      <c r="D18" s="3" t="s">
        <v>118</v>
      </c>
      <c r="E18" s="6" t="s">
        <v>1293</v>
      </c>
      <c r="F18" s="4" t="s">
        <v>1294</v>
      </c>
      <c r="G18" s="4" t="s">
        <v>1295</v>
      </c>
      <c r="H18" s="4" t="s">
        <v>1244</v>
      </c>
      <c r="I18" s="28" t="s">
        <v>259</v>
      </c>
      <c r="J18" s="3" t="s">
        <v>1220</v>
      </c>
      <c r="K18" s="4" t="s">
        <v>1296</v>
      </c>
    </row>
    <row r="19" customFormat="false" ht="57.75" hidden="false" customHeight="true" outlineLevel="0" collapsed="false">
      <c r="A19" s="8" t="s">
        <v>1297</v>
      </c>
      <c r="B19" s="9" t="s">
        <v>280</v>
      </c>
      <c r="C19" s="8" t="s">
        <v>1298</v>
      </c>
      <c r="D19" s="7" t="s">
        <v>58</v>
      </c>
      <c r="E19" s="9" t="s">
        <v>1299</v>
      </c>
      <c r="F19" s="8" t="s">
        <v>1300</v>
      </c>
      <c r="G19" s="8" t="s">
        <v>1301</v>
      </c>
      <c r="H19" s="8" t="s">
        <v>1244</v>
      </c>
      <c r="I19" s="28" t="s">
        <v>259</v>
      </c>
      <c r="J19" s="7" t="s">
        <v>1232</v>
      </c>
      <c r="K19" s="8" t="s">
        <v>1302</v>
      </c>
    </row>
    <row r="20" customFormat="false" ht="57.75" hidden="false" customHeight="true" outlineLevel="0" collapsed="false">
      <c r="A20" s="4" t="s">
        <v>261</v>
      </c>
      <c r="B20" s="6" t="s">
        <v>221</v>
      </c>
      <c r="C20" s="4" t="s">
        <v>1303</v>
      </c>
      <c r="D20" s="3" t="s">
        <v>58</v>
      </c>
      <c r="E20" s="6" t="s">
        <v>1304</v>
      </c>
      <c r="F20" s="4" t="s">
        <v>1305</v>
      </c>
      <c r="G20" s="4" t="s">
        <v>1306</v>
      </c>
      <c r="H20" s="4" t="s">
        <v>938</v>
      </c>
      <c r="I20" s="28" t="s">
        <v>259</v>
      </c>
      <c r="J20" s="3" t="s">
        <v>1307</v>
      </c>
      <c r="K20" s="4" t="s">
        <v>1308</v>
      </c>
    </row>
    <row r="21" customFormat="false" ht="57.75" hidden="false" customHeight="true" outlineLevel="0" collapsed="false">
      <c r="A21" s="8" t="s">
        <v>1309</v>
      </c>
      <c r="B21" s="9" t="s">
        <v>306</v>
      </c>
      <c r="C21" s="8" t="s">
        <v>320</v>
      </c>
      <c r="D21" s="7" t="s">
        <v>58</v>
      </c>
      <c r="E21" s="9" t="s">
        <v>1267</v>
      </c>
      <c r="F21" s="8" t="s">
        <v>1310</v>
      </c>
      <c r="G21" s="8" t="s">
        <v>1311</v>
      </c>
      <c r="H21" s="8" t="s">
        <v>1312</v>
      </c>
      <c r="I21" s="35" t="s">
        <v>247</v>
      </c>
      <c r="J21" s="7" t="s">
        <v>1232</v>
      </c>
      <c r="K21" s="8" t="s">
        <v>1313</v>
      </c>
    </row>
    <row r="22" customFormat="false" ht="57.75" hidden="false" customHeight="true" outlineLevel="0" collapsed="false">
      <c r="A22" s="4" t="s">
        <v>1314</v>
      </c>
      <c r="B22" s="6" t="s">
        <v>306</v>
      </c>
      <c r="C22" s="4" t="s">
        <v>118</v>
      </c>
      <c r="D22" s="3" t="s">
        <v>118</v>
      </c>
      <c r="E22" s="6" t="s">
        <v>1315</v>
      </c>
      <c r="F22" s="4" t="s">
        <v>1316</v>
      </c>
      <c r="G22" s="4" t="s">
        <v>1317</v>
      </c>
      <c r="H22" s="4" t="s">
        <v>1318</v>
      </c>
      <c r="I22" s="35" t="s">
        <v>247</v>
      </c>
      <c r="J22" s="3" t="s">
        <v>1232</v>
      </c>
      <c r="K22" s="4" t="s">
        <v>1319</v>
      </c>
    </row>
    <row r="23" customFormat="false" ht="57.75" hidden="false" customHeight="true" outlineLevel="0" collapsed="false">
      <c r="A23" s="8" t="s">
        <v>1320</v>
      </c>
      <c r="B23" s="9" t="s">
        <v>293</v>
      </c>
      <c r="C23" s="8" t="s">
        <v>1321</v>
      </c>
      <c r="D23" s="7" t="s">
        <v>58</v>
      </c>
      <c r="E23" s="9" t="s">
        <v>1322</v>
      </c>
      <c r="F23" s="8" t="s">
        <v>1323</v>
      </c>
      <c r="G23" s="8" t="s">
        <v>1324</v>
      </c>
      <c r="H23" s="8" t="s">
        <v>1325</v>
      </c>
      <c r="I23" s="28" t="s">
        <v>259</v>
      </c>
      <c r="J23" s="7" t="s">
        <v>1232</v>
      </c>
      <c r="K23" s="8" t="s">
        <v>1326</v>
      </c>
    </row>
    <row r="24" customFormat="false" ht="57.75" hidden="false" customHeight="true" outlineLevel="0" collapsed="false">
      <c r="A24" s="4" t="s">
        <v>1327</v>
      </c>
      <c r="B24" s="6" t="s">
        <v>293</v>
      </c>
      <c r="C24" s="4" t="s">
        <v>1328</v>
      </c>
      <c r="D24" s="3" t="s">
        <v>14</v>
      </c>
      <c r="E24" s="6" t="s">
        <v>1329</v>
      </c>
      <c r="F24" s="4" t="s">
        <v>1330</v>
      </c>
      <c r="G24" s="4" t="s">
        <v>1331</v>
      </c>
      <c r="H24" s="4" t="s">
        <v>1332</v>
      </c>
      <c r="I24" s="28" t="s">
        <v>259</v>
      </c>
      <c r="J24" s="3" t="s">
        <v>1232</v>
      </c>
      <c r="K24" s="4" t="s">
        <v>1333</v>
      </c>
    </row>
    <row r="25" customFormat="false" ht="57.75" hidden="false" customHeight="true" outlineLevel="0" collapsed="false">
      <c r="A25" s="8" t="s">
        <v>1334</v>
      </c>
      <c r="B25" s="9" t="s">
        <v>1335</v>
      </c>
      <c r="C25" s="8" t="s">
        <v>1321</v>
      </c>
      <c r="D25" s="7" t="s">
        <v>36</v>
      </c>
      <c r="E25" s="9" t="s">
        <v>1273</v>
      </c>
      <c r="F25" s="8" t="s">
        <v>1336</v>
      </c>
      <c r="G25" s="8" t="s">
        <v>1337</v>
      </c>
      <c r="H25" s="8" t="s">
        <v>1338</v>
      </c>
      <c r="I25" s="28" t="s">
        <v>259</v>
      </c>
      <c r="J25" s="7" t="s">
        <v>1220</v>
      </c>
      <c r="K25" s="8" t="s">
        <v>1339</v>
      </c>
    </row>
    <row r="26" customFormat="false" ht="57.75" hidden="false" customHeight="true" outlineLevel="0" collapsed="false">
      <c r="A26" s="4" t="s">
        <v>371</v>
      </c>
      <c r="B26" s="6" t="s">
        <v>360</v>
      </c>
      <c r="C26" s="4" t="s">
        <v>14</v>
      </c>
      <c r="D26" s="3" t="s">
        <v>14</v>
      </c>
      <c r="E26" s="6" t="s">
        <v>234</v>
      </c>
      <c r="F26" s="4" t="s">
        <v>1340</v>
      </c>
      <c r="G26" s="4" t="s">
        <v>1341</v>
      </c>
      <c r="H26" s="4" t="s">
        <v>1231</v>
      </c>
      <c r="I26" s="28" t="s">
        <v>259</v>
      </c>
      <c r="J26" s="3" t="s">
        <v>1220</v>
      </c>
      <c r="K26" s="4" t="s">
        <v>1342</v>
      </c>
    </row>
    <row r="27" customFormat="false" ht="57.75" hidden="false" customHeight="true" outlineLevel="0" collapsed="false">
      <c r="A27" s="8" t="s">
        <v>1343</v>
      </c>
      <c r="B27" s="9" t="s">
        <v>293</v>
      </c>
      <c r="C27" s="8" t="s">
        <v>1321</v>
      </c>
      <c r="D27" s="7" t="s">
        <v>58</v>
      </c>
      <c r="E27" s="9" t="s">
        <v>1344</v>
      </c>
      <c r="F27" s="8" t="s">
        <v>1345</v>
      </c>
      <c r="G27" s="8" t="s">
        <v>1346</v>
      </c>
      <c r="H27" s="8" t="s">
        <v>1244</v>
      </c>
      <c r="I27" s="30" t="s">
        <v>228</v>
      </c>
      <c r="J27" s="7" t="s">
        <v>1347</v>
      </c>
      <c r="K27" s="8" t="s">
        <v>1348</v>
      </c>
    </row>
    <row r="29" customFormat="false" ht="15" hidden="false" customHeight="false" outlineLevel="0" collapsed="false">
      <c r="A29" s="19" t="s">
        <v>1349</v>
      </c>
    </row>
  </sheetData>
  <autoFilter ref="A3:K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0"/>
  </cols>
  <sheetData>
    <row r="1" customFormat="false" ht="17.35" hidden="false" customHeight="false" outlineLevel="0" collapsed="false">
      <c r="A1" s="1" t="s">
        <v>1350</v>
      </c>
    </row>
    <row r="3" customFormat="false" ht="21.75" hidden="false" customHeight="true" outlineLevel="0" collapsed="false">
      <c r="A3" s="36" t="s">
        <v>1351</v>
      </c>
      <c r="B3" s="37"/>
    </row>
    <row r="4" customFormat="false" ht="25.5" hidden="false" customHeight="true" outlineLevel="0" collapsed="false">
      <c r="A4" s="38" t="s">
        <v>1352</v>
      </c>
      <c r="B4" s="39" t="s">
        <v>1353</v>
      </c>
    </row>
    <row r="5" customFormat="false" ht="25.5" hidden="false" customHeight="true" outlineLevel="0" collapsed="false">
      <c r="A5" s="38" t="s">
        <v>1354</v>
      </c>
      <c r="B5" s="39" t="s">
        <v>1355</v>
      </c>
    </row>
    <row r="6" customFormat="false" ht="25.5" hidden="false" customHeight="true" outlineLevel="0" collapsed="false">
      <c r="A6" s="38" t="s">
        <v>442</v>
      </c>
      <c r="B6" s="39" t="s">
        <v>1356</v>
      </c>
    </row>
    <row r="7" customFormat="false" ht="25.5" hidden="false" customHeight="true" outlineLevel="0" collapsed="false">
      <c r="A7" s="38" t="s">
        <v>1357</v>
      </c>
      <c r="B7" s="39" t="s">
        <v>1358</v>
      </c>
    </row>
    <row r="8" customFormat="false" ht="25.5" hidden="false" customHeight="true" outlineLevel="0" collapsed="false">
      <c r="A8" s="38" t="s">
        <v>1359</v>
      </c>
      <c r="B8" s="39" t="s">
        <v>1360</v>
      </c>
    </row>
    <row r="9" customFormat="false" ht="25.5" hidden="false" customHeight="true" outlineLevel="0" collapsed="false">
      <c r="A9" s="38" t="s">
        <v>1361</v>
      </c>
      <c r="B9" s="39" t="s">
        <v>1362</v>
      </c>
    </row>
    <row r="10" customFormat="false" ht="25.5" hidden="false" customHeight="true" outlineLevel="0" collapsed="false">
      <c r="A10" s="38" t="s">
        <v>1363</v>
      </c>
      <c r="B10" s="39" t="s">
        <v>1364</v>
      </c>
    </row>
    <row r="11" customFormat="false" ht="25.5" hidden="false" customHeight="true" outlineLevel="0" collapsed="false">
      <c r="A11" s="38" t="s">
        <v>1365</v>
      </c>
      <c r="B11" s="39" t="s">
        <v>1366</v>
      </c>
    </row>
    <row r="12" customFormat="false" ht="25.5" hidden="false" customHeight="true" outlineLevel="0" collapsed="false">
      <c r="A12" s="38" t="s">
        <v>1367</v>
      </c>
      <c r="B12" s="39" t="s">
        <v>1368</v>
      </c>
    </row>
    <row r="13" customFormat="false" ht="25.5" hidden="false" customHeight="true" outlineLevel="0" collapsed="false">
      <c r="A13" s="38" t="s">
        <v>1369</v>
      </c>
      <c r="B13" s="39" t="s">
        <v>1370</v>
      </c>
    </row>
    <row r="14" customFormat="false" ht="39" hidden="false" customHeight="true" outlineLevel="0" collapsed="false">
      <c r="A14" s="38" t="s">
        <v>1371</v>
      </c>
      <c r="B14" s="39" t="s">
        <v>1372</v>
      </c>
    </row>
    <row r="15" customFormat="false" ht="39" hidden="false" customHeight="true" outlineLevel="0" collapsed="false">
      <c r="A15" s="38" t="s">
        <v>1373</v>
      </c>
      <c r="B15" s="39" t="s">
        <v>1374</v>
      </c>
    </row>
    <row r="16" customFormat="false" ht="25.5" hidden="false" customHeight="true" outlineLevel="0" collapsed="false">
      <c r="A16" s="38" t="s">
        <v>1375</v>
      </c>
      <c r="B16" s="39" t="s">
        <v>1376</v>
      </c>
    </row>
    <row r="17" customFormat="false" ht="39" hidden="false" customHeight="true" outlineLevel="0" collapsed="false">
      <c r="A17" s="38" t="s">
        <v>1377</v>
      </c>
      <c r="B17" s="39" t="s">
        <v>1378</v>
      </c>
    </row>
    <row r="18" customFormat="false" ht="25.5" hidden="false" customHeight="true" outlineLevel="0" collapsed="false">
      <c r="A18" s="38" t="s">
        <v>1379</v>
      </c>
      <c r="B18" s="39" t="s">
        <v>1380</v>
      </c>
    </row>
    <row r="19" customFormat="false" ht="25.5" hidden="false" customHeight="true" outlineLevel="0" collapsed="false">
      <c r="A19" s="38" t="s">
        <v>1381</v>
      </c>
      <c r="B19" s="39" t="s">
        <v>1382</v>
      </c>
    </row>
    <row r="20" customFormat="false" ht="39" hidden="false" customHeight="true" outlineLevel="0" collapsed="false">
      <c r="A20" s="38" t="s">
        <v>1383</v>
      </c>
      <c r="B20" s="39" t="s">
        <v>1384</v>
      </c>
    </row>
    <row r="22" customFormat="false" ht="21.75" hidden="false" customHeight="true" outlineLevel="0" collapsed="false">
      <c r="A22" s="36" t="s">
        <v>1385</v>
      </c>
      <c r="B22" s="37"/>
    </row>
    <row r="23" customFormat="false" ht="25.5" hidden="false" customHeight="true" outlineLevel="0" collapsed="false">
      <c r="A23" s="38" t="s">
        <v>1352</v>
      </c>
      <c r="B23" s="39" t="s">
        <v>1386</v>
      </c>
    </row>
    <row r="24" customFormat="false" ht="25.5" hidden="false" customHeight="true" outlineLevel="0" collapsed="false">
      <c r="A24" s="38" t="s">
        <v>1354</v>
      </c>
      <c r="B24" s="39" t="s">
        <v>1387</v>
      </c>
    </row>
    <row r="25" customFormat="false" ht="25.5" hidden="false" customHeight="true" outlineLevel="0" collapsed="false">
      <c r="A25" s="38" t="s">
        <v>442</v>
      </c>
      <c r="B25" s="39" t="s">
        <v>1388</v>
      </c>
    </row>
    <row r="26" customFormat="false" ht="25.5" hidden="false" customHeight="true" outlineLevel="0" collapsed="false">
      <c r="A26" s="38" t="s">
        <v>1357</v>
      </c>
      <c r="B26" s="39" t="s">
        <v>1389</v>
      </c>
    </row>
    <row r="27" customFormat="false" ht="25.5" hidden="false" customHeight="true" outlineLevel="0" collapsed="false">
      <c r="A27" s="38" t="s">
        <v>1359</v>
      </c>
      <c r="B27" s="39" t="s">
        <v>1390</v>
      </c>
    </row>
    <row r="28" customFormat="false" ht="25.5" hidden="false" customHeight="true" outlineLevel="0" collapsed="false">
      <c r="A28" s="38" t="s">
        <v>1361</v>
      </c>
      <c r="B28" s="39" t="s">
        <v>1391</v>
      </c>
    </row>
    <row r="29" customFormat="false" ht="25.5" hidden="false" customHeight="true" outlineLevel="0" collapsed="false">
      <c r="A29" s="38" t="s">
        <v>1363</v>
      </c>
      <c r="B29" s="39" t="s">
        <v>1392</v>
      </c>
    </row>
    <row r="30" customFormat="false" ht="25.5" hidden="false" customHeight="true" outlineLevel="0" collapsed="false">
      <c r="A30" s="38" t="s">
        <v>1365</v>
      </c>
      <c r="B30" s="39" t="s">
        <v>1393</v>
      </c>
    </row>
    <row r="31" customFormat="false" ht="25.5" hidden="false" customHeight="true" outlineLevel="0" collapsed="false">
      <c r="A31" s="38" t="s">
        <v>1367</v>
      </c>
      <c r="B31" s="39" t="s">
        <v>1394</v>
      </c>
    </row>
    <row r="32" customFormat="false" ht="25.5" hidden="false" customHeight="true" outlineLevel="0" collapsed="false">
      <c r="A32" s="38" t="s">
        <v>1369</v>
      </c>
      <c r="B32" s="39" t="s">
        <v>1395</v>
      </c>
    </row>
    <row r="33" customFormat="false" ht="39" hidden="false" customHeight="true" outlineLevel="0" collapsed="false">
      <c r="A33" s="38" t="s">
        <v>1371</v>
      </c>
      <c r="B33" s="39" t="s">
        <v>1396</v>
      </c>
    </row>
    <row r="34" customFormat="false" ht="25.5" hidden="false" customHeight="true" outlineLevel="0" collapsed="false">
      <c r="A34" s="38" t="s">
        <v>1373</v>
      </c>
      <c r="B34" s="39" t="s">
        <v>1397</v>
      </c>
    </row>
    <row r="35" customFormat="false" ht="25.5" hidden="false" customHeight="true" outlineLevel="0" collapsed="false">
      <c r="A35" s="38" t="s">
        <v>1375</v>
      </c>
      <c r="B35" s="39" t="s">
        <v>1398</v>
      </c>
    </row>
    <row r="36" customFormat="false" ht="25.5" hidden="false" customHeight="true" outlineLevel="0" collapsed="false">
      <c r="A36" s="38" t="s">
        <v>1377</v>
      </c>
      <c r="B36" s="39" t="s">
        <v>1399</v>
      </c>
    </row>
    <row r="37" customFormat="false" ht="25.5" hidden="false" customHeight="true" outlineLevel="0" collapsed="false">
      <c r="A37" s="38" t="s">
        <v>1379</v>
      </c>
      <c r="B37" s="39" t="s">
        <v>1400</v>
      </c>
    </row>
    <row r="38" customFormat="false" ht="25.5" hidden="false" customHeight="true" outlineLevel="0" collapsed="false">
      <c r="A38" s="38" t="s">
        <v>1381</v>
      </c>
      <c r="B38" s="39" t="s">
        <v>1401</v>
      </c>
    </row>
    <row r="39" customFormat="false" ht="25.5" hidden="false" customHeight="true" outlineLevel="0" collapsed="false">
      <c r="A39" s="38" t="s">
        <v>1383</v>
      </c>
      <c r="B39" s="39" t="s">
        <v>1402</v>
      </c>
    </row>
    <row r="41" customFormat="false" ht="21.75" hidden="false" customHeight="true" outlineLevel="0" collapsed="false">
      <c r="A41" s="36" t="s">
        <v>1403</v>
      </c>
      <c r="B41" s="37"/>
    </row>
    <row r="42" customFormat="false" ht="25.5" hidden="false" customHeight="true" outlineLevel="0" collapsed="false">
      <c r="A42" s="38" t="s">
        <v>1352</v>
      </c>
      <c r="B42" s="39" t="s">
        <v>1404</v>
      </c>
    </row>
    <row r="43" customFormat="false" ht="25.5" hidden="false" customHeight="true" outlineLevel="0" collapsed="false">
      <c r="A43" s="38" t="s">
        <v>1354</v>
      </c>
      <c r="B43" s="39" t="s">
        <v>1405</v>
      </c>
    </row>
    <row r="44" customFormat="false" ht="25.5" hidden="false" customHeight="true" outlineLevel="0" collapsed="false">
      <c r="A44" s="38" t="s">
        <v>442</v>
      </c>
      <c r="B44" s="39" t="s">
        <v>1406</v>
      </c>
    </row>
    <row r="45" customFormat="false" ht="25.5" hidden="false" customHeight="true" outlineLevel="0" collapsed="false">
      <c r="A45" s="38" t="s">
        <v>1357</v>
      </c>
      <c r="B45" s="39" t="s">
        <v>1407</v>
      </c>
    </row>
    <row r="46" customFormat="false" ht="25.5" hidden="false" customHeight="true" outlineLevel="0" collapsed="false">
      <c r="A46" s="38" t="s">
        <v>1359</v>
      </c>
      <c r="B46" s="39" t="s">
        <v>1408</v>
      </c>
    </row>
    <row r="47" customFormat="false" ht="25.5" hidden="false" customHeight="true" outlineLevel="0" collapsed="false">
      <c r="A47" s="38" t="s">
        <v>1361</v>
      </c>
      <c r="B47" s="39" t="s">
        <v>1409</v>
      </c>
    </row>
    <row r="48" customFormat="false" ht="25.5" hidden="false" customHeight="true" outlineLevel="0" collapsed="false">
      <c r="A48" s="38" t="s">
        <v>1363</v>
      </c>
      <c r="B48" s="39" t="s">
        <v>1410</v>
      </c>
    </row>
    <row r="49" customFormat="false" ht="25.5" hidden="false" customHeight="true" outlineLevel="0" collapsed="false">
      <c r="A49" s="38" t="s">
        <v>1365</v>
      </c>
      <c r="B49" s="39" t="s">
        <v>1411</v>
      </c>
    </row>
    <row r="50" customFormat="false" ht="25.5" hidden="false" customHeight="true" outlineLevel="0" collapsed="false">
      <c r="A50" s="38" t="s">
        <v>1367</v>
      </c>
      <c r="B50" s="39" t="s">
        <v>1412</v>
      </c>
    </row>
    <row r="51" customFormat="false" ht="25.5" hidden="false" customHeight="true" outlineLevel="0" collapsed="false">
      <c r="A51" s="38" t="s">
        <v>1369</v>
      </c>
      <c r="B51" s="39" t="s">
        <v>1413</v>
      </c>
    </row>
    <row r="52" customFormat="false" ht="25.5" hidden="false" customHeight="true" outlineLevel="0" collapsed="false">
      <c r="A52" s="38" t="s">
        <v>1371</v>
      </c>
      <c r="B52" s="39" t="s">
        <v>1414</v>
      </c>
    </row>
    <row r="53" customFormat="false" ht="25.5" hidden="false" customHeight="true" outlineLevel="0" collapsed="false">
      <c r="A53" s="38" t="s">
        <v>1373</v>
      </c>
      <c r="B53" s="39" t="s">
        <v>1415</v>
      </c>
    </row>
    <row r="54" customFormat="false" ht="25.5" hidden="false" customHeight="true" outlineLevel="0" collapsed="false">
      <c r="A54" s="38" t="s">
        <v>1375</v>
      </c>
      <c r="B54" s="39" t="s">
        <v>1416</v>
      </c>
    </row>
    <row r="55" customFormat="false" ht="25.5" hidden="false" customHeight="true" outlineLevel="0" collapsed="false">
      <c r="A55" s="38" t="s">
        <v>1377</v>
      </c>
      <c r="B55" s="39" t="s">
        <v>1417</v>
      </c>
    </row>
    <row r="56" customFormat="false" ht="25.5" hidden="false" customHeight="true" outlineLevel="0" collapsed="false">
      <c r="A56" s="38" t="s">
        <v>1379</v>
      </c>
      <c r="B56" s="39" t="s">
        <v>1418</v>
      </c>
    </row>
    <row r="57" customFormat="false" ht="25.5" hidden="false" customHeight="true" outlineLevel="0" collapsed="false">
      <c r="A57" s="38" t="s">
        <v>1381</v>
      </c>
      <c r="B57" s="39" t="s">
        <v>1419</v>
      </c>
    </row>
    <row r="58" customFormat="false" ht="25.5" hidden="false" customHeight="true" outlineLevel="0" collapsed="false">
      <c r="A58" s="38" t="s">
        <v>1383</v>
      </c>
      <c r="B58" s="39" t="s">
        <v>1420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30"/>
  </cols>
  <sheetData>
    <row r="1" customFormat="false" ht="17.35" hidden="false" customHeight="false" outlineLevel="0" collapsed="false">
      <c r="A1" s="1" t="s">
        <v>1421</v>
      </c>
    </row>
    <row r="3" customFormat="false" ht="15" hidden="false" customHeight="false" outlineLevel="0" collapsed="false">
      <c r="A3" s="2" t="s">
        <v>1422</v>
      </c>
      <c r="B3" s="2" t="s">
        <v>1423</v>
      </c>
      <c r="C3" s="2" t="s">
        <v>1424</v>
      </c>
    </row>
    <row r="4" customFormat="false" ht="27.75" hidden="false" customHeight="true" outlineLevel="0" collapsed="false">
      <c r="A4" s="40" t="s">
        <v>1425</v>
      </c>
      <c r="B4" s="41" t="n">
        <v>20</v>
      </c>
      <c r="C4" s="39" t="s">
        <v>1426</v>
      </c>
    </row>
    <row r="5" customFormat="false" ht="39" hidden="false" customHeight="true" outlineLevel="0" collapsed="false">
      <c r="A5" s="40" t="s">
        <v>89</v>
      </c>
      <c r="B5" s="41" t="n">
        <v>15</v>
      </c>
      <c r="C5" s="39" t="s">
        <v>1427</v>
      </c>
    </row>
    <row r="6" customFormat="false" ht="27.75" hidden="false" customHeight="true" outlineLevel="0" collapsed="false">
      <c r="A6" s="40" t="s">
        <v>209</v>
      </c>
      <c r="B6" s="41" t="n">
        <v>15</v>
      </c>
      <c r="C6" s="39" t="s">
        <v>1428</v>
      </c>
    </row>
    <row r="7" customFormat="false" ht="27.75" hidden="false" customHeight="true" outlineLevel="0" collapsed="false">
      <c r="A7" s="40" t="s">
        <v>1429</v>
      </c>
      <c r="B7" s="41" t="n">
        <v>15</v>
      </c>
      <c r="C7" s="39" t="s">
        <v>1430</v>
      </c>
    </row>
    <row r="8" customFormat="false" ht="27.75" hidden="false" customHeight="true" outlineLevel="0" collapsed="false">
      <c r="A8" s="40" t="s">
        <v>1431</v>
      </c>
      <c r="B8" s="41" t="n">
        <v>10</v>
      </c>
      <c r="C8" s="39" t="s">
        <v>1432</v>
      </c>
    </row>
    <row r="9" customFormat="false" ht="27.75" hidden="false" customHeight="true" outlineLevel="0" collapsed="false">
      <c r="A9" s="40" t="s">
        <v>1433</v>
      </c>
      <c r="B9" s="41" t="n">
        <v>10</v>
      </c>
      <c r="C9" s="39" t="s">
        <v>1434</v>
      </c>
    </row>
    <row r="10" customFormat="false" ht="27.75" hidden="false" customHeight="true" outlineLevel="0" collapsed="false">
      <c r="A10" s="40" t="s">
        <v>100</v>
      </c>
      <c r="B10" s="41" t="n">
        <v>5</v>
      </c>
      <c r="C10" s="39" t="s">
        <v>1435</v>
      </c>
    </row>
    <row r="11" customFormat="false" ht="27.75" hidden="false" customHeight="true" outlineLevel="0" collapsed="false">
      <c r="A11" s="40" t="s">
        <v>99</v>
      </c>
      <c r="B11" s="41" t="n">
        <v>5</v>
      </c>
      <c r="C11" s="39" t="s">
        <v>1436</v>
      </c>
    </row>
    <row r="12" customFormat="false" ht="27.75" hidden="false" customHeight="true" outlineLevel="0" collapsed="false">
      <c r="A12" s="40" t="s">
        <v>1437</v>
      </c>
      <c r="B12" s="41" t="n">
        <v>3</v>
      </c>
      <c r="C12" s="39" t="s">
        <v>1438</v>
      </c>
    </row>
    <row r="13" customFormat="false" ht="27.75" hidden="false" customHeight="true" outlineLevel="0" collapsed="false">
      <c r="A13" s="40" t="s">
        <v>1439</v>
      </c>
      <c r="B13" s="41" t="n">
        <v>2</v>
      </c>
      <c r="C13" s="39" t="s">
        <v>1440</v>
      </c>
    </row>
    <row r="14" customFormat="false" ht="15" hidden="false" customHeight="false" outlineLevel="0" collapsed="false">
      <c r="A14" s="42" t="s">
        <v>1441</v>
      </c>
      <c r="B14" s="43" t="n">
        <f aca="false">SUM(B4:B13)</f>
        <v>100</v>
      </c>
      <c r="C14" s="44"/>
    </row>
    <row r="17" customFormat="false" ht="15" hidden="false" customHeight="false" outlineLevel="0" collapsed="false">
      <c r="A17" s="12" t="s">
        <v>1442</v>
      </c>
    </row>
    <row r="18" customFormat="false" ht="15" hidden="false" customHeight="false" outlineLevel="0" collapsed="false">
      <c r="A18" s="45" t="s">
        <v>1443</v>
      </c>
      <c r="B18" s="45" t="s">
        <v>1444</v>
      </c>
      <c r="C18" s="45" t="s">
        <v>1445</v>
      </c>
    </row>
    <row r="19" customFormat="false" ht="25.5" hidden="false" customHeight="true" outlineLevel="0" collapsed="false">
      <c r="A19" s="46" t="s">
        <v>1446</v>
      </c>
      <c r="B19" s="47" t="n">
        <v>1790</v>
      </c>
      <c r="C19" s="48" t="s">
        <v>1447</v>
      </c>
    </row>
    <row r="20" customFormat="false" ht="25.5" hidden="false" customHeight="true" outlineLevel="0" collapsed="false">
      <c r="A20" s="46" t="s">
        <v>1448</v>
      </c>
      <c r="B20" s="47" t="n">
        <v>340</v>
      </c>
      <c r="C20" s="48" t="s">
        <v>1449</v>
      </c>
    </row>
    <row r="21" customFormat="false" ht="25.5" hidden="false" customHeight="true" outlineLevel="0" collapsed="false">
      <c r="A21" s="46" t="s">
        <v>1450</v>
      </c>
      <c r="B21" s="49" t="n">
        <v>0.25</v>
      </c>
      <c r="C21" s="48" t="s">
        <v>1451</v>
      </c>
    </row>
    <row r="22" customFormat="false" ht="25.5" hidden="false" customHeight="true" outlineLevel="0" collapsed="false">
      <c r="A22" s="46" t="s">
        <v>1452</v>
      </c>
      <c r="B22" s="50" t="n">
        <f aca="false">B20*(1+B21*0.2)</f>
        <v>357</v>
      </c>
      <c r="C22" s="48" t="s">
        <v>1453</v>
      </c>
    </row>
    <row r="23" customFormat="false" ht="25.5" hidden="false" customHeight="true" outlineLevel="0" collapsed="false">
      <c r="A23" s="46" t="s">
        <v>1454</v>
      </c>
      <c r="B23" s="47" t="n">
        <v>280</v>
      </c>
      <c r="C23" s="48" t="s">
        <v>1455</v>
      </c>
    </row>
    <row r="24" customFormat="false" ht="25.5" hidden="false" customHeight="true" outlineLevel="0" collapsed="false">
      <c r="A24" s="46" t="s">
        <v>1456</v>
      </c>
      <c r="B24" s="47" t="n">
        <v>200</v>
      </c>
      <c r="C24" s="48" t="s">
        <v>1457</v>
      </c>
    </row>
    <row r="25" customFormat="false" ht="25.5" hidden="false" customHeight="true" outlineLevel="0" collapsed="false">
      <c r="A25" s="46" t="s">
        <v>1458</v>
      </c>
      <c r="B25" s="47" t="n">
        <v>150</v>
      </c>
      <c r="C25" s="48" t="s">
        <v>1459</v>
      </c>
    </row>
    <row r="26" customFormat="false" ht="25.5" hidden="false" customHeight="true" outlineLevel="0" collapsed="false">
      <c r="A26" s="46" t="s">
        <v>1460</v>
      </c>
      <c r="B26" s="47" t="n">
        <v>35</v>
      </c>
      <c r="C26" s="48" t="s">
        <v>1461</v>
      </c>
    </row>
    <row r="27" customFormat="false" ht="25.5" hidden="false" customHeight="true" outlineLevel="0" collapsed="false">
      <c r="A27" s="46" t="s">
        <v>1462</v>
      </c>
      <c r="B27" s="50" t="n">
        <f aca="false">B23/(1-B21)+B24*B21/(1-B21)+B25+B26/(1-B21)</f>
        <v>636.666666666667</v>
      </c>
      <c r="C27" s="48" t="s">
        <v>1463</v>
      </c>
    </row>
    <row r="28" customFormat="false" ht="25.5" hidden="false" customHeight="true" outlineLevel="0" collapsed="false">
      <c r="A28" s="46" t="s">
        <v>1464</v>
      </c>
      <c r="B28" s="49" t="n">
        <v>0.04</v>
      </c>
      <c r="C28" s="48" t="s">
        <v>1465</v>
      </c>
    </row>
    <row r="29" customFormat="false" ht="25.5" hidden="false" customHeight="true" outlineLevel="0" collapsed="false">
      <c r="A29" s="46" t="s">
        <v>1466</v>
      </c>
      <c r="B29" s="50" t="n">
        <f aca="false">B19*(1-B28)</f>
        <v>1718.4</v>
      </c>
      <c r="C29" s="48" t="s">
        <v>18</v>
      </c>
    </row>
    <row r="30" customFormat="false" ht="25.5" hidden="false" customHeight="true" outlineLevel="0" collapsed="false">
      <c r="A30" s="51" t="s">
        <v>1467</v>
      </c>
      <c r="B30" s="52" t="n">
        <f aca="false">B29-B27-B22</f>
        <v>724.733333333333</v>
      </c>
      <c r="C30" s="48" t="s">
        <v>1468</v>
      </c>
    </row>
    <row r="31" customFormat="false" ht="25.5" hidden="false" customHeight="true" outlineLevel="0" collapsed="false">
      <c r="A31" s="51" t="s">
        <v>1469</v>
      </c>
      <c r="B31" s="53" t="n">
        <f aca="false">IF(B19=0,0,B30/B19)</f>
        <v>0.40487895716946</v>
      </c>
      <c r="C31" s="48" t="s">
        <v>18</v>
      </c>
    </row>
    <row r="32" customFormat="false" ht="25.5" hidden="false" customHeight="true" outlineLevel="0" collapsed="false">
      <c r="A32" s="46" t="s">
        <v>1470</v>
      </c>
      <c r="B32" s="47" t="n">
        <v>600</v>
      </c>
      <c r="C32" s="48" t="s">
        <v>1471</v>
      </c>
    </row>
    <row r="33" customFormat="false" ht="25.5" hidden="false" customHeight="true" outlineLevel="0" collapsed="false">
      <c r="A33" s="51" t="s">
        <v>1472</v>
      </c>
      <c r="B33" s="52" t="n">
        <f aca="false">B30-B32</f>
        <v>124.733333333333</v>
      </c>
      <c r="C33" s="48" t="s">
        <v>1473</v>
      </c>
    </row>
    <row r="34" customFormat="false" ht="25.5" hidden="false" customHeight="true" outlineLevel="0" collapsed="false">
      <c r="A34" s="51" t="s">
        <v>1474</v>
      </c>
      <c r="B34" s="52" t="n">
        <f aca="false">(B19*3*(1-B28))-B27-(B22*3)-B32</f>
        <v>2847.53333333333</v>
      </c>
      <c r="C34" s="48" t="s">
        <v>1475</v>
      </c>
    </row>
    <row r="36" customFormat="false" ht="15" hidden="false" customHeight="false" outlineLevel="0" collapsed="false">
      <c r="A36" s="19" t="s">
        <v>1476</v>
      </c>
    </row>
    <row r="39" customFormat="false" ht="15" hidden="false" customHeight="false" outlineLevel="0" collapsed="false">
      <c r="A39" s="12" t="s">
        <v>1477</v>
      </c>
    </row>
    <row r="40" customFormat="false" ht="19.5" hidden="false" customHeight="true" outlineLevel="0" collapsed="false">
      <c r="A40" s="54" t="s">
        <v>1478</v>
      </c>
      <c r="B40" s="44"/>
      <c r="C40" s="55"/>
    </row>
    <row r="41" customFormat="false" ht="25.5" hidden="false" customHeight="true" outlineLevel="0" collapsed="false">
      <c r="A41" s="34" t="s">
        <v>230</v>
      </c>
      <c r="C41" s="56" t="s">
        <v>1479</v>
      </c>
    </row>
    <row r="42" customFormat="false" ht="25.5" hidden="false" customHeight="true" outlineLevel="0" collapsed="false">
      <c r="A42" s="34" t="s">
        <v>1480</v>
      </c>
      <c r="C42" s="56" t="s">
        <v>1481</v>
      </c>
    </row>
    <row r="43" customFormat="false" ht="19.5" hidden="false" customHeight="true" outlineLevel="0" collapsed="false">
      <c r="A43" s="34" t="s">
        <v>18</v>
      </c>
      <c r="C43" s="56" t="s">
        <v>1482</v>
      </c>
    </row>
    <row r="44" customFormat="false" ht="19.5" hidden="false" customHeight="true" outlineLevel="0" collapsed="false">
      <c r="A44" s="34" t="s">
        <v>1483</v>
      </c>
      <c r="C44" s="56" t="s">
        <v>1484</v>
      </c>
    </row>
    <row r="45" customFormat="false" ht="19.5" hidden="false" customHeight="true" outlineLevel="0" collapsed="false">
      <c r="A45" s="34"/>
      <c r="C45" s="56"/>
    </row>
    <row r="46" customFormat="false" ht="19.5" hidden="false" customHeight="true" outlineLevel="0" collapsed="false">
      <c r="A46" s="54" t="s">
        <v>1485</v>
      </c>
      <c r="B46" s="44"/>
      <c r="C46" s="55"/>
    </row>
    <row r="47" customFormat="false" ht="25.5" hidden="false" customHeight="true" outlineLevel="0" collapsed="false">
      <c r="A47" s="34" t="s">
        <v>1486</v>
      </c>
      <c r="C47" s="56" t="s">
        <v>1487</v>
      </c>
    </row>
    <row r="48" customFormat="false" ht="25.5" hidden="false" customHeight="true" outlineLevel="0" collapsed="false">
      <c r="A48" s="34" t="s">
        <v>1488</v>
      </c>
      <c r="C48" s="56" t="s">
        <v>1489</v>
      </c>
    </row>
    <row r="49" customFormat="false" ht="25.5" hidden="false" customHeight="true" outlineLevel="0" collapsed="false">
      <c r="A49" s="34" t="s">
        <v>1490</v>
      </c>
      <c r="C49" s="56" t="s">
        <v>1491</v>
      </c>
    </row>
    <row r="50" customFormat="false" ht="19.5" hidden="false" customHeight="true" outlineLevel="0" collapsed="false">
      <c r="A50" s="34" t="s">
        <v>1492</v>
      </c>
      <c r="C50" s="56" t="s">
        <v>1493</v>
      </c>
    </row>
    <row r="51" customFormat="false" ht="25.5" hidden="false" customHeight="true" outlineLevel="0" collapsed="false">
      <c r="A51" s="34" t="s">
        <v>1494</v>
      </c>
      <c r="C51" s="56" t="s">
        <v>1495</v>
      </c>
    </row>
    <row r="52" customFormat="false" ht="19.5" hidden="false" customHeight="true" outlineLevel="0" collapsed="false">
      <c r="A52" s="34"/>
      <c r="C52" s="56"/>
    </row>
    <row r="53" customFormat="false" ht="19.5" hidden="false" customHeight="true" outlineLevel="0" collapsed="false">
      <c r="A53" s="54" t="s">
        <v>1496</v>
      </c>
      <c r="B53" s="44"/>
      <c r="C53" s="55"/>
    </row>
    <row r="54" customFormat="false" ht="25.5" hidden="false" customHeight="true" outlineLevel="0" collapsed="false">
      <c r="A54" s="34" t="s">
        <v>1497</v>
      </c>
      <c r="C54" s="56" t="s">
        <v>1498</v>
      </c>
    </row>
    <row r="55" customFormat="false" ht="25.5" hidden="false" customHeight="true" outlineLevel="0" collapsed="false">
      <c r="A55" s="34" t="s">
        <v>1499</v>
      </c>
      <c r="C55" s="56" t="s">
        <v>1500</v>
      </c>
    </row>
    <row r="56" customFormat="false" ht="25.5" hidden="false" customHeight="true" outlineLevel="0" collapsed="false">
      <c r="A56" s="34" t="s">
        <v>1501</v>
      </c>
      <c r="C56" s="56" t="s">
        <v>1502</v>
      </c>
    </row>
    <row r="57" customFormat="false" ht="25.5" hidden="false" customHeight="true" outlineLevel="0" collapsed="false">
      <c r="A57" s="34" t="s">
        <v>1503</v>
      </c>
      <c r="C57" s="56" t="s">
        <v>1504</v>
      </c>
    </row>
    <row r="58" customFormat="false" ht="39" hidden="false" customHeight="true" outlineLevel="0" collapsed="false">
      <c r="A58" s="34" t="s">
        <v>1505</v>
      </c>
      <c r="C58" s="56" t="s">
        <v>1506</v>
      </c>
    </row>
    <row r="59" customFormat="false" ht="25.5" hidden="false" customHeight="true" outlineLevel="0" collapsed="false">
      <c r="A59" s="34" t="s">
        <v>1507</v>
      </c>
      <c r="C59" s="56" t="s">
        <v>1508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2026-08-17T07:15:44Z</dcterms:created>
  <dc:creator>openpyxl</dc:creator>
  <dc:description/>
  <dc:language>en-US</dc:language>
  <cp:lastModifiedBy/>
  <dcterms:modified xsi:type="dcterms:W3CDTF">2026-08-17T07:15:44Z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