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9215ea084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2f181b0f7d044ce"/>
    <x:sheet xmlns:r="http://schemas.openxmlformats.org/officeDocument/2006/relationships" name="Formula V1" sheetId="2" r:id="Rf675b962674d484b"/>
    <x:sheet xmlns:r="http://schemas.openxmlformats.org/officeDocument/2006/relationships" name="Evidence Map" sheetId="3" r:id="R97685346ee6f430e"/>
    <x:sheet xmlns:r="http://schemas.openxmlformats.org/officeDocument/2006/relationships" name="Current Formula Review" sheetId="4" r:id="Rba7925ec222f4f88"/>
    <x:sheet xmlns:r="http://schemas.openxmlformats.org/officeDocument/2006/relationships" name="Claims &amp; Testing" sheetId="5" r:id="R88dafe157a1f46c3"/>
    <x:sheet xmlns:r="http://schemas.openxmlformats.org/officeDocument/2006/relationships" name="Sources" sheetId="6" r:id="R99b65fc606e7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0" fontId="0" fillId="0" borderId="0" xfId="0" applyNumberFormat="1" applyFont="1" applyFill="1" applyBorder="1"/>
    <x:xf numFmtId="200" fontId="3" fillId="6" borderId="0" xfId="0" applyNumberFormat="1" applyFont="1" applyFill="1" applyBorder="1"/>
    <x:xf numFmtId="200" fontId="0" fillId="0" borderId="1" xfId="0" applyNumberFormat="1" applyFont="1" applyFill="1" applyBorder="1"/>
    <x:xf numFmtId="200" fontId="3" fillId="6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efa76ea784719" /><Relationship Type="http://schemas.openxmlformats.org/officeDocument/2006/relationships/theme" Target="/xl/theme/theme1.xml" Id="Reea53db7f08d4ee9" /><Relationship Type="http://schemas.openxmlformats.org/officeDocument/2006/relationships/sharedStrings" Target="/xl/sharedStrings.xml" Id="Rd91c5819965544c3" /><Relationship Type="http://schemas.openxmlformats.org/officeDocument/2006/relationships/worksheet" Target="/xl/worksheets/sheet1.xml" Id="R52f181b0f7d044ce" /><Relationship Type="http://schemas.openxmlformats.org/officeDocument/2006/relationships/worksheet" Target="/xl/worksheets/sheet2.xml" Id="Rf675b962674d484b" /><Relationship Type="http://schemas.openxmlformats.org/officeDocument/2006/relationships/worksheet" Target="/xl/worksheets/sheet3.xml" Id="R97685346ee6f430e" /><Relationship Type="http://schemas.openxmlformats.org/officeDocument/2006/relationships/worksheet" Target="/xl/worksheets/sheet4.xml" Id="Rba7925ec222f4f88" /><Relationship Type="http://schemas.openxmlformats.org/officeDocument/2006/relationships/worksheet" Target="/xl/worksheets/sheet5.xml" Id="R88dafe157a1f46c3" /><Relationship Type="http://schemas.openxmlformats.org/officeDocument/2006/relationships/worksheet" Target="/xl/worksheets/sheet6.xml" Id="R99b65fc606e740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d9dee3824a49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Formula architecture</a:t>
            </a:r>
          </a:p>
        </c:rich>
      </c:tx>
    </c:title>
    <c:plotArea>
      <c:pieChart>
        <c:ser>
          <c:idx val="0"/>
          <c:order val="0"/>
          <c:tx>
            <c:v>%</c:v>
          </c:tx>
          <c:cat>
            <c:strRef>
              <c:f>'Formula V1'!$H$7:$H$9</c:f>
              <c:strCache>
                <c:ptCount val="0"/>
              </c:strCache>
            </c:strRef>
          </c:cat>
          <c:val>
            <c:numRef>
              <c:f>'Formula V1'!$I$7:$I$9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9dee3824a49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bbbe8a23acb477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4" t="str">
        <x:v>JL COLLECTION — Hair Treatment Oil Deep Research &amp; Prototype Formula</x:v>
      </x:c>
    </x:row>
    <x:row r="3">
      <x:c r="A3" s="16" t="str">
        <x:v>Decision</x:v>
      </x:c>
      <x:c r="B3" s="16" t="str">
        <x:v>Recommendation</x:v>
      </x:c>
    </x:row>
    <x:row r="4">
      <x:c r="A4" s="17" t="str">
        <x:v>Product architecture</x:v>
      </x:c>
      <x:c r="B4" s="18" t="str">
        <x:v>Build a lightweight anhydrous scalp + hair treatment oil, not a traditional heavy oil blend.</x:v>
      </x:c>
    </x:row>
    <x:row r="5">
      <x:c r="A5" s="17" t="str">
        <x:v>Best evidence-aligned hero ingredients</x:v>
      </x:c>
      <x:c r="B5" s="18" t="str">
        <x:v>Rosemary essential oil + pumpkin seed oil for growth-support positioning; coconut oil for hair-shaft protection.</x:v>
      </x:c>
    </x:row>
    <x:row r="6">
      <x:c r="A6" s="17" t="str">
        <x:v>Best sensory solution</x:v>
      </x:c>
      <x:c r="B6" s="18" t="str">
        <x:v>Use a modern light base (C13-15 alkane + CCT + coco-caprylate/caprate + squalane) so botanicals do not make the product greasy.</x:v>
      </x:c>
    </x:row>
    <x:row r="7">
      <x:c r="A7" s="17" t="str">
        <x:v>Remove / hold</x:v>
      </x:c>
      <x:c r="B7" s="18" t="str">
        <x:v>Remove Thuja and Reetha/Shikakai from V1. Hold Jaborandi and Arnica until supplier safety/standardization is reviewed.</x:v>
      </x:c>
    </x:row>
    <x:row r="8">
      <x:c r="A8" s="17" t="str">
        <x:v>Regrowth claim</x:v>
      </x:c>
      <x:c r="B8" s="18" t="str">
        <x:v>Do not launch with a strong 'regrowth' claim unless JL COLLECTION runs a controlled clinical study and completes Pakistan regulatory review.</x:v>
      </x:c>
    </x:row>
    <x:row r="9">
      <x:c r="A9" s="17" t="str">
        <x:v>Prototype status</x:v>
      </x:c>
      <x:c r="B9" s="18" t="str">
        <x:v>Formula below is an R&amp;D starting point, not a final manufacturing specification. Stability, safety, packaging and clinical validation are still required.</x:v>
      </x:c>
    </x:row>
    <x:row r="11">
      <x:c r="A11" s="9" t="str">
        <x:v>Evidence hierarchy used</x:v>
      </x:c>
    </x:row>
    <x:row r="12">
      <x:c r="A12" s="26" t="str">
        <x:v>Level</x:v>
      </x:c>
      <x:c r="B12" s="26" t="str">
        <x:v>Meaning</x:v>
      </x:c>
    </x:row>
    <x:row r="13">
      <x:c r="A13" s="18" t="str">
        <x:v>Higher</x:v>
      </x:c>
      <x:c r="B13" s="18" t="str">
        <x:v>Direct human randomized/controlled evidence relevant to the target</x:v>
      </x:c>
    </x:row>
    <x:row r="14">
      <x:c r="A14" s="18" t="str">
        <x:v>Moderate</x:v>
      </x:c>
      <x:c r="B14" s="18" t="str">
        <x:v>Human evidence exists but small, indirect, multi-ingredient, or methodologically limited</x:v>
      </x:c>
    </x:row>
    <x:row r="15">
      <x:c r="A15" s="18" t="str">
        <x:v>Functional</x:v>
      </x:c>
      <x:c r="B15" s="18" t="str">
        <x:v>Hair-fiber/scalp performance evidence; not proof of follicular growth</x:v>
      </x:c>
    </x:row>
    <x:row r="16">
      <x:c r="A16" s="18" t="str">
        <x:v>Weak</x:v>
      </x:c>
      <x:c r="B16" s="18" t="str">
        <x:v>Traditional use, in-vitro/animal-only, or no persuasive controlled human evidence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22" hidden="0" customWidth="1"/>
    <x:col min="6" max="6" width="62" hidden="0" customWidth="1"/>
    <x:col min="8" max="8" width="26" hidden="0" customWidth="1"/>
    <x:col min="9" max="9" width="12" hidden="0" customWidth="1"/>
  </x:cols>
  <x:sheetData>
    <x:row r="1">
      <x:c r="A1" s="28" t="str">
        <x:v>V1 R&amp;D Prototype — Lightweight Scalp + Hair Treatment Oil</x:v>
      </x:c>
    </x:row>
    <x:row r="3">
      <x:c r="A3" s="13" t="str">
        <x:v>Batch size (g)</x:v>
      </x:c>
      <x:c r="B3" t="n">
        <x:v>1000</x:v>
      </x:c>
    </x:row>
    <x:row r="4">
      <x:c r="A4" s="13" t="str">
        <x:v>Target</x:v>
      </x:c>
      <x:c r="B4" t="str">
        <x:v>Lightweight / non-greasy / pre-wash or short leave-on</x:v>
      </x:c>
    </x:row>
    <x:row r="6">
      <x:c r="A6" s="16" t="str">
        <x:v>INCI / Ingredient</x:v>
      </x:c>
      <x:c r="B6" s="16" t="str">
        <x:v>Function</x:v>
      </x:c>
      <x:c r="C6" s="16" t="str">
        <x:v>% w/w</x:v>
      </x:c>
      <x:c r="D6" s="16" t="str">
        <x:v>g per 1 kg batch</x:v>
      </x:c>
      <x:c r="E6" s="16" t="str">
        <x:v>Role</x:v>
      </x:c>
      <x:c r="F6" s="16" t="str">
        <x:v>Evidence / formulation note</x:v>
      </x:c>
      <x:c r="H6" s="9" t="str">
        <x:v>Phase / purpose</x:v>
      </x:c>
      <x:c r="I6" s="9" t="str">
        <x:v>%</x:v>
      </x:c>
    </x:row>
    <x:row r="7">
      <x:c r="A7" s="18" t="str">
        <x:v>C13-15 Alkane (plant-derived hemisqualane)</x:v>
      </x:c>
      <x:c r="B7" s="18" t="str">
        <x:v>Lightweight base / fast spread / non-greasy feel</x:v>
      </x:c>
      <x:c r="C7" s="38" t="n">
        <x:v>28</x:v>
      </x:c>
      <x:c r="D7" s="38" t="n">
        <x:f>C7*$B$3/100</x:f>
        <x:v>280</x:v>
      </x:c>
      <x:c r="E7" s="18" t="str">
        <x:v>Core sensory base</x:v>
      </x:c>
      <x:c r="F7" s="18" t="str">
        <x:v>Supplier technical data supports light, dry, non-greasy hair feel</x:v>
      </x:c>
      <x:c r="H7" t="str">
        <x:v>Lightweight sensory base</x:v>
      </x:c>
      <x:c r="I7" t="n">
        <x:v>68</x:v>
      </x:c>
    </x:row>
    <x:row r="8">
      <x:c r="A8" s="18" t="str">
        <x:v>Caprylic/Capric Triglyceride (MCT / fractionated coconut)</x:v>
      </x:c>
      <x:c r="B8" s="18" t="str">
        <x:v>Light carrier; dilutes heavier oils</x:v>
      </x:c>
      <x:c r="C8" s="38" t="n">
        <x:v>20</x:v>
      </x:c>
      <x:c r="D8" s="38" t="n">
        <x:f>C8*$B$3/100</x:f>
        <x:v>200</x:v>
      </x:c>
      <x:c r="E8" s="18" t="str">
        <x:v>Core sensory base</x:v>
      </x:c>
      <x:c r="F8" s="18" t="str">
        <x:v>Stable lightweight carrier; not a regrowth active</x:v>
      </x:c>
      <x:c r="H8" t="str">
        <x:v>Botanical/support oils</x:v>
      </x:c>
      <x:c r="I8" t="n">
        <x:v>30</x:v>
      </x:c>
    </x:row>
    <x:row r="9">
      <x:c r="A9" s="18" t="str">
        <x:v>Coco-Caprylate/Caprate</x:v>
      </x:c>
      <x:c r="B9" s="18" t="str">
        <x:v>Dry emollient / silicone-like slip</x:v>
      </x:c>
      <x:c r="C9" s="38" t="n">
        <x:v>12</x:v>
      </x:c>
      <x:c r="D9" s="38" t="n">
        <x:f>C9*$B$3/100</x:f>
        <x:v>120</x:v>
      </x:c>
      <x:c r="E9" s="18" t="str">
        <x:v>Core sensory base</x:v>
      </x:c>
      <x:c r="F9" s="18" t="str">
        <x:v>Used to reduce oily drag and improve spread</x:v>
      </x:c>
      <x:c r="H9" t="str">
        <x:v>Scalp actives + antioxidant</x:v>
      </x:c>
      <x:c r="I9" t="n">
        <x:v>2</x:v>
      </x:c>
    </x:row>
    <x:row r="10">
      <x:c r="A10" s="18" t="str">
        <x:v>Squalane</x:v>
      </x:c>
      <x:c r="B10" s="18" t="str">
        <x:v>Light emollience / shine / softness</x:v>
      </x:c>
      <x:c r="C10" s="38" t="n">
        <x:v>8</x:v>
      </x:c>
      <x:c r="D10" s="38" t="n">
        <x:f>C10*$B$3/100</x:f>
        <x:v>80</x:v>
      </x:c>
      <x:c r="E10" s="18" t="str">
        <x:v>Core sensory base</x:v>
      </x:c>
      <x:c r="F10" s="18" t="str">
        <x:v>Supports elegant feel; not a growth active</x:v>
      </x:c>
    </x:row>
    <x:row r="11">
      <x:c r="A11" s="18" t="str">
        <x:v>Jojoba Oil</x:v>
      </x:c>
      <x:c r="B11" s="18" t="str">
        <x:v>Scalp conditioning / emollience</x:v>
      </x:c>
      <x:c r="C11" s="38" t="n">
        <x:v>7</x:v>
      </x:c>
      <x:c r="D11" s="38" t="n">
        <x:f>C11*$B$3/100</x:f>
        <x:v>70</x:v>
      </x:c>
      <x:c r="E11" s="18" t="str">
        <x:v>Support oil</x:v>
      </x:c>
      <x:c r="F11" s="18" t="str">
        <x:v>Good oxidation stability; evidence mainly skin/scalp conditioning</x:v>
      </x:c>
    </x:row>
    <x:row r="12">
      <x:c r="A12" s="18" t="str">
        <x:v>Pumpkin Seed Oil</x:v>
      </x:c>
      <x:c r="B12" s="18" t="str">
        <x:v>Hair-growth support candidate</x:v>
      </x:c>
      <x:c r="C12" s="38" t="n">
        <x:v>7</x:v>
      </x:c>
      <x:c r="D12" s="38" t="n">
        <x:f>C12*$B$3/100</x:f>
        <x:v>70</x:v>
      </x:c>
      <x:c r="E12" s="18" t="str">
        <x:v>Treatment-support oil</x:v>
      </x:c>
      <x:c r="F12" s="18" t="str">
        <x:v>Human trials exist, including topical female-pattern hair-loss study, but exact optimal topical % is not established</x:v>
      </x:c>
    </x:row>
    <x:row r="13">
      <x:c r="A13" s="18" t="str">
        <x:v>Sweet Almond Oil</x:v>
      </x:c>
      <x:c r="B13" s="18" t="str">
        <x:v>Softness / conditioning</x:v>
      </x:c>
      <x:c r="C13" s="38" t="n">
        <x:v>4</x:v>
      </x:c>
      <x:c r="D13" s="38" t="n">
        <x:f>C13*$B$3/100</x:f>
        <x:v>40</x:v>
      </x:c>
      <x:c r="E13" s="18" t="str">
        <x:v>Support oil</x:v>
      </x:c>
      <x:c r="F13" s="18" t="str">
        <x:v>Good emollient; direct human hair-growth evidence is lacking</x:v>
      </x:c>
    </x:row>
    <x:row r="14">
      <x:c r="A14" s="18" t="str">
        <x:v>High-linoleic Sunflower Oil</x:v>
      </x:c>
      <x:c r="B14" s="18" t="str">
        <x:v>Light conditioning / scalp barrier support</x:v>
      </x:c>
      <x:c r="C14" s="38" t="n">
        <x:v>3</x:v>
      </x:c>
      <x:c r="D14" s="38" t="n">
        <x:f>C14*$B$3/100</x:f>
        <x:v>30</x:v>
      </x:c>
      <x:c r="E14" s="18" t="str">
        <x:v>Support oil</x:v>
      </x:c>
      <x:c r="F14" s="18" t="str">
        <x:v>Lighter triglyceride oil; no proven regrowth effect</x:v>
      </x:c>
    </x:row>
    <x:row r="15">
      <x:c r="A15" s="18" t="str">
        <x:v>Virgin Coconut Oil</x:v>
      </x:c>
      <x:c r="B15" s="18" t="str">
        <x:v>Hair-shaft protection / reduced protein loss</x:v>
      </x:c>
      <x:c r="C15" s="38" t="n">
        <x:v>3</x:v>
      </x:c>
      <x:c r="D15" s="38" t="n">
        <x:f>C15*$B$3/100</x:f>
        <x:v>30</x:v>
      </x:c>
      <x:c r="E15" s="18" t="str">
        <x:v>Treatment-support oil</x:v>
      </x:c>
      <x:c r="F15" s="18" t="str">
        <x:v>Human hair-fiber evidence supports protein-loss reduction; this is anti-damage, not follicular regrowth</x:v>
      </x:c>
    </x:row>
    <x:row r="16">
      <x:c r="A16" s="18" t="str">
        <x:v>Amla oil-soluble standardized extract/infusion</x:v>
      </x:c>
      <x:c r="B16" s="18" t="str">
        <x:v>Botanical positioning / antioxidant support</x:v>
      </x:c>
      <x:c r="C16" s="38" t="n">
        <x:v>3</x:v>
      </x:c>
      <x:c r="D16" s="38" t="n">
        <x:f>C16*$B$3/100</x:f>
        <x:v>30</x:v>
      </x:c>
      <x:c r="E16" s="18" t="str">
        <x:v>Conditional treatment-support</x:v>
      </x:c>
      <x:c r="F16" s="18" t="str">
        <x:v>Human evidence is stronger for oral amla; topical hair evidence is mostly preclinical or multi-ingredient</x:v>
      </x:c>
    </x:row>
    <x:row r="17">
      <x:c r="A17" s="18" t="str">
        <x:v>Olive Oil</x:v>
      </x:c>
      <x:c r="B17" s="18" t="str">
        <x:v>Conditioning / richness</x:v>
      </x:c>
      <x:c r="C17" s="38" t="n">
        <x:v>2</x:v>
      </x:c>
      <x:c r="D17" s="38" t="n">
        <x:f>C17*$B$3/100</x:f>
        <x:v>20</x:v>
      </x:c>
      <x:c r="E17" s="18" t="str">
        <x:v>Support oil</x:v>
      </x:c>
      <x:c r="F17" s="18" t="str">
        <x:v>Kept low because higher levels can feel heavy/greasy</x:v>
      </x:c>
    </x:row>
    <x:row r="18">
      <x:c r="A18" s="18" t="str">
        <x:v>Mustard Oil</x:v>
      </x:c>
      <x:c r="B18" s="18" t="str">
        <x:v>Traditional scalp warming / botanical story</x:v>
      </x:c>
      <x:c r="C18" s="38" t="n">
        <x:v>1</x:v>
      </x:c>
      <x:c r="D18" s="38" t="n">
        <x:f>C18*$B$3/100</x:f>
        <x:v>10</x:v>
      </x:c>
      <x:c r="E18" s="18" t="str">
        <x:v>Conditional</x:v>
      </x:c>
      <x:c r="F18" s="18" t="str">
        <x:v>Growth evidence is weak; allyl isothiocyanate can be irritating, so keep low and test</x:v>
      </x:c>
    </x:row>
    <x:row r="19">
      <x:c r="A19" s="18" t="str">
        <x:v>Rosemary Essential Oil</x:v>
      </x:c>
      <x:c r="B19" s="18" t="str">
        <x:v>Hair-growth support candidate / fragrance</x:v>
      </x:c>
      <x:c r="C19" s="38" t="n">
        <x:v>0.75</x:v>
      </x:c>
      <x:c r="D19" s="38" t="n">
        <x:f>C19*$B$3/100</x:f>
        <x:v>7.5</x:v>
      </x:c>
      <x:c r="E19" s="18" t="str">
        <x:v>Hero active</x:v>
      </x:c>
      <x:c r="F19" s="18" t="str">
        <x:v>Small human RCT supports rosemary oil in AGA over 6 months; exact concentration in that trial does not define a universal cosmetic dose</x:v>
      </x:c>
    </x:row>
    <x:row r="20">
      <x:c r="A20" s="18" t="str">
        <x:v>α-Bisabolol</x:v>
      </x:c>
      <x:c r="B20" s="18" t="str">
        <x:v>Scalp soothing</x:v>
      </x:c>
      <x:c r="C20" s="38" t="n">
        <x:v>0.25</x:v>
      </x:c>
      <x:c r="D20" s="38" t="n">
        <x:f>C20*$B$3/100</x:f>
        <x:v>2.5</x:v>
      </x:c>
      <x:c r="E20" s="18" t="str">
        <x:v>Scalp active</x:v>
      </x:c>
      <x:c r="F20" s="18" t="str">
        <x:v>Anti-inflammatory/soothing evidence; not a hair-growth active</x:v>
      </x:c>
    </x:row>
    <x:row r="21">
      <x:c r="A21" s="18" t="str">
        <x:v>Tocopherol (Vitamin E)</x:v>
      </x:c>
      <x:c r="B21" s="18" t="str">
        <x:v>Formula antioxidant</x:v>
      </x:c>
      <x:c r="C21" s="38" t="n">
        <x:v>1</x:v>
      </x:c>
      <x:c r="D21" s="38" t="n">
        <x:f>C21*$B$3/100</x:f>
        <x:v>10</x:v>
      </x:c>
      <x:c r="E21" s="18" t="str">
        <x:v>Stability aid</x:v>
      </x:c>
      <x:c r="F21" s="18" t="str">
        <x:v>Helps slow oil oxidation; do not market as a regrowth active</x:v>
      </x:c>
    </x:row>
    <x:row r="22">
      <x:c r="A22" s="39" t="str">
        <x:v>TOTAL</x:v>
      </x:c>
      <x:c r="B22" s="39"/>
      <x:c r="C22" s="40" t="n">
        <x:f>SUM(C7:C21)</x:f>
        <x:v>100</x:v>
      </x:c>
      <x:c r="D22" s="40" t="n">
        <x:f>SUM(D7:D21)</x:f>
        <x:v>1000</x:v>
      </x:c>
      <x:c r="E22" s="18"/>
      <x:c r="F22" s="18"/>
    </x:row>
    <x:row r="28">
      <x:c r="A28" s="9" t="str">
        <x:v>R&amp;D cautions</x:v>
      </x:c>
    </x:row>
    <x:row r="29">
      <x:c r="A29" s="13" t="str">
        <x:v>1</x:v>
      </x:c>
      <x:c r="B29" s="18" t="str">
        <x:v>0.75% rosemary EO is a conservative prototype choice, not a clinically proven universal dose. Final level must be checked against the exact supplier GC-MS / allergen / IFRA documentation.</x:v>
      </x:c>
      <x:c r="C29" s="18" t="str"/>
      <x:c r="D29" s="18" t="str"/>
      <x:c r="E29" s="18" t="str"/>
      <x:c r="F29" s="18" t="str"/>
    </x:row>
    <x:row r="30">
      <x:c r="A30" s="13" t="str">
        <x:v>2</x:v>
      </x:c>
      <x:c r="B30" s="18" t="str">
        <x:v>The 7% pumpkin-seed-oil level is a formulation choice; human trials do not establish an optimal percentage inside a blended cosmetic oil.</x:v>
      </x:c>
      <x:c r="C30" s="18" t="str"/>
      <x:c r="D30" s="18" t="str"/>
      <x:c r="E30" s="18" t="str"/>
      <x:c r="F30" s="18" t="str"/>
    </x:row>
    <x:row r="31">
      <x:c r="A31" s="13" t="str">
        <x:v>3</x:v>
      </x:c>
      <x:c r="B31" s="18" t="str">
        <x:v>Amla must be specified as an oil-soluble standardized material. Do not add crude powder or water/glycerin extract to an anhydrous oil.</x:v>
      </x:c>
      <x:c r="C31" s="18" t="str"/>
      <x:c r="D31" s="18" t="str"/>
      <x:c r="E31" s="18" t="str"/>
      <x:c r="F31" s="18" t="str"/>
    </x:row>
    <x:row r="32">
      <x:c r="A32" s="13" t="str">
        <x:v>4</x:v>
      </x:c>
      <x:c r="B32" s="18" t="str">
        <x:v>The formula intentionally excludes Thuja, Reetha, Shikakai, Arnica and Jaborandi from V1 until a clear benefit, extract specification and safety case exist.</x:v>
      </x:c>
      <x:c r="C32" s="18" t="str"/>
      <x:c r="D32" s="18" t="str"/>
      <x:c r="E32" s="18" t="str"/>
      <x:c r="F32" s="18" t="str"/>
    </x:row>
  </x:sheetData>
  <x:mergeCells>
    <x:mergeCell ref="A1:G1"/>
    <x:mergeCell ref="A22:B22"/>
    <x:mergeCell ref="A28:F28"/>
    <x:mergeCell ref="B29:F29"/>
    <x:mergeCell ref="B30:F30"/>
    <x:mergeCell ref="B31:F31"/>
    <x:mergeCell ref="B32:F32"/>
  </x:mergeCells>
  <x:pageMargins left="0.7" right="0.7" top="0.75" bottom="0.75" header="0.3" footer="0.3"/>
  <x:drawing xmlns:r="http://schemas.openxmlformats.org/officeDocument/2006/relationships" r:id="R5bbbe8a23acb4777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5" hidden="0" customWidth="1"/>
    <x:col min="4" max="4" width="20" hidden="0" customWidth="1"/>
    <x:col min="5" max="5" width="24" hidden="0" customWidth="1"/>
    <x:col min="6" max="6" width="48" hidden="0" customWidth="1"/>
    <x:col min="7" max="7" width="52" hidden="0" customWidth="1"/>
  </x:cols>
  <x:sheetData>
    <x:row r="1">
      <x:c r="A1" s="28" t="str">
        <x:v>Ingredient Evidence Map — What Each Ingredient Can and Cannot Support</x:v>
      </x:c>
    </x:row>
    <x:row r="3">
      <x:c r="A3" s="16" t="str">
        <x:v>Goal</x:v>
      </x:c>
      <x:c r="B3" s="16" t="str">
        <x:v>Ingredient</x:v>
      </x:c>
      <x:c r="C3" s="16" t="str">
        <x:v>What evidence actually supports</x:v>
      </x:c>
      <x:c r="D3" s="16" t="str">
        <x:v>Evidence strength</x:v>
      </x:c>
      <x:c r="E3" s="16" t="str">
        <x:v>Oil-formula fit</x:v>
      </x:c>
      <x:c r="F3" s="16" t="str">
        <x:v>Main caution</x:v>
      </x:c>
      <x:c r="G3" s="16" t="str">
        <x:v>Source URL</x:v>
      </x:c>
    </x:row>
    <x:row r="4">
      <x:c r="A4" s="18" t="str">
        <x:v>Hair Growth / Regrowth</x:v>
      </x:c>
      <x:c r="B4" s="18" t="str">
        <x:v>Minoxidil</x:v>
      </x:c>
      <x:c r="C4" s="18" t="str">
        <x:v>Drug; strongest established topical option</x:v>
      </x:c>
      <x:c r="D4" s="44" t="str">
        <x:v>High</x:v>
      </x:c>
      <x:c r="E4" s="18" t="str">
        <x:v>Not suitable for a normal cosmetic oil formula</x:v>
      </x:c>
      <x:c r="F4" s="18" t="str">
        <x:v>Therapeutic/drug pathway; do not add casually</x:v>
      </x:c>
      <x:c r="G4" s="18" t="str">
        <x:v>https://pubmed.ncbi.nlm.nih.gov/29055953/</x:v>
      </x:c>
    </x:row>
    <x:row r="5">
      <x:c r="A5" s="18" t="str">
        <x:v>Hair Growth / Regrowth</x:v>
      </x:c>
      <x:c r="B5" s="18" t="str">
        <x:v>Rosemary oil</x:v>
      </x:c>
      <x:c r="C5" s="18" t="str">
        <x:v>Small human randomized comparative trial vs 2% minoxidil in AGA; improvement seen at 6 months</x:v>
      </x:c>
      <x:c r="D5" s="46" t="str">
        <x:v>Moderate / limited</x:v>
      </x:c>
      <x:c r="E5" s="18" t="str">
        <x:v>Yes, oil-compatible</x:v>
      </x:c>
      <x:c r="F5" s="18" t="str">
        <x:v>Scalp itching occurred in both groups; dosage must follow supplier safety data</x:v>
      </x:c>
      <x:c r="G5" s="18" t="str">
        <x:v>https://pubmed.ncbi.nlm.nih.gov/25842469/</x:v>
      </x:c>
    </x:row>
    <x:row r="6">
      <x:c r="A6" s="18" t="str">
        <x:v>Hair Growth / Regrowth</x:v>
      </x:c>
      <x:c r="B6" s="18" t="str">
        <x:v>Pumpkin seed oil</x:v>
      </x:c>
      <x:c r="C6" s="18" t="str">
        <x:v>Small randomized topical trial in female pattern hair loss; separate oral RCT in men</x:v>
      </x:c>
      <x:c r="D6" s="46" t="str">
        <x:v>Moderate / limited</x:v>
      </x:c>
      <x:c r="E6" s="18" t="str">
        <x:v>Yes</x:v>
      </x:c>
      <x:c r="F6" s="18" t="str">
        <x:v>Optimal % in a blended oil is not established</x:v>
      </x:c>
      <x:c r="G6" s="18" t="str">
        <x:v>https://pubmed.ncbi.nlm.nih.gov/33544448/</x:v>
      </x:c>
    </x:row>
    <x:row r="7">
      <x:c r="A7" s="18" t="str">
        <x:v>Hair Fall / Shedding</x:v>
      </x:c>
      <x:c r="B7" s="18" t="str">
        <x:v>Caffeine</x:v>
      </x:c>
      <x:c r="C7" s="18" t="str">
        <x:v>Systematic review found promising but mostly low-to-medium quality topical evidence</x:v>
      </x:c>
      <x:c r="D7" s="46" t="str">
        <x:v>Moderate / mixed</x:v>
      </x:c>
      <x:c r="E7" s="18" t="str">
        <x:v>Not simple oil-soluble</x:v>
      </x:c>
      <x:c r="F7" s="18" t="str">
        <x:v>Better in hydroalcoholic/serum delivery; not forced into anhydrous oil</x:v>
      </x:c>
      <x:c r="G7" s="18" t="str">
        <x:v>https://pubmed.ncbi.nlm.nih.gov/39997270/</x:v>
      </x:c>
    </x:row>
    <x:row r="8">
      <x:c r="A8" s="18" t="str">
        <x:v>Hair Fall / Breakage</x:v>
      </x:c>
      <x:c r="B8" s="18" t="str">
        <x:v>Coconut oil</x:v>
      </x:c>
      <x:c r="C8" s="18" t="str">
        <x:v>Reduces protein loss from damaged and undamaged hair when used pre/post wash</x:v>
      </x:c>
      <x:c r="D8" s="44" t="str">
        <x:v>Good functional evidence</x:v>
      </x:c>
      <x:c r="E8" s="18" t="str">
        <x:v>Yes</x:v>
      </x:c>
      <x:c r="F8" s="18" t="str">
        <x:v>Supports breakage/damage claims, not follicular regrowth</x:v>
      </x:c>
      <x:c r="G8" s="18" t="str">
        <x:v>https://pubmed.ncbi.nlm.nih.gov/12715094/</x:v>
      </x:c>
    </x:row>
    <x:row r="9">
      <x:c r="A9" s="18" t="str">
        <x:v>Stronger Hair / Damage</x:v>
      </x:c>
      <x:c r="B9" s="18" t="str">
        <x:v>Argan oil</x:v>
      </x:c>
      <x:c r="C9" s="18" t="str">
        <x:v>Pretreatment reduced protein loss after oxidative damage in excised human hair</x:v>
      </x:c>
      <x:c r="D9" s="46" t="str">
        <x:v>Functional / ex-vivo</x:v>
      </x:c>
      <x:c r="E9" s="18" t="str">
        <x:v>Yes</x:v>
      </x:c>
      <x:c r="F9" s="18" t="str">
        <x:v>Can be added 1–5% if budget allows; more relevant to shaft protection than regrowth</x:v>
      </x:c>
      <x:c r="G9" s="18" t="str">
        <x:v>https://pubmed.ncbi.nlm.nih.gov/35226791/</x:v>
      </x:c>
    </x:row>
    <x:row r="10">
      <x:c r="A10" s="18" t="str">
        <x:v>Scalp Care</x:v>
      </x:c>
      <x:c r="B10" s="18" t="str">
        <x:v>Jojoba oil</x:v>
      </x:c>
      <x:c r="C10" s="18" t="str">
        <x:v>Widely used emollient with anti-inflammatory/skin conditioning literature</x:v>
      </x:c>
      <x:c r="D10" s="46" t="str">
        <x:v>Supportive</x:v>
      </x:c>
      <x:c r="E10" s="18" t="str">
        <x:v>Yes</x:v>
      </x:c>
      <x:c r="F10" s="18" t="str">
        <x:v>Do not overclaim hair growth</x:v>
      </x:c>
      <x:c r="G10" s="18" t="str">
        <x:v>https://pubmed.ncbi.nlm.nih.gov/34073772/</x:v>
      </x:c>
    </x:row>
    <x:row r="11">
      <x:c r="A11" s="18" t="str">
        <x:v>Scalp Care</x:v>
      </x:c>
      <x:c r="B11" s="18" t="str">
        <x:v>α-Bisabolol</x:v>
      </x:c>
      <x:c r="C11" s="18" t="str">
        <x:v>Anti-inflammatory/skin-soothing evidence</x:v>
      </x:c>
      <x:c r="D11" s="46" t="str">
        <x:v>Supportive</x:v>
      </x:c>
      <x:c r="E11" s="18" t="str">
        <x:v>Yes</x:v>
      </x:c>
      <x:c r="F11" s="18" t="str">
        <x:v>Sensitization is possible in susceptible users; validate final formula</x:v>
      </x:c>
      <x:c r="G11" s="18" t="str">
        <x:v>https://pubmed.ncbi.nlm.nih.gov/20137740/</x:v>
      </x:c>
    </x:row>
    <x:row r="12">
      <x:c r="A12" s="18" t="str">
        <x:v>Hair Growth</x:v>
      </x:c>
      <x:c r="B12" s="18" t="str">
        <x:v>Amla</x:v>
      </x:c>
      <x:c r="C12" s="18" t="str">
        <x:v>Oral RCT in female AGA; topical lab/follicular-delivery studies exist</x:v>
      </x:c>
      <x:c r="D12" s="48" t="str">
        <x:v>Indirect for topical oil</x:v>
      </x:c>
      <x:c r="E12" s="18" t="str">
        <x:v>Only with an oil-soluble standardized extract</x:v>
      </x:c>
      <x:c r="F12" s="18" t="str">
        <x:v>Do not claim topical regrowth from oral study alone</x:v>
      </x:c>
      <x:c r="G12" s="18" t="str">
        <x:v>https://pubmed.ncbi.nlm.nih.gov/37487962/</x:v>
      </x:c>
    </x:row>
    <x:row r="13">
      <x:c r="A13" s="18" t="str">
        <x:v>Scalp Cleansing</x:v>
      </x:c>
      <x:c r="B13" s="18" t="str">
        <x:v>Reetha (Sapindus)</x:v>
      </x:c>
      <x:c r="C13" s="18" t="str">
        <x:v>Saponin-rich natural surfactant</x:v>
      </x:c>
      <x:c r="D13" s="46" t="str">
        <x:v>Functional for cleansing</x:v>
      </x:c>
      <x:c r="E13" s="18" t="str">
        <x:v>Poor fit for leave-on oil</x:v>
      </x:c>
      <x:c r="F13" s="18" t="str">
        <x:v>Better placed in rinse-off scalp cleanser/shampoo</x:v>
      </x:c>
      <x:c r="G13" s="18" t="str">
        <x:v>https://pubmed.ncbi.nlm.nih.gov/32834477/</x:v>
      </x:c>
    </x:row>
    <x:row r="14">
      <x:c r="A14" s="18" t="str">
        <x:v>Scalp Cleansing</x:v>
      </x:c>
      <x:c r="B14" s="18" t="str">
        <x:v>Shikakai</x:v>
      </x:c>
      <x:c r="C14" s="18" t="str">
        <x:v>Traditional saponin-rich cleansing botanical</x:v>
      </x:c>
      <x:c r="D14" s="48" t="str">
        <x:v>Traditional / functional</x:v>
      </x:c>
      <x:c r="E14" s="18" t="str">
        <x:v>Poor fit for leave-on oil</x:v>
      </x:c>
      <x:c r="F14" s="18" t="str">
        <x:v>More logical in rinse-off product; oil-soluble delivery is weak</x:v>
      </x:c>
      <x:c r="G14" s="18" t="str">
        <x:v>https://pubmed.ncbi.nlm.nih.gov/28695329/</x:v>
      </x:c>
    </x:row>
    <x:row r="15">
      <x:c r="A15" s="18" t="str">
        <x:v>Scalp / Traditional</x:v>
      </x:c>
      <x:c r="B15" s="18" t="str">
        <x:v>Arnica montana</x:v>
      </x:c>
      <x:c r="C15" s="18" t="str">
        <x:v>No convincing human regrowth evidence; contact sensitization documented</x:v>
      </x:c>
      <x:c r="D15" s="48" t="str">
        <x:v>Weak for hair; clear safety concern</x:v>
      </x:c>
      <x:c r="E15" s="18" t="str">
        <x:v>Possible only as low standardized extract</x:v>
      </x:c>
      <x:c r="F15" s="18" t="str">
        <x:v>Not recommended as a hero active</x:v>
      </x:c>
      <x:c r="G15" s="18" t="str">
        <x:v>https://pubmed.ncbi.nlm.nih.gov/11722485/</x:v>
      </x:c>
    </x:row>
    <x:row r="16">
      <x:c r="A16" s="18" t="str">
        <x:v>Scalp / Traditional</x:v>
      </x:c>
      <x:c r="B16" s="18" t="str">
        <x:v>Jaborandi (Pilocarpus)</x:v>
      </x:c>
      <x:c r="C16" s="18" t="str">
        <x:v>Long traditional use; direct controlled human hair-growth evidence is weak</x:v>
      </x:c>
      <x:c r="D16" s="48" t="str">
        <x:v>Weak / uncertain</x:v>
      </x:c>
      <x:c r="E16" s="18" t="str">
        <x:v>Supplier-dependent</x:v>
      </x:c>
      <x:c r="F16" s="18" t="str">
        <x:v>Require exact INCI, extraction solvent, alkaloid profile and safety package before inclusion</x:v>
      </x:c>
      <x:c r="G16" s="18" t="str">
        <x:v>https://www.rsdjournal.org/rsd/article/view/22725</x:v>
      </x:c>
    </x:row>
    <x:row r="17">
      <x:c r="A17" s="18" t="str">
        <x:v>Scalp / Traditional</x:v>
      </x:c>
      <x:c r="B17" s="18" t="str">
        <x:v>Mustard oil</x:v>
      </x:c>
      <x:c r="C17" s="18" t="str">
        <x:v>Traditional use; allyl isothiocyanate is a known cutaneous irritant</x:v>
      </x:c>
      <x:c r="D17" s="48" t="str">
        <x:v>Weak for growth; safety concern</x:v>
      </x:c>
      <x:c r="E17" s="18" t="str">
        <x:v>Yes</x:v>
      </x:c>
      <x:c r="F17" s="18" t="str">
        <x:v>Use low, verify variety/allyl-isothiocyanate content, patch test</x:v>
      </x:c>
      <x:c r="G17" s="18" t="str">
        <x:v>https://pubmed.ncbi.nlm.nih.gov/28614189/</x:v>
      </x:c>
    </x:row>
    <x:row r="18">
      <x:c r="A18" s="18" t="str">
        <x:v>Scalp / Traditional</x:v>
      </x:c>
      <x:c r="B18" s="18" t="str">
        <x:v>Thuja occidentalis</x:v>
      </x:c>
      <x:c r="C18" s="18" t="str">
        <x:v>No persuasive hair-regrowth trial; thujone-containing oils have toxicology complexity</x:v>
      </x:c>
      <x:c r="D18" s="48" t="str">
        <x:v>Weak / not recommended</x:v>
      </x:c>
      <x:c r="E18" s="18" t="str">
        <x:v>Oil-compatible but not justified</x:v>
      </x:c>
      <x:c r="F18" s="18" t="str">
        <x:v>Prefer 0% in V1; if insisted, require low-thujone GC-MS spec and formal safety assessment</x:v>
      </x:c>
      <x:c r="G18" s="18" t="str">
        <x:v>https://pubmed.ncbi.nlm.nih.gov/28472675/</x:v>
      </x:c>
    </x:row>
    <x:row r="19">
      <x:c r="A19" s="18" t="str">
        <x:v>Shine / Feel</x:v>
      </x:c>
      <x:c r="B19" s="18" t="str">
        <x:v>C13-15 Alkane (hemisqualane)</x:v>
      </x:c>
      <x:c r="C19" s="18" t="str">
        <x:v>Supplier performance data: high spreadability, light/dry/non-greasy hair feel</x:v>
      </x:c>
      <x:c r="D19" s="44" t="str">
        <x:v>Strong sensory/function data</x:v>
      </x:c>
      <x:c r="E19" s="18" t="str">
        <x:v>Yes</x:v>
      </x:c>
      <x:c r="F19" s="18" t="str">
        <x:v>Not a treatment active; solves the greasy feel problem</x:v>
      </x:c>
      <x:c r="G19" s="18" t="str">
        <x:v>https://cosmetics.specialchem.com/product/i-amyris-neossance-hemisqualane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52" hidden="0" customWidth="1"/>
    <x:col min="5" max="5" width="52" hidden="0" customWidth="1"/>
  </x:cols>
  <x:sheetData>
    <x:row r="1">
      <x:c r="A1" s="28" t="str">
        <x:v>Assessment of JL COLLECTION's Current Ingredient Concept</x:v>
      </x:c>
    </x:row>
    <x:row r="3">
      <x:c r="A3" s="16" t="str">
        <x:v>Current ingredient</x:v>
      </x:c>
      <x:c r="B3" s="16" t="str">
        <x:v>V1 recommendation</x:v>
      </x:c>
      <x:c r="C3" s="16" t="str">
        <x:v>Suggested % in V1</x:v>
      </x:c>
      <x:c r="D3" s="16" t="str">
        <x:v>Why</x:v>
      </x:c>
      <x:c r="E3" s="16" t="str">
        <x:v>Main weakness / risk</x:v>
      </x:c>
    </x:row>
    <x:row r="4">
      <x:c r="A4" s="18" t="str">
        <x:v>Arnica Montana</x:v>
      </x:c>
      <x:c r="B4" s="48" t="str">
        <x:v>Remove from V1 or keep only after safety validation</x:v>
      </x:c>
      <x:c r="C4" s="48" t="n">
        <x:v>0</x:v>
      </x:c>
      <x:c r="D4" s="18" t="str">
        <x:v>Weak hair-growth evidence; contact-sensitization concern</x:v>
      </x:c>
      <x:c r="E4" s="18" t="str">
        <x:v>Could support botanical story but adds risk without a strong efficacy reason</x:v>
      </x:c>
    </x:row>
    <x:row r="5">
      <x:c r="A5" s="18" t="str">
        <x:v>Rosemary Oil</x:v>
      </x:c>
      <x:c r="B5" s="44" t="str">
        <x:v>Keep as hero botanical</x:v>
      </x:c>
      <x:c r="C5" s="44" t="n">
        <x:v>0.75</x:v>
      </x:c>
      <x:c r="D5" s="18" t="str">
        <x:v>Best direct human evidence among current botanicals</x:v>
      </x:c>
      <x:c r="E5" s="18" t="str">
        <x:v>Do not imply guaranteed regrowth; validate safety and efficacy</x:v>
      </x:c>
    </x:row>
    <x:row r="6">
      <x:c r="A6" s="18" t="str">
        <x:v>Jaborandi</x:v>
      </x:c>
      <x:c r="B6" s="48" t="str">
        <x:v>Hold until supplier spec/toxicology is reviewed</x:v>
      </x:c>
      <x:c r="C6" s="48" t="n">
        <x:v>0</x:v>
      </x:c>
      <x:c r="D6" s="18" t="str">
        <x:v>Traditional rationale; weak controlled clinical evidence</x:v>
      </x:c>
      <x:c r="E6" s="18" t="str">
        <x:v>Exact extract/alkaloid composition matters</x:v>
      </x:c>
    </x:row>
    <x:row r="7">
      <x:c r="A7" s="18" t="str">
        <x:v>Shikakai</x:v>
      </x:c>
      <x:c r="B7" s="48" t="str">
        <x:v>Move to future rinse-off scalp cleanser</x:v>
      </x:c>
      <x:c r="C7" s="48" t="n">
        <x:v>0</x:v>
      </x:c>
      <x:c r="D7" s="18" t="str">
        <x:v>Cleansing/saponin logic, poor fit in leave-on oil</x:v>
      </x:c>
      <x:c r="E7" s="18" t="str">
        <x:v>May cause sediment/instability if crude extract is forced into oil</x:v>
      </x:c>
    </x:row>
    <x:row r="8">
      <x:c r="A8" s="18" t="str">
        <x:v>Amla</x:v>
      </x:c>
      <x:c r="B8" s="44" t="str">
        <x:v>Keep as standardized oil-soluble extract</x:v>
      </x:c>
      <x:c r="C8" s="44" t="n">
        <x:v>3</x:v>
      </x:c>
      <x:c r="D8" s="18" t="str">
        <x:v>Good brand relevance; evidence for topical oil is indirect</x:v>
      </x:c>
      <x:c r="E8" s="18" t="str">
        <x:v>Specify extract ratio/marker compounds; avoid vague 'amla oil'</x:v>
      </x:c>
    </x:row>
    <x:row r="9">
      <x:c r="A9" s="18" t="str">
        <x:v>Reetha</x:v>
      </x:c>
      <x:c r="B9" s="48" t="str">
        <x:v>Move to future rinse-off scalp cleanser</x:v>
      </x:c>
      <x:c r="C9" s="48" t="n">
        <x:v>0</x:v>
      </x:c>
      <x:c r="D9" s="18" t="str">
        <x:v>Saponin surfactant, not a strong leave-on treatment active</x:v>
      </x:c>
      <x:c r="E9" s="18" t="str">
        <x:v>Better for shampoo/scalp wash</x:v>
      </x:c>
    </x:row>
    <x:row r="10">
      <x:c r="A10" s="18" t="str">
        <x:v>Mustard Oil</x:v>
      </x:c>
      <x:c r="B10" s="48" t="str">
        <x:v>Keep low or remove</x:v>
      </x:c>
      <x:c r="C10" s="48" t="n">
        <x:v>1</x:v>
      </x:c>
      <x:c r="D10" s="18" t="str">
        <x:v>Traditional but irritancy/odor risk</x:v>
      </x:c>
      <x:c r="E10" s="18" t="str">
        <x:v>Can undermine premium lightweight sensory if high</x:v>
      </x:c>
    </x:row>
    <x:row r="11">
      <x:c r="A11" s="18" t="str">
        <x:v>Olive Oil</x:v>
      </x:c>
      <x:c r="B11" s="44" t="str">
        <x:v>Keep low</x:v>
      </x:c>
      <x:c r="C11" s="44" t="n">
        <x:v>2</x:v>
      </x:c>
      <x:c r="D11" s="18" t="str">
        <x:v>Conditioning but relatively heavy</x:v>
      </x:c>
      <x:c r="E11" s="18" t="str">
        <x:v>Too much conflicts with light/non-greasy brief</x:v>
      </x:c>
    </x:row>
    <x:row r="12">
      <x:c r="A12" s="18" t="str">
        <x:v>Almond Oil</x:v>
      </x:c>
      <x:c r="B12" s="44" t="str">
        <x:v>Keep moderate</x:v>
      </x:c>
      <x:c r="C12" s="44" t="n">
        <x:v>4</x:v>
      </x:c>
      <x:c r="D12" s="18" t="str">
        <x:v>Good emollient/softness, limited growth evidence</x:v>
      </x:c>
      <x:c r="E12" s="18" t="str">
        <x:v>Supports feel, not regrowth</x:v>
      </x:c>
    </x:row>
    <x:row r="13">
      <x:c r="A13" s="18" t="str">
        <x:v>Coconut Oil</x:v>
      </x:c>
      <x:c r="B13" s="44" t="str">
        <x:v>Keep low-moderate</x:v>
      </x:c>
      <x:c r="C13" s="44" t="n">
        <x:v>3</x:v>
      </x:c>
      <x:c r="D13" s="18" t="str">
        <x:v>Best evidence for hair-shaft protein-loss reduction</x:v>
      </x:c>
      <x:c r="E13" s="18" t="str">
        <x:v>High levels can feel heavy/solidify depending grade/temperature</x:v>
      </x:c>
    </x:row>
    <x:row r="14">
      <x:c r="A14" s="18" t="str">
        <x:v>Thuja</x:v>
      </x:c>
      <x:c r="B14" s="48" t="str">
        <x:v>Remove from V1</x:v>
      </x:c>
      <x:c r="C14" s="48" t="n">
        <x:v>0</x:v>
      </x:c>
      <x:c r="D14" s="18" t="str">
        <x:v>Weak efficacy rationale + thujone toxicology complexity</x:v>
      </x:c>
      <x:c r="E14" s="18" t="str">
        <x:v>High risk/low reward for launch formula</x:v>
      </x:c>
    </x:row>
    <x:row r="17">
      <x:c r="A17" s="31" t="str">
        <x:v>Bottom line: the original concept is botanically rich but technically too crowded. A premium lightweight formula benefits from fewer justified actives and a modern carrier system.</x:v>
      </x:c>
    </x:row>
  </x:sheetData>
  <x:mergeCells>
    <x:mergeCell ref="A1:E1"/>
    <x:mergeCell ref="A17:E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38" hidden="0" customWidth="1"/>
    <x:col min="4" max="4" width="60" hidden="0" customWidth="1"/>
  </x:cols>
  <x:sheetData>
    <x:row r="1">
      <x:c r="A1" s="28" t="str">
        <x:v>Claims, Evidence Burden &amp; Validation Plan</x:v>
      </x:c>
    </x:row>
    <x:row r="3">
      <x:c r="A3" s="16" t="str">
        <x:v>Claim</x:v>
      </x:c>
      <x:c r="B3" s="16" t="str">
        <x:v>Recommended wording</x:v>
      </x:c>
      <x:c r="C3" s="16" t="str">
        <x:v>Evidence burden</x:v>
      </x:c>
      <x:c r="D3" s="16" t="str">
        <x:v>Comment</x:v>
      </x:c>
    </x:row>
    <x:row r="4">
      <x:c r="A4" s="18" t="str">
        <x:v>Hair growth</x:v>
      </x:c>
      <x:c r="B4" s="18" t="str">
        <x:v>Supports healthier-looking hair growth / supports the appearance of fuller-looking hair</x:v>
      </x:c>
      <x:c r="C4" s="18" t="str">
        <x:v>High; ideally controlled instrumental clinical study</x:v>
      </x:c>
      <x:c r="D4" s="18" t="str">
        <x:v>Avoid guaranteed growth timelines without trial data</x:v>
      </x:c>
    </x:row>
    <x:row r="5">
      <x:c r="A5" s="18" t="str">
        <x:v>Hair fall</x:v>
      </x:c>
      <x:c r="B5" s="18" t="str">
        <x:v>Helps reduce hair fall due to breakage</x:v>
      </x:c>
      <x:c r="C5" s="18" t="str">
        <x:v>Moderate; combing/breakage/tensile study</x:v>
      </x:c>
      <x:c r="D5" s="18" t="str">
        <x:v>Clearly separate breakage from shedding at the follicle</x:v>
      </x:c>
    </x:row>
    <x:row r="6">
      <x:c r="A6" s="18" t="str">
        <x:v>Regrowth</x:v>
      </x:c>
      <x:c r="B6" s="18" t="str">
        <x:v>Do not use as a launch cosmetic claim without robust clinical and regulatory review</x:v>
      </x:c>
      <x:c r="C6" s="18" t="str">
        <x:v>Very high</x:v>
      </x:c>
      <x:c r="D6" s="18" t="str">
        <x:v>May be interpreted as therapeutic; discuss with Pakistan regulatory counsel/DRAP if therapeutic positioning is intended</x:v>
      </x:c>
    </x:row>
    <x:row r="7">
      <x:c r="A7" s="18" t="str">
        <x:v>Scalp care</x:v>
      </x:c>
      <x:c r="B7" s="18" t="str">
        <x:v>Helps condition and soothe a dry-feeling scalp</x:v>
      </x:c>
      <x:c r="C7" s="18" t="str">
        <x:v>Moderate</x:v>
      </x:c>
      <x:c r="D7" s="18" t="str">
        <x:v>Patch/safety testing + consumer study helpful</x:v>
      </x:c>
    </x:row>
    <x:row r="8">
      <x:c r="A8" s="18" t="str">
        <x:v>Stronger hair</x:v>
      </x:c>
      <x:c r="B8" s="18" t="str">
        <x:v>Helps improve resistance to breakage / helps hair feel stronger</x:v>
      </x:c>
      <x:c r="C8" s="18" t="str">
        <x:v>Moderate</x:v>
      </x:c>
      <x:c r="D8" s="18" t="str">
        <x:v>Instrumental breakage/tensile/combing data preferred</x:v>
      </x:c>
    </x:row>
    <x:row r="9">
      <x:c r="A9" s="18" t="str">
        <x:v>Shine</x:v>
      </x:c>
      <x:c r="B9" s="18" t="str">
        <x:v>Improves shine and smoothness</x:v>
      </x:c>
      <x:c r="C9" s="18" t="str">
        <x:v>Low-to-moderate</x:v>
      </x:c>
      <x:c r="D9" s="18" t="str">
        <x:v>Instrumental gloss + blinded sensory panel can support</x:v>
      </x:c>
    </x:row>
    <x:row r="10">
      <x:c r="A10" s="18" t="str">
        <x:v>Lightweight</x:v>
      </x:c>
      <x:c r="B10" s="18" t="str">
        <x:v>Lightweight, fast-spreading, non-greasy feel</x:v>
      </x:c>
      <x:c r="C10" s="18" t="str">
        <x:v>Low-to-moderate</x:v>
      </x:c>
      <x:c r="D10" s="18" t="str">
        <x:v>Run comparative sensory panel vs Mielle/Fino/Olaplex-type benchmarks</x:v>
      </x:c>
    </x:row>
    <x:row r="12">
      <x:c r="A12" s="9" t="str">
        <x:v>Recommended validation before launch</x:v>
      </x:c>
    </x:row>
    <x:row r="13">
      <x:c r="A13" s="17" t="str">
        <x:v>Safety</x:v>
      </x:c>
      <x:c r="B13" s="18" t="str">
        <x:v>Dermatologist-supervised patch/HRIPT on final formula; review essential-oil allergens and botanical extract toxicology.</x:v>
      </x:c>
    </x:row>
    <x:row r="14">
      <x:c r="A14" s="17" t="str">
        <x:v>Stability</x:v>
      </x:c>
      <x:c r="B14" s="18" t="str">
        <x:v>Real-time + accelerated stability (e.g., ambient / elevated temperature / low temperature), oxidation monitoring, odor/color change, packaging compatibility.</x:v>
      </x:c>
    </x:row>
    <x:row r="15">
      <x:c r="A15" s="17" t="str">
        <x:v>Sensory</x:v>
      </x:c>
      <x:c r="B15" s="18" t="str">
        <x:v>Blinded comparative panel vs 2–3 premium benchmarks: spreadability, residue, greasiness at 5/30/120 min, hair feel, washability.</x:v>
      </x:c>
    </x:row>
    <x:row r="16">
      <x:c r="A16" s="17" t="str">
        <x:v>Hair breakage</x:v>
      </x:c>
      <x:c r="B16" s="18" t="str">
        <x:v>Instrumental tensile/combing or standardized breakage study to support 'stronger hair' / 'less breakage' claims.</x:v>
      </x:c>
    </x:row>
    <x:row r="17">
      <x:c r="A17" s="17" t="str">
        <x:v>Growth / shedding</x:v>
      </x:c>
      <x:c r="B17" s="18" t="str">
        <x:v>If used in marketing: controlled 90–180 day study with standardized photography/trichoscopy/phototrichogram and hair-shedding method.</x:v>
      </x:c>
    </x:row>
    <x:row r="18">
      <x:c r="A18" s="17" t="str">
        <x:v>Regulatory</x:v>
      </x:c>
      <x:c r="B18" s="18" t="str">
        <x:v>Classify final claim set under Pakistan General Cosmetics Act 2023; if therapeutic/medicated positioning is used, obtain specialist DRAP advice before launch.</x:v>
      </x:c>
    </x:row>
  </x:sheetData>
  <x:mergeCells>
    <x:mergeCell ref="A1:D1"/>
    <x:mergeCell ref="A12:D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78" hidden="0" customWidth="1"/>
  </x:cols>
  <x:sheetData>
    <x:row r="1">
      <x:c r="A1" s="28" t="str">
        <x:v>Research Sources</x:v>
      </x:c>
    </x:row>
    <x:row r="3">
      <x:c r="A3" s="16" t="str">
        <x:v>Topic</x:v>
      </x:c>
      <x:c r="B3" s="16" t="str">
        <x:v>Source</x:v>
      </x:c>
      <x:c r="C3" s="16" t="str">
        <x:v>URL</x:v>
      </x:c>
    </x:row>
    <x:row r="4">
      <x:c r="A4" s="18" t="str">
        <x:v>Rosemary AGA RCT</x:v>
      </x:c>
      <x:c r="B4" s="18" t="str">
        <x:v>Panahi et al., 2015, Skinmed</x:v>
      </x:c>
      <x:c r="C4" s="18" t="str">
        <x:v>https://pubmed.ncbi.nlm.nih.gov/25842469/</x:v>
      </x:c>
    </x:row>
    <x:row r="5">
      <x:c r="A5" s="18" t="str">
        <x:v>Pumpkin seed topical FPHL RCT</x:v>
      </x:c>
      <x:c r="B5" s="18" t="str">
        <x:v>Ibrahim et al., 2021</x:v>
      </x:c>
      <x:c r="C5" s="18" t="str">
        <x:v>https://pubmed.ncbi.nlm.nih.gov/33544448/</x:v>
      </x:c>
    </x:row>
    <x:row r="6">
      <x:c r="A6" s="18" t="str">
        <x:v>Pumpkin seed oral male AGA RCT</x:v>
      </x:c>
      <x:c r="B6" s="18" t="str">
        <x:v>Cho et al., 2014</x:v>
      </x:c>
      <x:c r="C6" s="18" t="str">
        <x:v>https://pubmed.ncbi.nlm.nih.gov/24864154/</x:v>
      </x:c>
    </x:row>
    <x:row r="7">
      <x:c r="A7" s="18" t="str">
        <x:v>Coconut hair protein loss</x:v>
      </x:c>
      <x:c r="B7" s="18" t="str">
        <x:v>Rele &amp; Mohile, 2003</x:v>
      </x:c>
      <x:c r="C7" s="18" t="str">
        <x:v>https://pubmed.ncbi.nlm.nih.gov/12715094/</x:v>
      </x:c>
    </x:row>
    <x:row r="8">
      <x:c r="A8" s="18" t="str">
        <x:v>Topical caffeine systematic review</x:v>
      </x:c>
      <x:c r="B8" s="18" t="str">
        <x:v>2025 systematic review</x:v>
      </x:c>
      <x:c r="C8" s="18" t="str">
        <x:v>https://pubmed.ncbi.nlm.nih.gov/39997270/</x:v>
      </x:c>
    </x:row>
    <x:row r="9">
      <x:c r="A9" s="18" t="str">
        <x:v>Amla oral FAGA RCT</x:v>
      </x:c>
      <x:c r="B9" s="18" t="str">
        <x:v>Akhbari et al., 2024</x:v>
      </x:c>
      <x:c r="C9" s="18" t="str">
        <x:v>https://pubmed.ncbi.nlm.nih.gov/37487962/</x:v>
      </x:c>
    </x:row>
    <x:row r="10">
      <x:c r="A10" s="18" t="str">
        <x:v>Amla follicular delivery / preclinical</x:v>
      </x:c>
      <x:c r="B10" s="18" t="str">
        <x:v>Wongrakpanich et al., 2022</x:v>
      </x:c>
      <x:c r="C10" s="18" t="str">
        <x:v>https://pubmed.ncbi.nlm.nih.gov/35781257/</x:v>
      </x:c>
    </x:row>
    <x:row r="11">
      <x:c r="A11" s="18" t="str">
        <x:v>Argan hair damage study</x:v>
      </x:c>
      <x:c r="B11" s="18" t="str">
        <x:v>2022 study</x:v>
      </x:c>
      <x:c r="C11" s="18" t="str">
        <x:v>https://pubmed.ncbi.nlm.nih.gov/35226791/</x:v>
      </x:c>
    </x:row>
    <x:row r="12">
      <x:c r="A12" s="18" t="str">
        <x:v>Jojoba review</x:v>
      </x:c>
      <x:c r="B12" s="18" t="str">
        <x:v>Gad et al., 2021</x:v>
      </x:c>
      <x:c r="C12" s="18" t="str">
        <x:v>https://pubmed.ncbi.nlm.nih.gov/34073772/</x:v>
      </x:c>
    </x:row>
    <x:row r="13">
      <x:c r="A13" s="18" t="str">
        <x:v>Bisabolol</x:v>
      </x:c>
      <x:c r="B13" s="18" t="str">
        <x:v>Russell &amp; Jacob, 2010</x:v>
      </x:c>
      <x:c r="C13" s="18" t="str">
        <x:v>https://pubmed.ncbi.nlm.nih.gov/20137740/</x:v>
      </x:c>
    </x:row>
    <x:row r="14">
      <x:c r="A14" s="18" t="str">
        <x:v>Arnica sensitization</x:v>
      </x:c>
      <x:c r="B14" s="18" t="str">
        <x:v>Reider et al., 2001</x:v>
      </x:c>
      <x:c r="C14" s="18" t="str">
        <x:v>https://pubmed.ncbi.nlm.nih.gov/11722485/</x:v>
      </x:c>
    </x:row>
    <x:row r="15">
      <x:c r="A15" s="18" t="str">
        <x:v>Mustard oil irritancy model</x:v>
      </x:c>
      <x:c r="B15" s="18" t="str">
        <x:v>Andersen et al., 2017</x:v>
      </x:c>
      <x:c r="C15" s="18" t="str">
        <x:v>https://pubmed.ncbi.nlm.nih.gov/28614189/</x:v>
      </x:c>
    </x:row>
    <x:row r="16">
      <x:c r="A16" s="18" t="str">
        <x:v>Thuja/thujone toxicology</x:v>
      </x:c>
      <x:c r="B16" s="18" t="str">
        <x:v>Radulović et al., 2017</x:v>
      </x:c>
      <x:c r="C16" s="18" t="str">
        <x:v>https://pubmed.ncbi.nlm.nih.gov/28472675/</x:v>
      </x:c>
    </x:row>
    <x:row r="17">
      <x:c r="A17" s="18" t="str">
        <x:v>2026 Thuja topical compatibility study</x:v>
      </x:c>
      <x:c r="B17" s="18" t="str">
        <x:v>Molecules, 2026</x:v>
      </x:c>
      <x:c r="C17" s="18" t="str">
        <x:v>https://pubmed.ncbi.nlm.nih.gov/41976265/</x:v>
      </x:c>
    </x:row>
    <x:row r="18">
      <x:c r="A18" s="18" t="str">
        <x:v>Reetha saponin/surfactant function</x:v>
      </x:c>
      <x:c r="B18" s="18" t="str">
        <x:v>2020 study</x:v>
      </x:c>
      <x:c r="C18" s="18" t="str">
        <x:v>https://pubmed.ncbi.nlm.nih.gov/32834477/</x:v>
      </x:c>
    </x:row>
    <x:row r="19">
      <x:c r="A19" s="18" t="str">
        <x:v>Herbal hair-loss review</x:v>
      </x:c>
      <x:c r="B19" s="18" t="str">
        <x:v>Herman &amp; Herman, 2017</x:v>
      </x:c>
      <x:c r="C19" s="18" t="str">
        <x:v>https://pubmed.ncbi.nlm.nih.gov/28695329/</x:v>
      </x:c>
    </x:row>
    <x:row r="20">
      <x:c r="A20" s="18" t="str">
        <x:v>2025 evidence-based herbal review</x:v>
      </x:c>
      <x:c r="B20" s="18" t="str">
        <x:v>Systematic review</x:v>
      </x:c>
      <x:c r="C20" s="18" t="str">
        <x:v>https://pubmed.ncbi.nlm.nih.gov/40536553/</x:v>
      </x:c>
    </x:row>
    <x:row r="21">
      <x:c r="A21" s="18" t="str">
        <x:v>Rosemary multi-oil clinical trial</x:v>
      </x:c>
      <x:c r="B21" s="18" t="str">
        <x:v>Cureus/PMC, 2025 (industry-linked; supportive only)</x:v>
      </x:c>
      <x:c r="C21" s="18" t="str">
        <x:v>https://pmc.ncbi.nlm.nih.gov/articles/PMC12256010/</x:v>
      </x:c>
    </x:row>
    <x:row r="22">
      <x:c r="A22" s="18" t="str">
        <x:v>Hemisqualane technical data</x:v>
      </x:c>
      <x:c r="B22" s="18" t="str">
        <x:v>Amyris/Neossance via SpecialChem</x:v>
      </x:c>
      <x:c r="C22" s="18" t="str">
        <x:v>https://cosmetics.specialchem.com/product/i-amyris-neossance-hemisqualane</x:v>
      </x:c>
    </x:row>
    <x:row r="23">
      <x:c r="A23" s="18" t="str">
        <x:v>Pakistan General Cosmetics Act 2023</x:v>
      </x:c>
      <x:c r="B23" s="18" t="str">
        <x:v>Pakistan Code</x:v>
      </x:c>
      <x:c r="C23" s="18" t="str">
        <x:v>https://pakistancode.gov.pk/pdffiles/administrator7a849d0d2949c3ba717b581a01e7fed8.pdf</x:v>
      </x:c>
    </x:row>
    <x:row r="24">
      <x:c r="A24" s="18" t="str">
        <x:v>DRAP scope / therapeutic goods</x:v>
      </x:c>
      <x:c r="B24" s="18" t="str">
        <x:v>Drug Regulatory Authority of Pakistan</x:v>
      </x:c>
      <x:c r="C24" s="18" t="str">
        <x:v>https://www.dra.gov.pk/about-us/drap-at-glance/what-we-do/</x:v>
      </x:c>
    </x:row>
  </x:sheetData>
  <x:mergeCells>
    <x:mergeCell ref="A1:C1"/>
  </x:mergeCells>
  <x:pageMargins left="0.7" right="0.7" top="0.75" bottom="0.75" header="0.3" footer="0.3"/>
</x:worksheet>
</file>