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min Data Previous\Ederma\"/>
    </mc:Choice>
  </mc:AlternateContent>
  <bookViews>
    <workbookView xWindow="0" yWindow="0" windowWidth="28800" windowHeight="12315" tabRatio="500" activeTab="1"/>
  </bookViews>
  <sheets>
    <sheet name="1. Read Me" sheetId="1" r:id="rId1"/>
    <sheet name="2. Products &gt;PKR 2000" sheetId="2" r:id="rId2"/>
    <sheet name="3. Keyword Master" sheetId="3" r:id="rId3"/>
    <sheet name="4. Low-KD Opportunities" sheetId="4" r:id="rId4"/>
    <sheet name="5. Competitor Domains" sheetId="5" r:id="rId5"/>
    <sheet name="6. Brands &amp; Revenue" sheetId="6" r:id="rId6"/>
    <sheet name="7. Market Size" sheetId="7" r:id="rId7"/>
    <sheet name="8. Action Plan" sheetId="8" r:id="rId8"/>
  </sheets>
  <definedNames>
    <definedName name="_xlnm._FilterDatabase" localSheetId="1" hidden="1">'2. Products &gt;PKR 2000'!$A$1:$M$134</definedName>
    <definedName name="_xlnm._FilterDatabase" localSheetId="2" hidden="1">'3. Keyword Master'!$A$1:$K$364</definedName>
    <definedName name="_xlnm._FilterDatabase" localSheetId="3" hidden="1">'4. Low-KD Opportunities'!$A$4:$I$225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6" i="6" l="1"/>
  <c r="E45" i="6"/>
  <c r="C18" i="5"/>
  <c r="C17" i="5"/>
  <c r="C16" i="5"/>
  <c r="H14" i="5"/>
  <c r="H13" i="5"/>
  <c r="H12" i="5"/>
  <c r="H11" i="5"/>
  <c r="H10" i="5"/>
  <c r="H9" i="5"/>
  <c r="H8" i="5"/>
  <c r="H7" i="5"/>
  <c r="H6" i="5"/>
  <c r="H5" i="5"/>
  <c r="D229" i="4"/>
  <c r="D228" i="4"/>
  <c r="D227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D369" i="3"/>
  <c r="D368" i="3"/>
  <c r="D367" i="3"/>
  <c r="D366" i="3"/>
  <c r="K364" i="3"/>
  <c r="J364" i="3"/>
  <c r="I364" i="3"/>
  <c r="K363" i="3"/>
  <c r="J363" i="3"/>
  <c r="I363" i="3"/>
  <c r="K362" i="3"/>
  <c r="J362" i="3"/>
  <c r="I362" i="3"/>
  <c r="K361" i="3"/>
  <c r="J361" i="3"/>
  <c r="I361" i="3"/>
  <c r="K360" i="3"/>
  <c r="J360" i="3"/>
  <c r="I360" i="3"/>
  <c r="K359" i="3"/>
  <c r="J359" i="3"/>
  <c r="I359" i="3"/>
  <c r="K358" i="3"/>
  <c r="J358" i="3"/>
  <c r="I358" i="3"/>
  <c r="K357" i="3"/>
  <c r="J357" i="3"/>
  <c r="I357" i="3"/>
  <c r="K356" i="3"/>
  <c r="J356" i="3"/>
  <c r="I356" i="3"/>
  <c r="K355" i="3"/>
  <c r="J355" i="3"/>
  <c r="I355" i="3"/>
  <c r="K354" i="3"/>
  <c r="J354" i="3"/>
  <c r="I354" i="3"/>
  <c r="K353" i="3"/>
  <c r="J353" i="3"/>
  <c r="I353" i="3"/>
  <c r="K352" i="3"/>
  <c r="J352" i="3"/>
  <c r="I352" i="3"/>
  <c r="K351" i="3"/>
  <c r="J351" i="3"/>
  <c r="I351" i="3"/>
  <c r="K350" i="3"/>
  <c r="J350" i="3"/>
  <c r="I350" i="3"/>
  <c r="K349" i="3"/>
  <c r="J349" i="3"/>
  <c r="I349" i="3"/>
  <c r="K348" i="3"/>
  <c r="J348" i="3"/>
  <c r="I348" i="3"/>
  <c r="K347" i="3"/>
  <c r="J347" i="3"/>
  <c r="I347" i="3"/>
  <c r="K346" i="3"/>
  <c r="J346" i="3"/>
  <c r="I346" i="3"/>
  <c r="K345" i="3"/>
  <c r="J345" i="3"/>
  <c r="I345" i="3"/>
  <c r="K344" i="3"/>
  <c r="J344" i="3"/>
  <c r="I344" i="3"/>
  <c r="K343" i="3"/>
  <c r="J343" i="3"/>
  <c r="I343" i="3"/>
  <c r="K342" i="3"/>
  <c r="J342" i="3"/>
  <c r="I342" i="3"/>
  <c r="K341" i="3"/>
  <c r="J341" i="3"/>
  <c r="I341" i="3"/>
  <c r="K340" i="3"/>
  <c r="J340" i="3"/>
  <c r="I340" i="3"/>
  <c r="K339" i="3"/>
  <c r="J339" i="3"/>
  <c r="I339" i="3"/>
  <c r="K338" i="3"/>
  <c r="J338" i="3"/>
  <c r="I338" i="3"/>
  <c r="K337" i="3"/>
  <c r="J337" i="3"/>
  <c r="I337" i="3"/>
  <c r="K336" i="3"/>
  <c r="J336" i="3"/>
  <c r="I336" i="3"/>
  <c r="K335" i="3"/>
  <c r="J335" i="3"/>
  <c r="I335" i="3"/>
  <c r="K334" i="3"/>
  <c r="J334" i="3"/>
  <c r="I334" i="3"/>
  <c r="K333" i="3"/>
  <c r="J333" i="3"/>
  <c r="I333" i="3"/>
  <c r="K332" i="3"/>
  <c r="J332" i="3"/>
  <c r="I332" i="3"/>
  <c r="K331" i="3"/>
  <c r="J331" i="3"/>
  <c r="I331" i="3"/>
  <c r="K330" i="3"/>
  <c r="J330" i="3"/>
  <c r="I330" i="3"/>
  <c r="K329" i="3"/>
  <c r="J329" i="3"/>
  <c r="I329" i="3"/>
  <c r="K328" i="3"/>
  <c r="J328" i="3"/>
  <c r="I328" i="3"/>
  <c r="K327" i="3"/>
  <c r="J327" i="3"/>
  <c r="I327" i="3"/>
  <c r="K326" i="3"/>
  <c r="J326" i="3"/>
  <c r="I326" i="3"/>
  <c r="K325" i="3"/>
  <c r="J325" i="3"/>
  <c r="I325" i="3"/>
  <c r="K324" i="3"/>
  <c r="J324" i="3"/>
  <c r="I324" i="3"/>
  <c r="K323" i="3"/>
  <c r="J323" i="3"/>
  <c r="I323" i="3"/>
  <c r="K322" i="3"/>
  <c r="J322" i="3"/>
  <c r="I322" i="3"/>
  <c r="K321" i="3"/>
  <c r="J321" i="3"/>
  <c r="I321" i="3"/>
  <c r="K320" i="3"/>
  <c r="J320" i="3"/>
  <c r="I320" i="3"/>
  <c r="K319" i="3"/>
  <c r="J319" i="3"/>
  <c r="I319" i="3"/>
  <c r="K318" i="3"/>
  <c r="J318" i="3"/>
  <c r="I318" i="3"/>
  <c r="K317" i="3"/>
  <c r="J317" i="3"/>
  <c r="I317" i="3"/>
  <c r="K316" i="3"/>
  <c r="J316" i="3"/>
  <c r="I316" i="3"/>
  <c r="K315" i="3"/>
  <c r="J315" i="3"/>
  <c r="I315" i="3"/>
  <c r="K314" i="3"/>
  <c r="J314" i="3"/>
  <c r="I314" i="3"/>
  <c r="K313" i="3"/>
  <c r="J313" i="3"/>
  <c r="I313" i="3"/>
  <c r="K312" i="3"/>
  <c r="J312" i="3"/>
  <c r="I312" i="3"/>
  <c r="K311" i="3"/>
  <c r="J311" i="3"/>
  <c r="I311" i="3"/>
  <c r="K310" i="3"/>
  <c r="J310" i="3"/>
  <c r="I310" i="3"/>
  <c r="K309" i="3"/>
  <c r="J309" i="3"/>
  <c r="I309" i="3"/>
  <c r="K308" i="3"/>
  <c r="J308" i="3"/>
  <c r="I308" i="3"/>
  <c r="K307" i="3"/>
  <c r="J307" i="3"/>
  <c r="I307" i="3"/>
  <c r="K306" i="3"/>
  <c r="J306" i="3"/>
  <c r="I306" i="3"/>
  <c r="K305" i="3"/>
  <c r="J305" i="3"/>
  <c r="I305" i="3"/>
  <c r="K304" i="3"/>
  <c r="J304" i="3"/>
  <c r="I304" i="3"/>
  <c r="K303" i="3"/>
  <c r="J303" i="3"/>
  <c r="I303" i="3"/>
  <c r="K302" i="3"/>
  <c r="J302" i="3"/>
  <c r="I302" i="3"/>
  <c r="K301" i="3"/>
  <c r="J301" i="3"/>
  <c r="I301" i="3"/>
  <c r="K300" i="3"/>
  <c r="J300" i="3"/>
  <c r="I300" i="3"/>
  <c r="K299" i="3"/>
  <c r="J299" i="3"/>
  <c r="I299" i="3"/>
  <c r="K298" i="3"/>
  <c r="J298" i="3"/>
  <c r="I298" i="3"/>
  <c r="K297" i="3"/>
  <c r="J297" i="3"/>
  <c r="I297" i="3"/>
  <c r="K296" i="3"/>
  <c r="J296" i="3"/>
  <c r="I296" i="3"/>
  <c r="K295" i="3"/>
  <c r="J295" i="3"/>
  <c r="I295" i="3"/>
  <c r="K294" i="3"/>
  <c r="J294" i="3"/>
  <c r="I294" i="3"/>
  <c r="K293" i="3"/>
  <c r="J293" i="3"/>
  <c r="I293" i="3"/>
  <c r="K292" i="3"/>
  <c r="J292" i="3"/>
  <c r="I292" i="3"/>
  <c r="K291" i="3"/>
  <c r="J291" i="3"/>
  <c r="I291" i="3"/>
  <c r="K290" i="3"/>
  <c r="J290" i="3"/>
  <c r="I290" i="3"/>
  <c r="K289" i="3"/>
  <c r="J289" i="3"/>
  <c r="I289" i="3"/>
  <c r="K288" i="3"/>
  <c r="J288" i="3"/>
  <c r="I288" i="3"/>
  <c r="K287" i="3"/>
  <c r="J287" i="3"/>
  <c r="I287" i="3"/>
  <c r="K286" i="3"/>
  <c r="J286" i="3"/>
  <c r="I286" i="3"/>
  <c r="K285" i="3"/>
  <c r="J285" i="3"/>
  <c r="I285" i="3"/>
  <c r="K284" i="3"/>
  <c r="J284" i="3"/>
  <c r="I284" i="3"/>
  <c r="K283" i="3"/>
  <c r="J283" i="3"/>
  <c r="I283" i="3"/>
  <c r="K282" i="3"/>
  <c r="J282" i="3"/>
  <c r="I282" i="3"/>
  <c r="K281" i="3"/>
  <c r="J281" i="3"/>
  <c r="I281" i="3"/>
  <c r="K280" i="3"/>
  <c r="J280" i="3"/>
  <c r="I280" i="3"/>
  <c r="K279" i="3"/>
  <c r="J279" i="3"/>
  <c r="I279" i="3"/>
  <c r="K278" i="3"/>
  <c r="J278" i="3"/>
  <c r="I278" i="3"/>
  <c r="K277" i="3"/>
  <c r="J277" i="3"/>
  <c r="I277" i="3"/>
  <c r="K276" i="3"/>
  <c r="J276" i="3"/>
  <c r="I276" i="3"/>
  <c r="K275" i="3"/>
  <c r="J275" i="3"/>
  <c r="I275" i="3"/>
  <c r="K274" i="3"/>
  <c r="J274" i="3"/>
  <c r="I274" i="3"/>
  <c r="K273" i="3"/>
  <c r="J273" i="3"/>
  <c r="I273" i="3"/>
  <c r="K272" i="3"/>
  <c r="J272" i="3"/>
  <c r="I272" i="3"/>
  <c r="K271" i="3"/>
  <c r="J271" i="3"/>
  <c r="I271" i="3"/>
  <c r="K270" i="3"/>
  <c r="J270" i="3"/>
  <c r="I270" i="3"/>
  <c r="K269" i="3"/>
  <c r="J269" i="3"/>
  <c r="I269" i="3"/>
  <c r="K268" i="3"/>
  <c r="J268" i="3"/>
  <c r="I268" i="3"/>
  <c r="K267" i="3"/>
  <c r="J267" i="3"/>
  <c r="I267" i="3"/>
  <c r="K266" i="3"/>
  <c r="J266" i="3"/>
  <c r="I266" i="3"/>
  <c r="K265" i="3"/>
  <c r="J265" i="3"/>
  <c r="I265" i="3"/>
  <c r="K264" i="3"/>
  <c r="J264" i="3"/>
  <c r="I264" i="3"/>
  <c r="K263" i="3"/>
  <c r="J263" i="3"/>
  <c r="I263" i="3"/>
  <c r="K262" i="3"/>
  <c r="J262" i="3"/>
  <c r="I262" i="3"/>
  <c r="K261" i="3"/>
  <c r="J261" i="3"/>
  <c r="I261" i="3"/>
  <c r="K260" i="3"/>
  <c r="J260" i="3"/>
  <c r="I260" i="3"/>
  <c r="K259" i="3"/>
  <c r="J259" i="3"/>
  <c r="I259" i="3"/>
  <c r="K258" i="3"/>
  <c r="J258" i="3"/>
  <c r="I258" i="3"/>
  <c r="K257" i="3"/>
  <c r="J257" i="3"/>
  <c r="I257" i="3"/>
  <c r="K256" i="3"/>
  <c r="J256" i="3"/>
  <c r="I256" i="3"/>
  <c r="K255" i="3"/>
  <c r="J255" i="3"/>
  <c r="I255" i="3"/>
  <c r="K254" i="3"/>
  <c r="J254" i="3"/>
  <c r="I254" i="3"/>
  <c r="K253" i="3"/>
  <c r="J253" i="3"/>
  <c r="I253" i="3"/>
  <c r="K252" i="3"/>
  <c r="J252" i="3"/>
  <c r="I252" i="3"/>
  <c r="K251" i="3"/>
  <c r="J251" i="3"/>
  <c r="I251" i="3"/>
  <c r="K250" i="3"/>
  <c r="J250" i="3"/>
  <c r="I250" i="3"/>
  <c r="K249" i="3"/>
  <c r="J249" i="3"/>
  <c r="I249" i="3"/>
  <c r="K248" i="3"/>
  <c r="J248" i="3"/>
  <c r="I248" i="3"/>
  <c r="K247" i="3"/>
  <c r="J247" i="3"/>
  <c r="I247" i="3"/>
  <c r="K246" i="3"/>
  <c r="J246" i="3"/>
  <c r="I246" i="3"/>
  <c r="K245" i="3"/>
  <c r="J245" i="3"/>
  <c r="I245" i="3"/>
  <c r="K244" i="3"/>
  <c r="J244" i="3"/>
  <c r="I244" i="3"/>
  <c r="K243" i="3"/>
  <c r="J243" i="3"/>
  <c r="I243" i="3"/>
  <c r="K242" i="3"/>
  <c r="J242" i="3"/>
  <c r="I242" i="3"/>
  <c r="K241" i="3"/>
  <c r="J241" i="3"/>
  <c r="I241" i="3"/>
  <c r="K240" i="3"/>
  <c r="J240" i="3"/>
  <c r="I240" i="3"/>
  <c r="K239" i="3"/>
  <c r="J239" i="3"/>
  <c r="I239" i="3"/>
  <c r="K238" i="3"/>
  <c r="J238" i="3"/>
  <c r="I238" i="3"/>
  <c r="K237" i="3"/>
  <c r="J237" i="3"/>
  <c r="I237" i="3"/>
  <c r="K236" i="3"/>
  <c r="J236" i="3"/>
  <c r="I236" i="3"/>
  <c r="K235" i="3"/>
  <c r="J235" i="3"/>
  <c r="I235" i="3"/>
  <c r="K234" i="3"/>
  <c r="J234" i="3"/>
  <c r="I234" i="3"/>
  <c r="K233" i="3"/>
  <c r="J233" i="3"/>
  <c r="I233" i="3"/>
  <c r="K232" i="3"/>
  <c r="J232" i="3"/>
  <c r="I232" i="3"/>
  <c r="K231" i="3"/>
  <c r="J231" i="3"/>
  <c r="I231" i="3"/>
  <c r="K230" i="3"/>
  <c r="J230" i="3"/>
  <c r="I230" i="3"/>
  <c r="K229" i="3"/>
  <c r="J229" i="3"/>
  <c r="I229" i="3"/>
  <c r="K228" i="3"/>
  <c r="J228" i="3"/>
  <c r="I228" i="3"/>
  <c r="K227" i="3"/>
  <c r="J227" i="3"/>
  <c r="I227" i="3"/>
  <c r="K226" i="3"/>
  <c r="J226" i="3"/>
  <c r="I226" i="3"/>
  <c r="K225" i="3"/>
  <c r="J225" i="3"/>
  <c r="I225" i="3"/>
  <c r="K224" i="3"/>
  <c r="J224" i="3"/>
  <c r="I224" i="3"/>
  <c r="K223" i="3"/>
  <c r="J223" i="3"/>
  <c r="I223" i="3"/>
  <c r="K222" i="3"/>
  <c r="J222" i="3"/>
  <c r="I222" i="3"/>
  <c r="K221" i="3"/>
  <c r="J221" i="3"/>
  <c r="I221" i="3"/>
  <c r="K220" i="3"/>
  <c r="J220" i="3"/>
  <c r="I220" i="3"/>
  <c r="K219" i="3"/>
  <c r="J219" i="3"/>
  <c r="I219" i="3"/>
  <c r="K218" i="3"/>
  <c r="J218" i="3"/>
  <c r="I218" i="3"/>
  <c r="K217" i="3"/>
  <c r="J217" i="3"/>
  <c r="I217" i="3"/>
  <c r="K216" i="3"/>
  <c r="J216" i="3"/>
  <c r="I216" i="3"/>
  <c r="K215" i="3"/>
  <c r="J215" i="3"/>
  <c r="I215" i="3"/>
  <c r="K214" i="3"/>
  <c r="J214" i="3"/>
  <c r="I214" i="3"/>
  <c r="K213" i="3"/>
  <c r="J213" i="3"/>
  <c r="I213" i="3"/>
  <c r="K212" i="3"/>
  <c r="J212" i="3"/>
  <c r="I212" i="3"/>
  <c r="K211" i="3"/>
  <c r="J211" i="3"/>
  <c r="I211" i="3"/>
  <c r="K210" i="3"/>
  <c r="J210" i="3"/>
  <c r="I210" i="3"/>
  <c r="K209" i="3"/>
  <c r="J209" i="3"/>
  <c r="I209" i="3"/>
  <c r="K208" i="3"/>
  <c r="J208" i="3"/>
  <c r="I208" i="3"/>
  <c r="K207" i="3"/>
  <c r="J207" i="3"/>
  <c r="I207" i="3"/>
  <c r="K206" i="3"/>
  <c r="J206" i="3"/>
  <c r="I206" i="3"/>
  <c r="K205" i="3"/>
  <c r="J205" i="3"/>
  <c r="I205" i="3"/>
  <c r="K204" i="3"/>
  <c r="J204" i="3"/>
  <c r="I204" i="3"/>
  <c r="K203" i="3"/>
  <c r="J203" i="3"/>
  <c r="I203" i="3"/>
  <c r="K202" i="3"/>
  <c r="J202" i="3"/>
  <c r="I202" i="3"/>
  <c r="K201" i="3"/>
  <c r="J201" i="3"/>
  <c r="I201" i="3"/>
  <c r="K200" i="3"/>
  <c r="J200" i="3"/>
  <c r="I200" i="3"/>
  <c r="K199" i="3"/>
  <c r="J199" i="3"/>
  <c r="I199" i="3"/>
  <c r="K198" i="3"/>
  <c r="J198" i="3"/>
  <c r="I198" i="3"/>
  <c r="K197" i="3"/>
  <c r="J197" i="3"/>
  <c r="I197" i="3"/>
  <c r="K196" i="3"/>
  <c r="J196" i="3"/>
  <c r="I196" i="3"/>
  <c r="K195" i="3"/>
  <c r="J195" i="3"/>
  <c r="I195" i="3"/>
  <c r="K194" i="3"/>
  <c r="J194" i="3"/>
  <c r="I194" i="3"/>
  <c r="K193" i="3"/>
  <c r="J193" i="3"/>
  <c r="I193" i="3"/>
  <c r="K192" i="3"/>
  <c r="J192" i="3"/>
  <c r="I192" i="3"/>
  <c r="K191" i="3"/>
  <c r="J191" i="3"/>
  <c r="I191" i="3"/>
  <c r="K190" i="3"/>
  <c r="J190" i="3"/>
  <c r="I190" i="3"/>
  <c r="K189" i="3"/>
  <c r="J189" i="3"/>
  <c r="I189" i="3"/>
  <c r="K188" i="3"/>
  <c r="J188" i="3"/>
  <c r="I188" i="3"/>
  <c r="K187" i="3"/>
  <c r="J187" i="3"/>
  <c r="I187" i="3"/>
  <c r="K186" i="3"/>
  <c r="J186" i="3"/>
  <c r="I186" i="3"/>
  <c r="K185" i="3"/>
  <c r="J185" i="3"/>
  <c r="I185" i="3"/>
  <c r="K184" i="3"/>
  <c r="J184" i="3"/>
  <c r="I184" i="3"/>
  <c r="K183" i="3"/>
  <c r="J183" i="3"/>
  <c r="I183" i="3"/>
  <c r="K182" i="3"/>
  <c r="J182" i="3"/>
  <c r="I182" i="3"/>
  <c r="K181" i="3"/>
  <c r="J181" i="3"/>
  <c r="I181" i="3"/>
  <c r="K180" i="3"/>
  <c r="J180" i="3"/>
  <c r="I180" i="3"/>
  <c r="K179" i="3"/>
  <c r="J179" i="3"/>
  <c r="I179" i="3"/>
  <c r="K178" i="3"/>
  <c r="J178" i="3"/>
  <c r="I178" i="3"/>
  <c r="K177" i="3"/>
  <c r="J177" i="3"/>
  <c r="I177" i="3"/>
  <c r="K176" i="3"/>
  <c r="J176" i="3"/>
  <c r="I176" i="3"/>
  <c r="K175" i="3"/>
  <c r="J175" i="3"/>
  <c r="I175" i="3"/>
  <c r="K174" i="3"/>
  <c r="J174" i="3"/>
  <c r="I174" i="3"/>
  <c r="K173" i="3"/>
  <c r="J173" i="3"/>
  <c r="I173" i="3"/>
  <c r="K172" i="3"/>
  <c r="J172" i="3"/>
  <c r="I172" i="3"/>
  <c r="K171" i="3"/>
  <c r="J171" i="3"/>
  <c r="I171" i="3"/>
  <c r="K170" i="3"/>
  <c r="J170" i="3"/>
  <c r="I170" i="3"/>
  <c r="K169" i="3"/>
  <c r="J169" i="3"/>
  <c r="I169" i="3"/>
  <c r="K168" i="3"/>
  <c r="J168" i="3"/>
  <c r="I168" i="3"/>
  <c r="K167" i="3"/>
  <c r="J167" i="3"/>
  <c r="I167" i="3"/>
  <c r="K166" i="3"/>
  <c r="J166" i="3"/>
  <c r="I166" i="3"/>
  <c r="K165" i="3"/>
  <c r="J165" i="3"/>
  <c r="I165" i="3"/>
  <c r="K164" i="3"/>
  <c r="J164" i="3"/>
  <c r="I164" i="3"/>
  <c r="K163" i="3"/>
  <c r="J163" i="3"/>
  <c r="I163" i="3"/>
  <c r="K162" i="3"/>
  <c r="J162" i="3"/>
  <c r="I162" i="3"/>
  <c r="K161" i="3"/>
  <c r="J161" i="3"/>
  <c r="I161" i="3"/>
  <c r="K160" i="3"/>
  <c r="J160" i="3"/>
  <c r="I160" i="3"/>
  <c r="K159" i="3"/>
  <c r="J159" i="3"/>
  <c r="I159" i="3"/>
  <c r="K158" i="3"/>
  <c r="J158" i="3"/>
  <c r="I158" i="3"/>
  <c r="K157" i="3"/>
  <c r="J157" i="3"/>
  <c r="I157" i="3"/>
  <c r="K156" i="3"/>
  <c r="J156" i="3"/>
  <c r="I156" i="3"/>
  <c r="K155" i="3"/>
  <c r="J155" i="3"/>
  <c r="I155" i="3"/>
  <c r="K154" i="3"/>
  <c r="J154" i="3"/>
  <c r="I154" i="3"/>
  <c r="K153" i="3"/>
  <c r="J153" i="3"/>
  <c r="I153" i="3"/>
  <c r="K152" i="3"/>
  <c r="J152" i="3"/>
  <c r="I152" i="3"/>
  <c r="K151" i="3"/>
  <c r="J151" i="3"/>
  <c r="I151" i="3"/>
  <c r="K150" i="3"/>
  <c r="J150" i="3"/>
  <c r="I150" i="3"/>
  <c r="K149" i="3"/>
  <c r="J149" i="3"/>
  <c r="I149" i="3"/>
  <c r="K148" i="3"/>
  <c r="J148" i="3"/>
  <c r="I148" i="3"/>
  <c r="K147" i="3"/>
  <c r="J147" i="3"/>
  <c r="I147" i="3"/>
  <c r="K146" i="3"/>
  <c r="J146" i="3"/>
  <c r="I146" i="3"/>
  <c r="K145" i="3"/>
  <c r="J145" i="3"/>
  <c r="I145" i="3"/>
  <c r="K144" i="3"/>
  <c r="J144" i="3"/>
  <c r="I144" i="3"/>
  <c r="K143" i="3"/>
  <c r="J143" i="3"/>
  <c r="I143" i="3"/>
  <c r="K142" i="3"/>
  <c r="J142" i="3"/>
  <c r="I142" i="3"/>
  <c r="K141" i="3"/>
  <c r="J141" i="3"/>
  <c r="I141" i="3"/>
  <c r="K140" i="3"/>
  <c r="J140" i="3"/>
  <c r="I140" i="3"/>
  <c r="K139" i="3"/>
  <c r="J139" i="3"/>
  <c r="I139" i="3"/>
  <c r="K138" i="3"/>
  <c r="J138" i="3"/>
  <c r="I138" i="3"/>
  <c r="K137" i="3"/>
  <c r="J137" i="3"/>
  <c r="I137" i="3"/>
  <c r="K136" i="3"/>
  <c r="J136" i="3"/>
  <c r="I136" i="3"/>
  <c r="K135" i="3"/>
  <c r="J135" i="3"/>
  <c r="I135" i="3"/>
  <c r="K134" i="3"/>
  <c r="J134" i="3"/>
  <c r="I134" i="3"/>
  <c r="K133" i="3"/>
  <c r="J133" i="3"/>
  <c r="I133" i="3"/>
  <c r="K132" i="3"/>
  <c r="J132" i="3"/>
  <c r="I132" i="3"/>
  <c r="K131" i="3"/>
  <c r="J131" i="3"/>
  <c r="I131" i="3"/>
  <c r="K130" i="3"/>
  <c r="J130" i="3"/>
  <c r="I130" i="3"/>
  <c r="K129" i="3"/>
  <c r="J129" i="3"/>
  <c r="I129" i="3"/>
  <c r="K128" i="3"/>
  <c r="J128" i="3"/>
  <c r="I128" i="3"/>
  <c r="K127" i="3"/>
  <c r="J127" i="3"/>
  <c r="I127" i="3"/>
  <c r="K126" i="3"/>
  <c r="J126" i="3"/>
  <c r="I126" i="3"/>
  <c r="K125" i="3"/>
  <c r="J125" i="3"/>
  <c r="I125" i="3"/>
  <c r="K124" i="3"/>
  <c r="J124" i="3"/>
  <c r="I124" i="3"/>
  <c r="K123" i="3"/>
  <c r="J123" i="3"/>
  <c r="I123" i="3"/>
  <c r="K122" i="3"/>
  <c r="J122" i="3"/>
  <c r="I122" i="3"/>
  <c r="K121" i="3"/>
  <c r="J121" i="3"/>
  <c r="I121" i="3"/>
  <c r="K120" i="3"/>
  <c r="J120" i="3"/>
  <c r="I120" i="3"/>
  <c r="K119" i="3"/>
  <c r="J119" i="3"/>
  <c r="I119" i="3"/>
  <c r="K118" i="3"/>
  <c r="J118" i="3"/>
  <c r="I118" i="3"/>
  <c r="K117" i="3"/>
  <c r="J117" i="3"/>
  <c r="I117" i="3"/>
  <c r="K116" i="3"/>
  <c r="J116" i="3"/>
  <c r="I116" i="3"/>
  <c r="K115" i="3"/>
  <c r="J115" i="3"/>
  <c r="I115" i="3"/>
  <c r="K114" i="3"/>
  <c r="J114" i="3"/>
  <c r="I114" i="3"/>
  <c r="K113" i="3"/>
  <c r="J113" i="3"/>
  <c r="I113" i="3"/>
  <c r="K112" i="3"/>
  <c r="J112" i="3"/>
  <c r="I112" i="3"/>
  <c r="K111" i="3"/>
  <c r="J111" i="3"/>
  <c r="I111" i="3"/>
  <c r="K110" i="3"/>
  <c r="J110" i="3"/>
  <c r="I110" i="3"/>
  <c r="K109" i="3"/>
  <c r="J109" i="3"/>
  <c r="I109" i="3"/>
  <c r="K108" i="3"/>
  <c r="J108" i="3"/>
  <c r="I108" i="3"/>
  <c r="K107" i="3"/>
  <c r="J107" i="3"/>
  <c r="I107" i="3"/>
  <c r="K106" i="3"/>
  <c r="J106" i="3"/>
  <c r="I106" i="3"/>
  <c r="K105" i="3"/>
  <c r="J105" i="3"/>
  <c r="I105" i="3"/>
  <c r="K104" i="3"/>
  <c r="J104" i="3"/>
  <c r="I104" i="3"/>
  <c r="K103" i="3"/>
  <c r="J103" i="3"/>
  <c r="I103" i="3"/>
  <c r="K102" i="3"/>
  <c r="J102" i="3"/>
  <c r="I102" i="3"/>
  <c r="K101" i="3"/>
  <c r="J101" i="3"/>
  <c r="I101" i="3"/>
  <c r="K100" i="3"/>
  <c r="J100" i="3"/>
  <c r="I100" i="3"/>
  <c r="K99" i="3"/>
  <c r="J99" i="3"/>
  <c r="I99" i="3"/>
  <c r="K98" i="3"/>
  <c r="J98" i="3"/>
  <c r="I98" i="3"/>
  <c r="K97" i="3"/>
  <c r="J97" i="3"/>
  <c r="I97" i="3"/>
  <c r="K96" i="3"/>
  <c r="J96" i="3"/>
  <c r="I96" i="3"/>
  <c r="K95" i="3"/>
  <c r="J95" i="3"/>
  <c r="I95" i="3"/>
  <c r="K94" i="3"/>
  <c r="J94" i="3"/>
  <c r="I94" i="3"/>
  <c r="K93" i="3"/>
  <c r="J93" i="3"/>
  <c r="I93" i="3"/>
  <c r="K92" i="3"/>
  <c r="J92" i="3"/>
  <c r="I92" i="3"/>
  <c r="K91" i="3"/>
  <c r="J91" i="3"/>
  <c r="I91" i="3"/>
  <c r="K90" i="3"/>
  <c r="J90" i="3"/>
  <c r="I90" i="3"/>
  <c r="K89" i="3"/>
  <c r="J89" i="3"/>
  <c r="I89" i="3"/>
  <c r="K88" i="3"/>
  <c r="J88" i="3"/>
  <c r="I88" i="3"/>
  <c r="K87" i="3"/>
  <c r="J87" i="3"/>
  <c r="I87" i="3"/>
  <c r="K86" i="3"/>
  <c r="J86" i="3"/>
  <c r="I86" i="3"/>
  <c r="K85" i="3"/>
  <c r="J85" i="3"/>
  <c r="I85" i="3"/>
  <c r="K84" i="3"/>
  <c r="J84" i="3"/>
  <c r="I84" i="3"/>
  <c r="K83" i="3"/>
  <c r="J83" i="3"/>
  <c r="I83" i="3"/>
  <c r="K82" i="3"/>
  <c r="J82" i="3"/>
  <c r="I82" i="3"/>
  <c r="K81" i="3"/>
  <c r="J81" i="3"/>
  <c r="I81" i="3"/>
  <c r="K80" i="3"/>
  <c r="J80" i="3"/>
  <c r="I80" i="3"/>
  <c r="K79" i="3"/>
  <c r="J79" i="3"/>
  <c r="I79" i="3"/>
  <c r="K78" i="3"/>
  <c r="J78" i="3"/>
  <c r="I78" i="3"/>
  <c r="K77" i="3"/>
  <c r="J77" i="3"/>
  <c r="I77" i="3"/>
  <c r="K76" i="3"/>
  <c r="J76" i="3"/>
  <c r="I76" i="3"/>
  <c r="K75" i="3"/>
  <c r="J75" i="3"/>
  <c r="I75" i="3"/>
  <c r="K74" i="3"/>
  <c r="J74" i="3"/>
  <c r="I74" i="3"/>
  <c r="K73" i="3"/>
  <c r="J73" i="3"/>
  <c r="I73" i="3"/>
  <c r="K72" i="3"/>
  <c r="J72" i="3"/>
  <c r="I72" i="3"/>
  <c r="K71" i="3"/>
  <c r="J71" i="3"/>
  <c r="I71" i="3"/>
  <c r="K70" i="3"/>
  <c r="J70" i="3"/>
  <c r="I70" i="3"/>
  <c r="K69" i="3"/>
  <c r="J69" i="3"/>
  <c r="I69" i="3"/>
  <c r="K68" i="3"/>
  <c r="J68" i="3"/>
  <c r="I68" i="3"/>
  <c r="K67" i="3"/>
  <c r="J67" i="3"/>
  <c r="I67" i="3"/>
  <c r="K66" i="3"/>
  <c r="J66" i="3"/>
  <c r="I66" i="3"/>
  <c r="K65" i="3"/>
  <c r="J65" i="3"/>
  <c r="I65" i="3"/>
  <c r="K64" i="3"/>
  <c r="J64" i="3"/>
  <c r="I64" i="3"/>
  <c r="K63" i="3"/>
  <c r="J63" i="3"/>
  <c r="I63" i="3"/>
  <c r="K62" i="3"/>
  <c r="J62" i="3"/>
  <c r="I62" i="3"/>
  <c r="K61" i="3"/>
  <c r="J61" i="3"/>
  <c r="I61" i="3"/>
  <c r="K60" i="3"/>
  <c r="J60" i="3"/>
  <c r="I60" i="3"/>
  <c r="K59" i="3"/>
  <c r="J59" i="3"/>
  <c r="I59" i="3"/>
  <c r="K58" i="3"/>
  <c r="J58" i="3"/>
  <c r="I58" i="3"/>
  <c r="K57" i="3"/>
  <c r="J57" i="3"/>
  <c r="I57" i="3"/>
  <c r="K56" i="3"/>
  <c r="J56" i="3"/>
  <c r="I56" i="3"/>
  <c r="K55" i="3"/>
  <c r="J55" i="3"/>
  <c r="I55" i="3"/>
  <c r="K54" i="3"/>
  <c r="J54" i="3"/>
  <c r="I54" i="3"/>
  <c r="K53" i="3"/>
  <c r="J53" i="3"/>
  <c r="I53" i="3"/>
  <c r="K52" i="3"/>
  <c r="J52" i="3"/>
  <c r="I52" i="3"/>
  <c r="K51" i="3"/>
  <c r="J51" i="3"/>
  <c r="I51" i="3"/>
  <c r="K50" i="3"/>
  <c r="J50" i="3"/>
  <c r="I50" i="3"/>
  <c r="K49" i="3"/>
  <c r="J49" i="3"/>
  <c r="I49" i="3"/>
  <c r="K48" i="3"/>
  <c r="J48" i="3"/>
  <c r="I48" i="3"/>
  <c r="K47" i="3"/>
  <c r="J47" i="3"/>
  <c r="I47" i="3"/>
  <c r="K46" i="3"/>
  <c r="J46" i="3"/>
  <c r="I46" i="3"/>
  <c r="K45" i="3"/>
  <c r="J45" i="3"/>
  <c r="I45" i="3"/>
  <c r="K44" i="3"/>
  <c r="J44" i="3"/>
  <c r="I44" i="3"/>
  <c r="K43" i="3"/>
  <c r="J43" i="3"/>
  <c r="I43" i="3"/>
  <c r="K42" i="3"/>
  <c r="J42" i="3"/>
  <c r="I42" i="3"/>
  <c r="K41" i="3"/>
  <c r="J41" i="3"/>
  <c r="I41" i="3"/>
  <c r="K40" i="3"/>
  <c r="J40" i="3"/>
  <c r="I40" i="3"/>
  <c r="K39" i="3"/>
  <c r="J39" i="3"/>
  <c r="I39" i="3"/>
  <c r="K38" i="3"/>
  <c r="J38" i="3"/>
  <c r="I38" i="3"/>
  <c r="K37" i="3"/>
  <c r="J37" i="3"/>
  <c r="I37" i="3"/>
  <c r="K36" i="3"/>
  <c r="J36" i="3"/>
  <c r="I36" i="3"/>
  <c r="K35" i="3"/>
  <c r="J35" i="3"/>
  <c r="I35" i="3"/>
  <c r="K34" i="3"/>
  <c r="J34" i="3"/>
  <c r="I34" i="3"/>
  <c r="K33" i="3"/>
  <c r="J33" i="3"/>
  <c r="I33" i="3"/>
  <c r="K32" i="3"/>
  <c r="J32" i="3"/>
  <c r="I32" i="3"/>
  <c r="K31" i="3"/>
  <c r="J31" i="3"/>
  <c r="I31" i="3"/>
  <c r="K30" i="3"/>
  <c r="J30" i="3"/>
  <c r="I30" i="3"/>
  <c r="K29" i="3"/>
  <c r="J29" i="3"/>
  <c r="I29" i="3"/>
  <c r="K28" i="3"/>
  <c r="J28" i="3"/>
  <c r="I28" i="3"/>
  <c r="K27" i="3"/>
  <c r="J27" i="3"/>
  <c r="I27" i="3"/>
  <c r="K26" i="3"/>
  <c r="J26" i="3"/>
  <c r="I26" i="3"/>
  <c r="K25" i="3"/>
  <c r="J25" i="3"/>
  <c r="I25" i="3"/>
  <c r="K24" i="3"/>
  <c r="J24" i="3"/>
  <c r="I24" i="3"/>
  <c r="K23" i="3"/>
  <c r="J23" i="3"/>
  <c r="I23" i="3"/>
  <c r="K22" i="3"/>
  <c r="J22" i="3"/>
  <c r="I22" i="3"/>
  <c r="K21" i="3"/>
  <c r="J21" i="3"/>
  <c r="I21" i="3"/>
  <c r="K20" i="3"/>
  <c r="J20" i="3"/>
  <c r="I20" i="3"/>
  <c r="K19" i="3"/>
  <c r="J19" i="3"/>
  <c r="I19" i="3"/>
  <c r="K18" i="3"/>
  <c r="J18" i="3"/>
  <c r="I18" i="3"/>
  <c r="K17" i="3"/>
  <c r="J17" i="3"/>
  <c r="I17" i="3"/>
  <c r="K16" i="3"/>
  <c r="J16" i="3"/>
  <c r="I16" i="3"/>
  <c r="K15" i="3"/>
  <c r="J15" i="3"/>
  <c r="I15" i="3"/>
  <c r="K14" i="3"/>
  <c r="J14" i="3"/>
  <c r="I14" i="3"/>
  <c r="K13" i="3"/>
  <c r="J13" i="3"/>
  <c r="I13" i="3"/>
  <c r="K12" i="3"/>
  <c r="J12" i="3"/>
  <c r="I12" i="3"/>
  <c r="K11" i="3"/>
  <c r="J11" i="3"/>
  <c r="I11" i="3"/>
  <c r="K10" i="3"/>
  <c r="J10" i="3"/>
  <c r="I10" i="3"/>
  <c r="K9" i="3"/>
  <c r="J9" i="3"/>
  <c r="I9" i="3"/>
  <c r="K8" i="3"/>
  <c r="J8" i="3"/>
  <c r="I8" i="3"/>
  <c r="K7" i="3"/>
  <c r="J7" i="3"/>
  <c r="I7" i="3"/>
  <c r="K6" i="3"/>
  <c r="J6" i="3"/>
  <c r="I6" i="3"/>
  <c r="K5" i="3"/>
  <c r="J5" i="3"/>
  <c r="I5" i="3"/>
  <c r="K4" i="3"/>
  <c r="J4" i="3"/>
  <c r="I4" i="3"/>
  <c r="K3" i="3"/>
  <c r="J3" i="3"/>
  <c r="I3" i="3"/>
  <c r="K2" i="3"/>
  <c r="J2" i="3"/>
  <c r="I2" i="3"/>
  <c r="G140" i="2"/>
  <c r="G139" i="2"/>
  <c r="G138" i="2"/>
  <c r="G137" i="2"/>
  <c r="G136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<sst xmlns="http://schemas.openxmlformats.org/spreadsheetml/2006/main" count="3525" uniqueCount="1279">
  <si>
    <t>PAKISTAN PREMIUM COSMETICS &amp; SKINCARE — SEO + PRODUCT OPPORTUNITY DATA SHEET</t>
  </si>
  <si>
    <t>Prepared August 2026 · Data source: Semrush (database: pk) + live retailer product feeds + public filings</t>
  </si>
  <si>
    <t>BRIEF</t>
  </si>
  <si>
    <t>Build a premium cosmetic brand in Pakistan. Identify 100+ products retailing above PKR 2,000, the SEO landscape behind them, high-volume / low-difficulty keywords, and the revenue scale of incumbent brands.</t>
  </si>
  <si>
    <t>TAB GUIDE</t>
  </si>
  <si>
    <t>2. Products &gt;PKR 2000</t>
  </si>
  <si>
    <t>133 live SKUs above PKR 2,000 with brand, category, retailer, price, direct product URL, matched keyword, its monthly search volume and keyword difficulty.</t>
  </si>
  <si>
    <t>3. Keyword Master</t>
  </si>
  <si>
    <t>363 Pakistan-database keywords across 14 clusters with monthly volume, CPC, competitive density, search intent and Keyword Difficulty (KD).</t>
  </si>
  <si>
    <t>4. Low-KD Opportunities</t>
  </si>
  <si>
    <t>Filtered view: volume &gt;= 500 AND KD &lt;= 20. These are the terms a new domain can realistically rank for. Sorted by an opportunity score.</t>
  </si>
  <si>
    <t>5. Competitor Domains</t>
  </si>
  <si>
    <t>Authority Score, backlink count, referring domains and best-performing product page for the 10 domains that own this SERP today.</t>
  </si>
  <si>
    <t>6. Brands &amp; Revenue</t>
  </si>
  <si>
    <t>39 companies operating in PK beauty with ownership structure and latest disclosed annual revenue. Only 6 are publicly audited — the rest are marked 'Not disclosed'.</t>
  </si>
  <si>
    <t>7. Market Size</t>
  </si>
  <si>
    <t>14 market-size and trade data points with source attribution. Estimates from different houses diverge; each is labelled.</t>
  </si>
  <si>
    <t>8. Action Plan</t>
  </si>
  <si>
    <t>Prioritised SEO and assortment plan built from the data in tabs 2-7.</t>
  </si>
  <si>
    <t>KEY DEFINITIONS</t>
  </si>
  <si>
    <t>KD (Keyword Difficulty)</t>
  </si>
  <si>
    <t>Semrush 0-100 score. How hard it is to reach Google page 1. KD &lt; 20 = realistic for a new site; 20-40 = achievable with links; &gt; 40 = long-term.</t>
  </si>
  <si>
    <t>AS (Authority Score)</t>
  </si>
  <si>
    <t>Semrush 0-100 domain strength score, the industry proxy for 'DA'. Every PK skincare competitor scores 19-40 — a low barrier by global standards.</t>
  </si>
  <si>
    <t>Intent</t>
  </si>
  <si>
    <t>Commercial = comparing before buying. Transactional = ready to buy. Informational = researching. Navigational = looking for a named brand.</t>
  </si>
  <si>
    <t>Volume</t>
  </si>
  <si>
    <t>Average monthly Google searches in Pakistan.</t>
  </si>
  <si>
    <t>METHOD &amp; CAVEATS</t>
  </si>
  <si>
    <t>Prices</t>
  </si>
  <si>
    <t>Read live from each retailer's public product feed in August 2026, in PKR, before discount. PK beauty pricing moves fast — re-check before quoting.</t>
  </si>
  <si>
    <t>Keyword data</t>
  </si>
  <si>
    <t>Semrush pk database. Volumes are modelled averages, not Google-verified counts.</t>
  </si>
  <si>
    <t>Revenue</t>
  </si>
  <si>
    <t>Only PSX-listed firms publish audited accounts. Private local brands (Golden Pearl, Medora, Vince, Dermacos, Luscious, Rivaj) disclose nothing; no figure has been invented for them.</t>
  </si>
  <si>
    <t>Structural events</t>
  </si>
  <si>
    <t>P&amp;G announced its exit from Pakistan in Oct-2025 and Unilever demerged Wall's in Jul-2025 — both distort year-on-year comparisons.</t>
  </si>
  <si>
    <t>#</t>
  </si>
  <si>
    <t>Product</t>
  </si>
  <si>
    <t>Brand</t>
  </si>
  <si>
    <t>Category</t>
  </si>
  <si>
    <t>Origin</t>
  </si>
  <si>
    <t>Retailer</t>
  </si>
  <si>
    <t>Price (PKR)</t>
  </si>
  <si>
    <t>Product URL</t>
  </si>
  <si>
    <t>Matched Keyword</t>
  </si>
  <si>
    <t>KW Volume/mo</t>
  </si>
  <si>
    <t>KD</t>
  </si>
  <si>
    <t>Price Tier</t>
  </si>
  <si>
    <t>Note</t>
  </si>
  <si>
    <t>Montale Red Aoud EDP 100ml</t>
  </si>
  <si>
    <t>Montale</t>
  </si>
  <si>
    <t>Fragrance</t>
  </si>
  <si>
    <t>France</t>
  </si>
  <si>
    <t>Allurebeauty.pk</t>
  </si>
  <si>
    <t>https://allurebeauty.pk/products/montale-red-aoud-edp-100ml</t>
  </si>
  <si>
    <t>montale perfume</t>
  </si>
  <si>
    <t>Dunhill Signature Moroccan Amber EDP 100ml</t>
  </si>
  <si>
    <t>Dunhill</t>
  </si>
  <si>
    <t>UK</t>
  </si>
  <si>
    <t>https://allurebeauty.pk/products/dunhill-signature-mroccan-amber-for-man-edp-100ml</t>
  </si>
  <si>
    <t>dunhill perfume</t>
  </si>
  <si>
    <t>Highest ticket item found</t>
  </si>
  <si>
    <t>Chopard Amber Malaki EDP 80ml</t>
  </si>
  <si>
    <t>Chopard</t>
  </si>
  <si>
    <t>Switzerland</t>
  </si>
  <si>
    <t>https://allurebeauty.pk/products/chopard-amber-malaki-edp-80ml</t>
  </si>
  <si>
    <t>chopard perfume</t>
  </si>
  <si>
    <t>Rhode Glazing Milk 65ml</t>
  </si>
  <si>
    <t>Rhode</t>
  </si>
  <si>
    <t>Face Serum</t>
  </si>
  <si>
    <t>USA</t>
  </si>
  <si>
    <t>https://allurebeauty.pk/products/rhode-glazing-milk-lait-glazing-65ml</t>
  </si>
  <si>
    <t>face serum</t>
  </si>
  <si>
    <t>Ultra-premium anchor</t>
  </si>
  <si>
    <t>La Roche-Posay Vitamin C Brightening Facial Cleanser 200ml</t>
  </si>
  <si>
    <t>La Roche-Posay</t>
  </si>
  <si>
    <t>Cleanser</t>
  </si>
  <si>
    <t>SkinStorePakistan.com</t>
  </si>
  <si>
    <t>https://skinstorepakistan.com/products/la-roche-posay-vitamin-c-brightening-facial-cleanser-200ml</t>
  </si>
  <si>
    <t>vitamin c face wash</t>
  </si>
  <si>
    <t>3.6k vol / KD 17</t>
  </si>
  <si>
    <t>Rivari Invictus EDP 100ml</t>
  </si>
  <si>
    <t>Rivari</t>
  </si>
  <si>
    <t>UAE</t>
  </si>
  <si>
    <t>https://allurebeauty.pk/products/rivari-invictus-edp-100ml</t>
  </si>
  <si>
    <t>perfume for men</t>
  </si>
  <si>
    <t>Rivari Oud Al Musk for Men EDP 85ml</t>
  </si>
  <si>
    <t>https://allurebeauty.pk/products/rivari-oud-al-musk-for-men-edp-85ml</t>
  </si>
  <si>
    <t>oud perfume</t>
  </si>
  <si>
    <t>Eos Shea Better Cashmere Body Wash 473ml - Pink Champagne</t>
  </si>
  <si>
    <t>Eos</t>
  </si>
  <si>
    <t>Body Wash</t>
  </si>
  <si>
    <t>Highfy.pk</t>
  </si>
  <si>
    <t>https://highfy.pk/products/eos-shea-better-cashmere-body-wash-473ml-vanilla-cashmere-copy</t>
  </si>
  <si>
    <t>whitening shower gel</t>
  </si>
  <si>
    <t>Eos Shea Better Cashmere Body Wash 473ml - Fresh &amp; Cozy</t>
  </si>
  <si>
    <t>https://highfy.pk/products/eos-shea-better-cashmere-body-wash-473ml-fresh-cozy</t>
  </si>
  <si>
    <t>body wash</t>
  </si>
  <si>
    <t>Eos Shea Better Cashmere Body Wash 473ml - Vanilla Cashmere</t>
  </si>
  <si>
    <t>https://highfy.pk/products/eos-shea-better-cashmere-body-wash-473ml-fresh-cozy-copy</t>
  </si>
  <si>
    <t>Dove Serum+ Dewy Oil Body Wash 452ml</t>
  </si>
  <si>
    <t>Dove</t>
  </si>
  <si>
    <t>https://skinstorepakistan.com/products/dove-serum-dewy-oil-body-wash-452ml</t>
  </si>
  <si>
    <t>Dove Serum+ Radiance Oil Body Wash 452ml</t>
  </si>
  <si>
    <t>https://skinstorepakistan.com/products/dove-serum-radiance-oil-body-wash-432ml</t>
  </si>
  <si>
    <t>CeraVe Brightening Vitamin C Cleanser 237ml</t>
  </si>
  <si>
    <t>CeraVe</t>
  </si>
  <si>
    <t>https://skinstorepakistan.com/products/cerave-brightening-vitamin-c-cleanser-237ml</t>
  </si>
  <si>
    <t>cerave face wash price in pakistan</t>
  </si>
  <si>
    <t>6.6k vol / KD 13 - top opportunity</t>
  </si>
  <si>
    <t>CHI Silk Infusion 177ml</t>
  </si>
  <si>
    <t>CHI</t>
  </si>
  <si>
    <t>Hair Serum</t>
  </si>
  <si>
    <t>https://highfy.pk/products/chi-silk-infusion-177ml</t>
  </si>
  <si>
    <t>best hair serum in pakistan</t>
  </si>
  <si>
    <t>Premium price anchor</t>
  </si>
  <si>
    <t>Anua Collagen Retinol Refining Gua Sha Cream 80ml</t>
  </si>
  <si>
    <t>Anua</t>
  </si>
  <si>
    <t>Face Cream</t>
  </si>
  <si>
    <t>Korea</t>
  </si>
  <si>
    <t>https://skinstorepakistan.com/products/anua-collagen-retinol-refining-gua-sha-cream-80ml</t>
  </si>
  <si>
    <t>retinol serum benefits</t>
  </si>
  <si>
    <t>L'Oreal EverPure Bond Repair Conditioner 200ml</t>
  </si>
  <si>
    <t>L'Oreal</t>
  </si>
  <si>
    <t>Conditioner</t>
  </si>
  <si>
    <t>https://skinstorepakistan.com/products/loreal-ever-pure-bond-repair-conditioner-200ml</t>
  </si>
  <si>
    <t>loreal hair serum</t>
  </si>
  <si>
    <t>L'Oreal EverPure Sulfate-Free Bond Repair Shampoo 200ml</t>
  </si>
  <si>
    <t>Shampoo</t>
  </si>
  <si>
    <t>https://skinstorepakistan.com/products/loreal-ever-pure-sulfate-free-bond-repair-shampoo-200ml</t>
  </si>
  <si>
    <t>loreal hair serum price in pakistan</t>
  </si>
  <si>
    <t>L'Oreal EverPure Sulfate-Free Purple Shampoo 200ml</t>
  </si>
  <si>
    <t>https://skinstorepakistan.com/products/loreal-ever-pure-sulfate-free-purple-shampoo-200ml</t>
  </si>
  <si>
    <t>purple shampoo</t>
  </si>
  <si>
    <t>Medicube PDRN Pink Peptide Serum 30ml</t>
  </si>
  <si>
    <t>Medicube</t>
  </si>
  <si>
    <t>https://allurebeauty.pk/products/medicube-pdrn-pink-peptide-serum-30ml</t>
  </si>
  <si>
    <t>CeraVe Oil Control Balancing Shampoo 355ml</t>
  </si>
  <si>
    <t>https://skinstorepakistan.com/products/cerave-oil-control-balancing-conditioner</t>
  </si>
  <si>
    <t>cerave moisturizer price in pakistan</t>
  </si>
  <si>
    <t>6.6k vol / KD 12</t>
  </si>
  <si>
    <t>L'Oreal EverPure Sulfate-Free Purple Conditioner 200ml</t>
  </si>
  <si>
    <t>https://skinstorepakistan.com/products/loreal-ever-pure-sulfate-free-purple-conditioner-200ml</t>
  </si>
  <si>
    <t>The Purest Solutions Exfoliating Fruit Enzyme Peeling Powder 55g</t>
  </si>
  <si>
    <t>The Purest Solutions</t>
  </si>
  <si>
    <t>Exfoliant</t>
  </si>
  <si>
    <t>Turkey</t>
  </si>
  <si>
    <t>https://allurebeauty.pk/products/the-purest-solutions-exfoliating-fruit-enzyme-peeling-powder-55g</t>
  </si>
  <si>
    <t>exfoliator</t>
  </si>
  <si>
    <t>CeraVe Oil Control Balancing Conditioner 266ml</t>
  </si>
  <si>
    <t>https://skinstorepakistan.com/products/cerave-oil-control-balancing-conditioner-266ml</t>
  </si>
  <si>
    <t>cerave moisturizer</t>
  </si>
  <si>
    <t>Anua Visibly Firming Collagen Retinol Refining Gua Sha Cream 80ml</t>
  </si>
  <si>
    <t>Face Cream / Anti-Ageing</t>
  </si>
  <si>
    <t>https://highfy.pk/products/anua-visibly-firming-collagen-retinol-refining-gua-sha-cream-80ml</t>
  </si>
  <si>
    <t>korean skincare</t>
  </si>
  <si>
    <t>K-beauty hero SKU</t>
  </si>
  <si>
    <t>Celimax Retinal Shot Tightening Booster Cream 15ml</t>
  </si>
  <si>
    <t>Celimax</t>
  </si>
  <si>
    <t>Retinol Cream</t>
  </si>
  <si>
    <t>https://allurebeauty.pk/products/celimax-retinal-shot-tightening-booster-cream-15ml</t>
  </si>
  <si>
    <t>retinol serum</t>
  </si>
  <si>
    <t>Anchor to 8.1k-vol retinol cluster</t>
  </si>
  <si>
    <t>La Roche-Posay Effaclar Purifying Foaming Gel 300ml</t>
  </si>
  <si>
    <t>https://allurebeauty.pk/products/la-roche-posay-effaclar-purifying-foaming-cleaning-gel-300ml</t>
  </si>
  <si>
    <t>la roche posay sunscreen price in pakistan</t>
  </si>
  <si>
    <t>Brand halo term</t>
  </si>
  <si>
    <t>Arencia PDRN Booster Shot Face &amp; Eye Moisturizer 30ml</t>
  </si>
  <si>
    <t>Arencia</t>
  </si>
  <si>
    <t>Moisturizer</t>
  </si>
  <si>
    <t>https://allurebeauty.pk/products/arencia-pdrn-booster-shot-face-and-eye-moisturizer-30ml</t>
  </si>
  <si>
    <t>moisturizer for dry skin</t>
  </si>
  <si>
    <t>IUNIK Centella Green Fresh Cleansing Oil 200ml</t>
  </si>
  <si>
    <t>IUNIK</t>
  </si>
  <si>
    <t>Cleansing Oil</t>
  </si>
  <si>
    <t>https://skinstorepakistan.com/products/iunik-centella-green-fresh-cleansing-oil-200-ml</t>
  </si>
  <si>
    <t>centella serum</t>
  </si>
  <si>
    <t>Medicube PDRN Pink Caffeine Collagen Eye Patch (60 patches)</t>
  </si>
  <si>
    <t>Eye Care</t>
  </si>
  <si>
    <t>https://skinstorepakistan.com/products/medicube-pdrn-pink-caffeine-collagen-eye-patch-60-patches</t>
  </si>
  <si>
    <t>under eye cream for dark circles</t>
  </si>
  <si>
    <t>CHI Aloe Vera with Agave Nectar Blend Aloe Vera Oil 89ml</t>
  </si>
  <si>
    <t>Hair Oil</t>
  </si>
  <si>
    <t>https://highfy.pk/products/chi-aloe-vera-oil-89ml</t>
  </si>
  <si>
    <t>hair growth serum</t>
  </si>
  <si>
    <t>CHI Aloe Vera Moisturizing Curl Cream 148ml</t>
  </si>
  <si>
    <t>Hair Cream</t>
  </si>
  <si>
    <t>https://highfy.pk/products/chi-aloe-vera-moisturi-curl-cream-148ml</t>
  </si>
  <si>
    <t>hair serum price in pakistan</t>
  </si>
  <si>
    <t>CHI Luxury Hot Oil Treatment 50ml</t>
  </si>
  <si>
    <t>Hair Treatment</t>
  </si>
  <si>
    <t>https://highfy.pk/products/chi-luxury-hot-oil-treatment-50ml</t>
  </si>
  <si>
    <t>CHI Argan Oil with Moringa Rejuvenating Masque 237ml</t>
  </si>
  <si>
    <t>Hair Mask</t>
  </si>
  <si>
    <t>https://highfy.pk/products/chi-argan-oil-masque-237ml</t>
  </si>
  <si>
    <t>hair serum</t>
  </si>
  <si>
    <t>Medicube Vanilla Hair &amp; Body Fragrance Mist</t>
  </si>
  <si>
    <t>Body Mist</t>
  </si>
  <si>
    <t>https://skinstorepakistan.com/products/medicube-vanilla-hair-body-fragrance-mist</t>
  </si>
  <si>
    <t>Biodance Collagen Peptide Eye Patches (60 patches)</t>
  </si>
  <si>
    <t>Biodance</t>
  </si>
  <si>
    <t>https://skinstorepakistan.com/products/biodance-collagen-peptide-eye-patches-30-pairs-60-patches</t>
  </si>
  <si>
    <t>best eye cream for dark circles</t>
  </si>
  <si>
    <t>Arencia Pore Melt Cleansing Oil Pad</t>
  </si>
  <si>
    <t>Cleansing Pad</t>
  </si>
  <si>
    <t>https://skinstorepakistan.com/products/arencia-pore-melt-cleansing-oil-pad</t>
  </si>
  <si>
    <t>skin care cleanser</t>
  </si>
  <si>
    <t>Beauty of Joseon Relief Sun Rice Probiotics SPF50 50ml</t>
  </si>
  <si>
    <t>Beauty of Joseon</t>
  </si>
  <si>
    <t>Sunscreen</t>
  </si>
  <si>
    <t>https://allurebeauty.pk/products/beauty-of-joseon-relief-sun-rice-probiotics-spf-50-50ml-1</t>
  </si>
  <si>
    <t>beauty of joseon sunscreen</t>
  </si>
  <si>
    <t>Category-defining K-SPF</t>
  </si>
  <si>
    <t>CHI Luxury Black Seed Oil Dry Oil 89ml</t>
  </si>
  <si>
    <t>https://highfy.pk/products/chi-luxury-black-seed-oil-black-seed-dry-oil-88-722ml</t>
  </si>
  <si>
    <t>APLB Kojic Acid Vitamin C Body Lotion 300ml</t>
  </si>
  <si>
    <t>APLB</t>
  </si>
  <si>
    <t>Body Lotion</t>
  </si>
  <si>
    <t>https://skinstorepakistan.com/products/aplb-kojic-acid-vitamin-c-body-lotion-300ml</t>
  </si>
  <si>
    <t>kojic acid serum</t>
  </si>
  <si>
    <t>VT PDRN Reedle Shot Eye Lifter 15ml</t>
  </si>
  <si>
    <t>VT Cosmetics</t>
  </si>
  <si>
    <t>Eye Serum</t>
  </si>
  <si>
    <t>https://skinstorepakistan.com/products/vt-pdrn-reedle-shot-eye-lifter-15ml</t>
  </si>
  <si>
    <t>eye cream</t>
  </si>
  <si>
    <t>KD 10</t>
  </si>
  <si>
    <t>Medicube Glow Vanilla Hair &amp; Body Fragrance Mist 100ml</t>
  </si>
  <si>
    <t>https://highfy.pk/products/medicube-glow-vanilla-hair-body-fragrance-mist-100ml</t>
  </si>
  <si>
    <t>korean skin care products</t>
  </si>
  <si>
    <t>Anua PDRN Caffeine Rejuvenating Eye Cream 20ml</t>
  </si>
  <si>
    <t>Eye Cream</t>
  </si>
  <si>
    <t>https://skinstorepakistan.com/products/anua-pdrn-caffeine-rejuvenating-eye-cream-20ml</t>
  </si>
  <si>
    <t>eye cream for dark circles</t>
  </si>
  <si>
    <t>2.4k vol / KD 18</t>
  </si>
  <si>
    <t>APLB Caffeine Niacinamide Firming Body Lotion 300ml</t>
  </si>
  <si>
    <t>https://skinstorepakistan.com/products/aplb-caffeine-niacinamide-body-lotion-firming-body-lotion-300ml</t>
  </si>
  <si>
    <t>niacinamide serum</t>
  </si>
  <si>
    <t>12.1k vol head term</t>
  </si>
  <si>
    <t>APLB Ferulic Acid Vitamin C Body Lotion 300ml</t>
  </si>
  <si>
    <t>https://skinstorepakistan.com/products/aplb-ferulic-acid-vitamin-c-body-lotion-300ml</t>
  </si>
  <si>
    <t>vitamin c serum</t>
  </si>
  <si>
    <t>APLB Azelaic Acid Peptide Body Lotion 300ml</t>
  </si>
  <si>
    <t>https://skinstorepakistan.com/products/aplb-azelaic-acid-peptide-body-lotion-300ml</t>
  </si>
  <si>
    <t>azelaic acid serum</t>
  </si>
  <si>
    <t>KD 16</t>
  </si>
  <si>
    <t>APLB PDRN Vitamin C Body Lotion 300ml</t>
  </si>
  <si>
    <t>https://skinstorepakistan.com/products/aplb-pdrn-vitamin-c-body-lotion</t>
  </si>
  <si>
    <t>body lotion</t>
  </si>
  <si>
    <t>Jenpharm Skin Brightening Bundle (Normal/Dry Skin)</t>
  </si>
  <si>
    <t>Jenpharm</t>
  </si>
  <si>
    <t>Bundle</t>
  </si>
  <si>
    <t>Pakistan</t>
  </si>
  <si>
    <t>Jenpharm.com</t>
  </si>
  <si>
    <t>https://jenpharm.com/products/skin-brightening-bundle-for-normal-dry-skin</t>
  </si>
  <si>
    <t>best whitening cream in pakistan</t>
  </si>
  <si>
    <t>Medicube EGF NAD Firming Serum 30ml</t>
  </si>
  <si>
    <t>https://skinstorepakistan.com/products/medicube-egf-nad-firming-serum-30ml</t>
  </si>
  <si>
    <t>anti wrinkle serum</t>
  </si>
  <si>
    <t>CHI Infra Moisture Therapy Shampoo 355ml</t>
  </si>
  <si>
    <t>https://highfy.pk/products/chi-infra-shampoo-355ml</t>
  </si>
  <si>
    <t>CHI Luxury Black Seed Oil Dry Shampoo 157ml</t>
  </si>
  <si>
    <t>Dry Shampoo</t>
  </si>
  <si>
    <t>https://highfy.pk/products/chi-luxury-black-seed-oil-dry-shampoo-156-7422ml</t>
  </si>
  <si>
    <t>CHI Luxury Gentle Cleansing Shampoo 355ml</t>
  </si>
  <si>
    <t>https://highfy.pk/products/chi-luxury-gentle-cleansing-shampoo-355ml</t>
  </si>
  <si>
    <t>CHI Argan Oil with Moringa Shampoo 340ml</t>
  </si>
  <si>
    <t>https://highfy.pk/products/chi-argan-shampoo-340ml</t>
  </si>
  <si>
    <t>CHI Rose Hip Oil Recovery Treatment 237ml</t>
  </si>
  <si>
    <t>https://highfy.pk/products/chi-rose-hip-oil-recovery-treatment-237ml</t>
  </si>
  <si>
    <t>CHI Rose Hip Oil Repair &amp; Shine Leave-In Tonic 118ml</t>
  </si>
  <si>
    <t>Leave-in Tonic</t>
  </si>
  <si>
    <t>https://highfy.pk/products/chi-rose-hip-oil-repair-shine-118ml</t>
  </si>
  <si>
    <t>hair serum for frizzy hair</t>
  </si>
  <si>
    <t>Anua PDRN Hyaluronic Acid Hydrating Capsule Mist Mini 30ml</t>
  </si>
  <si>
    <t>Face Mist</t>
  </si>
  <si>
    <t>https://skinstorepakistan.com/products/anua-pdrn-hyaluronic-acid-hydrating-capsule-mist-mini-30ml</t>
  </si>
  <si>
    <t>hyaluronic acid serum</t>
  </si>
  <si>
    <t>5.4k vol / KD 22</t>
  </si>
  <si>
    <t>Numbuzin No.5 Glutathione Vitamin Tone-Up Sun Serum 30ml</t>
  </si>
  <si>
    <t>Numbuzin</t>
  </si>
  <si>
    <t>Sunscreen Serum</t>
  </si>
  <si>
    <t>https://skinstorepakistan.com/products/numbuzin-no-5-glutathione-vitamin-tone-up-sun-serum-30ml</t>
  </si>
  <si>
    <t>korean sunscreen</t>
  </si>
  <si>
    <t>1k vol / KD 18</t>
  </si>
  <si>
    <t>Numbuzin No.9 NAD+ Retinal Volumetox Eye Cream 20ml</t>
  </si>
  <si>
    <t>https://skinstorepakistan.com/products/numbuzin-no-9-nad-retinal-volumetox-eye-cream-20ml</t>
  </si>
  <si>
    <t>retinol eye cream</t>
  </si>
  <si>
    <t>VT PDRN Essence Stick Balm 9.5g</t>
  </si>
  <si>
    <t>Balm</t>
  </si>
  <si>
    <t>https://skinstorepakistan.com/products/vt-pdrn-essence-stick-balm-9-5g</t>
  </si>
  <si>
    <t>Sheglam Starlight Velvet Lipstick - Beach Babe</t>
  </si>
  <si>
    <t>Sheglam</t>
  </si>
  <si>
    <t>Lipstick</t>
  </si>
  <si>
    <t>China/USA</t>
  </si>
  <si>
    <t>https://allurebeauty.pk/products/she-glam-starlight-velvet-lipstick-beach-babe</t>
  </si>
  <si>
    <t>matte lipstick</t>
  </si>
  <si>
    <t>Maybelline USA Lifter Plump &amp; Glow Foundation 30ml</t>
  </si>
  <si>
    <t>Maybelline</t>
  </si>
  <si>
    <t>Foundation</t>
  </si>
  <si>
    <t>https://highfy.pk/products/maybelline-lifter-plump-glow-foundation-30ml-102</t>
  </si>
  <si>
    <t>maybelline foundation</t>
  </si>
  <si>
    <t>High volume</t>
  </si>
  <si>
    <t>CHI Luxury Black Seed Oil Leave-In Conditioner 118ml</t>
  </si>
  <si>
    <t>https://highfy.pk/products/chi-luxury-black-seed-oil-leave-in-conditioner-118-296ml</t>
  </si>
  <si>
    <t>Rimmel Multi-Tasker Better Than Filters Light Primer</t>
  </si>
  <si>
    <t>Rimmel</t>
  </si>
  <si>
    <t>Primer</t>
  </si>
  <si>
    <t>https://allurebeauty.pk/products/rimmel-lasting-mega-matte-liquid-lipstick-1</t>
  </si>
  <si>
    <t>primer makeup</t>
  </si>
  <si>
    <t>Asghar Ali Hayam Al Bahrain EDP 100ml</t>
  </si>
  <si>
    <t>Asghar Ali</t>
  </si>
  <si>
    <t>Pakistan/UAE</t>
  </si>
  <si>
    <t>https://allurebeauty.pk/products/asghar-ali-hayam-al-bahrain-edp-100ml</t>
  </si>
  <si>
    <t>perfume</t>
  </si>
  <si>
    <t>Abib Clear Spot Serum 7.325 Pump 30ml</t>
  </si>
  <si>
    <t>Abib</t>
  </si>
  <si>
    <t>Acne Serum</t>
  </si>
  <si>
    <t>https://skinstorepakistan.com/products/abib-clear-spot-serum-7-325-pump-30ml</t>
  </si>
  <si>
    <t>acne serum</t>
  </si>
  <si>
    <t>KD 7 - very easy win</t>
  </si>
  <si>
    <t>Vince Natural Whitening Kit</t>
  </si>
  <si>
    <t>Vince</t>
  </si>
  <si>
    <t>Skincare Kit</t>
  </si>
  <si>
    <t>Vincecare.com</t>
  </si>
  <si>
    <t>https://vincecare.com/products/natural-whitening-kit</t>
  </si>
  <si>
    <t>whitening cream</t>
  </si>
  <si>
    <t>12.1k vol</t>
  </si>
  <si>
    <t>Sheglam Color Bloom Liquid Blush - On Point 5.2ml</t>
  </si>
  <si>
    <t>Blush</t>
  </si>
  <si>
    <t>https://allurebeauty.pk/products/sheglam-color-bloom-liquid-blush-on-point-5-2ml</t>
  </si>
  <si>
    <t>blush</t>
  </si>
  <si>
    <t>Sheglam Jelly Licious Hydrating Lip &amp; Blush Tint 10g</t>
  </si>
  <si>
    <t>Lip Tint</t>
  </si>
  <si>
    <t>https://allurebeauty.pk/products/sheglam-jelly-licious-hydrating-lip-blush-tnit-cheerio-10g</t>
  </si>
  <si>
    <t>tint makeup</t>
  </si>
  <si>
    <t>Low KD 13 / 1k vol</t>
  </si>
  <si>
    <t>NYX Professional Makeup Shine Loud Lip Color 3.4ml</t>
  </si>
  <si>
    <t>NYX</t>
  </si>
  <si>
    <t>Liquid Lipstick</t>
  </si>
  <si>
    <t>https://highfy.pk/products/nyx-professional-makeup-shine-loud-lip-color-3-4ml-make-it-work</t>
  </si>
  <si>
    <t>Maybelline USA Lifter Full Coverage Serum Concealer 10ml</t>
  </si>
  <si>
    <t>Concealer</t>
  </si>
  <si>
    <t>https://highfy.pk/products/maybelline-usa-lifter-full-coverage-serum-concealer-10ml-15</t>
  </si>
  <si>
    <t>concealer</t>
  </si>
  <si>
    <t>Maybelline USA CloudTopia Cheek &amp; Lip Mousse 5g</t>
  </si>
  <si>
    <t>https://highfy.pk/products/maybelline-usa-cloudtopia-cheek-lip-mousse-5g-01-twlight-berry</t>
  </si>
  <si>
    <t>blush makeup</t>
  </si>
  <si>
    <t>Conatural Summer Skincare Kit</t>
  </si>
  <si>
    <t>Conatural</t>
  </si>
  <si>
    <t>Conaturalintl.com</t>
  </si>
  <si>
    <t>https://conaturalintl.com/products/summer-skincare-kit</t>
  </si>
  <si>
    <t>skin care kit</t>
  </si>
  <si>
    <t>Axis-Y Dark Spot Correcting Glow Serum 50ml</t>
  </si>
  <si>
    <t>Axis-Y</t>
  </si>
  <si>
    <t>https://highfy.pk/products/axis-y-dark-spot-correcting-glow-serum-50ml</t>
  </si>
  <si>
    <t>dark spot correcting glow serum price in pakistan</t>
  </si>
  <si>
    <t>Strong low-KD term</t>
  </si>
  <si>
    <t>Arencia NAD+ Booster Shot 30ml</t>
  </si>
  <si>
    <t>https://skinstorepakistan.com/products/arencia-nad-booster-shot-30ml</t>
  </si>
  <si>
    <t>best serum for glowing skin</t>
  </si>
  <si>
    <t>NYX Professional Makeup On The Rise Primer Lash Booster 10ml</t>
  </si>
  <si>
    <t>Mascara / Lash</t>
  </si>
  <si>
    <t>https://highfy.pk/products/nyx-professional-makeup-on-the-rise-primer-lash-booster-otrlb01-10ml</t>
  </si>
  <si>
    <t>makeup</t>
  </si>
  <si>
    <t>CHI Luxury Black Seed Oil Blow Dry Cream 177ml</t>
  </si>
  <si>
    <t>https://highfy.pk/products/chi-luxury-blow-dry-cream-177ml</t>
  </si>
  <si>
    <t>L.A. Girl Setting Makeup Spray 80ml</t>
  </si>
  <si>
    <t>L.A. Girl</t>
  </si>
  <si>
    <t>Setting Spray</t>
  </si>
  <si>
    <t>https://allurebeauty.pk/products/l-a-girl-setting-makeup-spray-80ml</t>
  </si>
  <si>
    <t>Sheglam Color Bloom Liquid Blush - Love Cake 5.2ml</t>
  </si>
  <si>
    <t>https://allurebeauty.pk/products/sheglam-color-bloom-liquid-blush-love-cake-5-2ml</t>
  </si>
  <si>
    <t>Shiseido Fino Premium Touch Hair Mask 230g</t>
  </si>
  <si>
    <t>Shiseido</t>
  </si>
  <si>
    <t>Japan</t>
  </si>
  <si>
    <t>https://highfy.pk/products/shiseido-fino-premium-touch-hair-mask-230g</t>
  </si>
  <si>
    <t>hair mask</t>
  </si>
  <si>
    <t>Conatural Sun Protection Set</t>
  </si>
  <si>
    <t>Sunscreen Set</t>
  </si>
  <si>
    <t>https://conaturalintl.com/products/sun-protection-set</t>
  </si>
  <si>
    <t>best sunscreen in pakistan</t>
  </si>
  <si>
    <t>4.4k vol / KD 14</t>
  </si>
  <si>
    <t>Vince Night Bundle</t>
  </si>
  <si>
    <t>https://vincecare.com/products/night-bundle</t>
  </si>
  <si>
    <t>night skin care routine</t>
  </si>
  <si>
    <t>CHI Enviro 54 Firm Hold Hair Spray 295ml</t>
  </si>
  <si>
    <t>Hair Spray</t>
  </si>
  <si>
    <t>https://highfy.pk/products/chi-enviro-54-firm-hold-hair-spray-295ml</t>
  </si>
  <si>
    <t>Maybelline USA Serum Lipstick with Hyaluronic Acid 3.4g</t>
  </si>
  <si>
    <t>https://highfy.pk/products/maybelline-usa-serum-lipstick-with-hyaluronic-acid-satin-005-take-the-1</t>
  </si>
  <si>
    <t>maybelline lipstick</t>
  </si>
  <si>
    <t>Zero Makeup Shadow Liner - Deep Brown</t>
  </si>
  <si>
    <t>Zero Makeup</t>
  </si>
  <si>
    <t>Eyeliner</t>
  </si>
  <si>
    <t>https://allurebeauty.pk/products/zero-makeup-shadow-liner-deep-brown</t>
  </si>
  <si>
    <t>zero makeup</t>
  </si>
  <si>
    <t>Zero Makeup Shadow Liner - Ultra Black</t>
  </si>
  <si>
    <t>https://allurebeauty.pk/products/zero-makeup-shadow-liner-ultra-black</t>
  </si>
  <si>
    <t>Max Factor Radiant Lift Foundation</t>
  </si>
  <si>
    <t>Max Factor</t>
  </si>
  <si>
    <t>https://allurebeauty.pk/products/maxfactor-radiant-lift-foundation-1</t>
  </si>
  <si>
    <t>foundation makeup</t>
  </si>
  <si>
    <t>L.A. Girl Soft Matte Cream Blush</t>
  </si>
  <si>
    <t>https://allurebeauty.pk/products/l-a-girl-soft-matte-cream-blush</t>
  </si>
  <si>
    <t>CHI Enviro Smoothing Serum 59ml</t>
  </si>
  <si>
    <t>https://highfy.pk/products/chi-enviro-smoothing-serum-59ml</t>
  </si>
  <si>
    <t>Very low KD, high volume</t>
  </si>
  <si>
    <t>Guerlain Terracotta Khol Kajal 02</t>
  </si>
  <si>
    <t>Guerlain</t>
  </si>
  <si>
    <t>Kajal</t>
  </si>
  <si>
    <t>https://allurebeauty.pk/products/guerlain-terracotta-kho-kajal-02</t>
  </si>
  <si>
    <t>kajal</t>
  </si>
  <si>
    <t>Luxury tier</t>
  </si>
  <si>
    <t>Skin1004 Madagascar Centella Asiatica Ampoule 30ml</t>
  </si>
  <si>
    <t>Skin1004</t>
  </si>
  <si>
    <t>https://highfy.pk/products/skin1004-madagascar-centella-asiatica-ampoule-facial-serum-30ml</t>
  </si>
  <si>
    <t>High vol / KD 13</t>
  </si>
  <si>
    <t>Essence Space Glow Colour Changing Lipstick 2pc Set</t>
  </si>
  <si>
    <t>Essence</t>
  </si>
  <si>
    <t>Lipstick Set</t>
  </si>
  <si>
    <t>Germany</t>
  </si>
  <si>
    <t>https://allurebeauty.pk/products/essence-space-glow-colour-changing-lipstick-2-piecs-set</t>
  </si>
  <si>
    <t>lipstick shades</t>
  </si>
  <si>
    <t>Maybelline Instant Age Rewind Multi-Use Concealer 6ml</t>
  </si>
  <si>
    <t>https://allurebeauty.pk/products/maybelline-eraser-instant-age-rewind-multi-use-concealer-100-6ml</t>
  </si>
  <si>
    <t>Maybelline Superstay Vinyl Ink Liquid Lipstick 4.2ml</t>
  </si>
  <si>
    <t>https://allurebeauty.pk/products/maybelline-superstay-vinyl-ink-liquid-lipstick-copy-2</t>
  </si>
  <si>
    <t>L'Oreal Paris Glycolic Bright Anti-Dark Spot Exfoliant Peel 25ml</t>
  </si>
  <si>
    <t>L'Oreal Paris</t>
  </si>
  <si>
    <t>Exfoliant / Peel</t>
  </si>
  <si>
    <t>https://highfy.pk/products/loreal-paris-glycolic-bright-anti-dark-spot-exfoliant-peel-25ml</t>
  </si>
  <si>
    <t>glycolic acid serum</t>
  </si>
  <si>
    <t>Sara Ali Cosmetic Bullet Lipstick - Date Night</t>
  </si>
  <si>
    <t>Sara Ali Cosmetics</t>
  </si>
  <si>
    <t>https://allurebeauty.pk/products/date-night-mauve-bullet-lipstick</t>
  </si>
  <si>
    <t>nude lipstick</t>
  </si>
  <si>
    <t>Local premium brand</t>
  </si>
  <si>
    <t>Conatural Better Than Ubtan Face &amp; Body Scrub 120g</t>
  </si>
  <si>
    <t>Scrub</t>
  </si>
  <si>
    <t>https://conaturalintl.com/products/better-than-ubtan-face-and-body-scrub-120g-clearance-sale-flat-40-off</t>
  </si>
  <si>
    <t>conatural face wash</t>
  </si>
  <si>
    <t>Local premium benchmark</t>
  </si>
  <si>
    <t>Zero Makeup Eye Stick - Deep Copper</t>
  </si>
  <si>
    <t>Eyeshadow Stick</t>
  </si>
  <si>
    <t>https://allurebeauty.pk/products/zero-makeup-eye-stick-deep-copper</t>
  </si>
  <si>
    <t>Local premium brand, 4.4k vol</t>
  </si>
  <si>
    <t>Zero Makeup Eye Stick - Antique Bronze</t>
  </si>
  <si>
    <t>https://allurebeauty.pk/products/zero-makeup-eye-stick-antique-bronze</t>
  </si>
  <si>
    <t>Zero Makeup Eye Stick - Light Gold</t>
  </si>
  <si>
    <t>https://allurebeauty.pk/products/zero-makeup-eye-stick-light-gold</t>
  </si>
  <si>
    <t>Zero Makeup Eye Stick - Pink Pearl</t>
  </si>
  <si>
    <t>https://allurebeauty.pk/products/zero-makeup-eye-stick-pink-pearl</t>
  </si>
  <si>
    <t>Huda Beauty Water Bottle 550ml - Pink</t>
  </si>
  <si>
    <t>Huda Beauty</t>
  </si>
  <si>
    <t>Accessory</t>
  </si>
  <si>
    <t>https://skinstorepakistan.com/products/huda-beauty-water-bottle-550ml-pink</t>
  </si>
  <si>
    <t>huda beauty lipstick</t>
  </si>
  <si>
    <t>Jenpharm Anagrow Hair Serum</t>
  </si>
  <si>
    <t>https://jenpharm.com/products/anagrow-hair-serum</t>
  </si>
  <si>
    <t>anagrow hair serum</t>
  </si>
  <si>
    <t>4,798 visits/mo</t>
  </si>
  <si>
    <t>Maybelline Fit Me Liquid Dewy Smooth SPF30 Foundation 30ml</t>
  </si>
  <si>
    <t>https://allurebeauty.pk/products/maybelline-fit-me-liquid-dewy-smooth-spf-30-foundation-112-natural-ivory-30ml</t>
  </si>
  <si>
    <t>fit me foundation</t>
  </si>
  <si>
    <t>Dr Althea 345 Relief Cream</t>
  </si>
  <si>
    <t>Dr Althea</t>
  </si>
  <si>
    <t>https://highfy.pk/products/dr-althea-345-relief-cream</t>
  </si>
  <si>
    <t>Ranks organically already</t>
  </si>
  <si>
    <t>L.A. Girl Brow Bestie Brow Pencil - Black Brown</t>
  </si>
  <si>
    <t>Brow</t>
  </si>
  <si>
    <t>https://allurebeauty.pk/products/l-a-girl-brow-bestie-brow-pencil-black-brown</t>
  </si>
  <si>
    <t>eyebrow pencil</t>
  </si>
  <si>
    <t>Dr Althea 345 Serum 15ml</t>
  </si>
  <si>
    <t>https://skinstorepakistan.com/products/dr-althea-345-serum-15ml</t>
  </si>
  <si>
    <t>Sara Ali Cosmetic Bombs Gloss - Maple 8ml</t>
  </si>
  <si>
    <t>Lip Gloss</t>
  </si>
  <si>
    <t>https://allurebeauty.pk/products/maple-peachy-pink-gloss-bomb</t>
  </si>
  <si>
    <t>lip gloss</t>
  </si>
  <si>
    <t>Jenpharm Maxdif Brightening Serum</t>
  </si>
  <si>
    <t>https://jenpharm.com/products/maxdif-brightening-serum</t>
  </si>
  <si>
    <t>whitening serum</t>
  </si>
  <si>
    <t>Conatural White Mask (Brightening Facial Mask)</t>
  </si>
  <si>
    <t>Face Mask</t>
  </si>
  <si>
    <t>https://conaturalintl.com/products/white-mask-face-brightening-mask-facial-mask</t>
  </si>
  <si>
    <t>2.4k vol / KD 9</t>
  </si>
  <si>
    <t>Bloom Effekt Reusable Eye Patches</t>
  </si>
  <si>
    <t>Bloom Effekt</t>
  </si>
  <si>
    <t>https://allurebeauty.pk/products/bloom-effekt-reusable-eye-patches</t>
  </si>
  <si>
    <t>under eye cream</t>
  </si>
  <si>
    <t>Conatural Triple Correction Eye Serum</t>
  </si>
  <si>
    <t>https://conaturalintl.com/products/triple-correction-eye-serum</t>
  </si>
  <si>
    <t>best eye cream in pakistan</t>
  </si>
  <si>
    <t>Jenpharm Mandelac Serum</t>
  </si>
  <si>
    <t>https://jenpharm.com/products/mandelac-serum</t>
  </si>
  <si>
    <t>mandelic acid serum</t>
  </si>
  <si>
    <t>Jenpharm Spectra Block Max 100</t>
  </si>
  <si>
    <t>https://jenpharm.com/products/spectra-block-max-100</t>
  </si>
  <si>
    <t>spf 60 sunscreen</t>
  </si>
  <si>
    <t>Lamel Volume Oversize Mascara - Black</t>
  </si>
  <si>
    <t>Lamel</t>
  </si>
  <si>
    <t>Mascara</t>
  </si>
  <si>
    <t>Poland</t>
  </si>
  <si>
    <t>https://allurebeauty.pk/products/lamel-volume-oversize-mascara-black</t>
  </si>
  <si>
    <t>mascara</t>
  </si>
  <si>
    <t>Arencia Vita Collagen Radiance Jello Mask</t>
  </si>
  <si>
    <t>https://skinstorepakistan.com/products/arencia-vita-collagen-radiance-jello-mask</t>
  </si>
  <si>
    <t>face mask</t>
  </si>
  <si>
    <t>Jenpharm Anagrow Anti-Hair Fall Shampoo</t>
  </si>
  <si>
    <t>https://jenpharm.com/products/anagrow-anti-hair-fall-shampoo</t>
  </si>
  <si>
    <t>anagrow serum price in pakistan</t>
  </si>
  <si>
    <t>7,291 visits/mo</t>
  </si>
  <si>
    <t>Lamel Smart Skin Concealer 404 Natural 15ml</t>
  </si>
  <si>
    <t>https://allurebeauty.pk/products/lamel-smart-skin-concealer-404-natural-15ml</t>
  </si>
  <si>
    <t>Conatural Vitamin C Super Activ Skin Serum</t>
  </si>
  <si>
    <t>https://conaturalintl.com/products/vitamin-c-super-activ-skin-serum</t>
  </si>
  <si>
    <t>vitamin c serum price in pakistan</t>
  </si>
  <si>
    <t>KD 8 / 4.4k vol - best single opportunity</t>
  </si>
  <si>
    <t>Conatural Hyaluronic Acid 2% + B5 Super Activ Skin Serum</t>
  </si>
  <si>
    <t>https://conaturalintl.com/products/hyaluronic-acid-2-b5-super-activ-skin-serum</t>
  </si>
  <si>
    <t>Jenpharm Niaronic Serum</t>
  </si>
  <si>
    <t>https://jenpharm.com/products/niaronic-serum</t>
  </si>
  <si>
    <t>niacinamide serum price in pakistan</t>
  </si>
  <si>
    <t>Vince Collagen Cream</t>
  </si>
  <si>
    <t>https://vincecare.com/products/collagen-cream</t>
  </si>
  <si>
    <t>collagen cream</t>
  </si>
  <si>
    <t>Meladerm C Serum - Intensive Skin Lightening Serum</t>
  </si>
  <si>
    <t>Meladerm</t>
  </si>
  <si>
    <t>Skinshop.pk</t>
  </si>
  <si>
    <t>https://skinshop.pk/products/meladerm-c-serum-intensive-skin-lightening-serum</t>
  </si>
  <si>
    <t>Jenpharm Mandelac Cream</t>
  </si>
  <si>
    <t>https://jenpharm.com/products/mandelac-cream</t>
  </si>
  <si>
    <t>mandelac face wash</t>
  </si>
  <si>
    <t>Vince Skin Lightening Night Cream</t>
  </si>
  <si>
    <t>Night Cream</t>
  </si>
  <si>
    <t>https://vincecare.com/products/skin-lightening-night-cream</t>
  </si>
  <si>
    <t>Seriko Ultra Skin Lightening Serum 20ml</t>
  </si>
  <si>
    <t>Seriko</t>
  </si>
  <si>
    <t>https://skinshop.pk/products/seriko-ultra-skin-lightening-serum-20ml</t>
  </si>
  <si>
    <t>8.1k vol / KD 20</t>
  </si>
  <si>
    <t>Jenpharm Spectra Matt SPF 40</t>
  </si>
  <si>
    <t>https://jenpharm.com/products/spectra-matt</t>
  </si>
  <si>
    <t>sunscreen for oily skin</t>
  </si>
  <si>
    <t>Vince Extra Lightening Serum</t>
  </si>
  <si>
    <t>https://vincecare.com/products/extra-lightening-serum-2</t>
  </si>
  <si>
    <t>Conatural Niacinamide 10% + Zinc 1% Super Activ Skin Serum</t>
  </si>
  <si>
    <t>https://conaturalintl.com/products/niacinamide-10-zinc-1-super-activ-skin-serum</t>
  </si>
  <si>
    <t>Their #1 traffic page (3,880 visits/mo)</t>
  </si>
  <si>
    <t>Jenpharm Maxdif Skin Brightening Cream</t>
  </si>
  <si>
    <t>Brightening Cream</t>
  </si>
  <si>
    <t>https://jenpharm.com/products/maxdif-skin-brightening-cream</t>
  </si>
  <si>
    <t>maxdif cream price in pakistan</t>
  </si>
  <si>
    <t>Top PK derma page: 10,812 visits/mo</t>
  </si>
  <si>
    <t>Vince Hyaluronic Acid Serum</t>
  </si>
  <si>
    <t>https://vincecare.com/products/hyaluronic-acid-serum</t>
  </si>
  <si>
    <t>Jenpharm Spectra Block Sunblock</t>
  </si>
  <si>
    <t>https://jenpharm.com/products/sunblock-spectra-block</t>
  </si>
  <si>
    <t>4,723 visits/mo</t>
  </si>
  <si>
    <t>Vince Vitamin C Serum</t>
  </si>
  <si>
    <t>https://vincecare.com/products/vitamin-c-serum</t>
  </si>
  <si>
    <t>vince vitamin c serum</t>
  </si>
  <si>
    <t>Vince Sunblock SPF 50</t>
  </si>
  <si>
    <t>https://vincecare.com/products/sunblock-spf-50</t>
  </si>
  <si>
    <t>sunscreen spf 50</t>
  </si>
  <si>
    <t>KD 7</t>
  </si>
  <si>
    <t>Jenpharm Dermive Oil Free Moisturizer</t>
  </si>
  <si>
    <t>https://jenpharm.com/products/dermive-oil-free</t>
  </si>
  <si>
    <t>dermive oil free moisturizer</t>
  </si>
  <si>
    <t>5.4k vol / KD 17</t>
  </si>
  <si>
    <t>SKU count above PKR 2,000</t>
  </si>
  <si>
    <t>Average price (PKR)</t>
  </si>
  <si>
    <t>Median price (PKR)</t>
  </si>
  <si>
    <t>Highest price (PKR)</t>
  </si>
  <si>
    <t>Combined monthly search volume of matched keywords</t>
  </si>
  <si>
    <t>Prices read from public retailer product feeds, August 2026, in PKR before discount. Keyword volume and KD from Semrush pk database.</t>
  </si>
  <si>
    <t>Keyword</t>
  </si>
  <si>
    <t>Cluster</t>
  </si>
  <si>
    <t>Volume/mo</t>
  </si>
  <si>
    <t>CPC (USD)</t>
  </si>
  <si>
    <t>Competitive Density</t>
  </si>
  <si>
    <t>Difficulty Band</t>
  </si>
  <si>
    <t>Est. Traffic @ Pos.3</t>
  </si>
  <si>
    <t>Priority Score</t>
  </si>
  <si>
    <t>skinoren cream</t>
  </si>
  <si>
    <t>Brightening</t>
  </si>
  <si>
    <t>Informational</t>
  </si>
  <si>
    <t>skin a cream</t>
  </si>
  <si>
    <t>makeup city</t>
  </si>
  <si>
    <t>Makeup</t>
  </si>
  <si>
    <t>Navigational</t>
  </si>
  <si>
    <t>eventone c cream price in pakistan</t>
  </si>
  <si>
    <t>gluta white cream price in pakistan</t>
  </si>
  <si>
    <t>Commercial</t>
  </si>
  <si>
    <t>hydrozole cream</t>
  </si>
  <si>
    <t>Derma</t>
  </si>
  <si>
    <t>ponds face wash</t>
  </si>
  <si>
    <t>Informational/Trans</t>
  </si>
  <si>
    <t>Navigational/Trans</t>
  </si>
  <si>
    <t>biofade cream</t>
  </si>
  <si>
    <t>eventone c cream</t>
  </si>
  <si>
    <t>quench cream</t>
  </si>
  <si>
    <t>skinoren cream price in pakistan</t>
  </si>
  <si>
    <t>Transactional</t>
  </si>
  <si>
    <t>tracnesan cream</t>
  </si>
  <si>
    <t>triac face wash</t>
  </si>
  <si>
    <t>Serum</t>
  </si>
  <si>
    <t>skin aqua sunscreen</t>
  </si>
  <si>
    <t>dermoteen cream price in pakistan</t>
  </si>
  <si>
    <t>skin a cream price in pakistan</t>
  </si>
  <si>
    <t>cerave face wash</t>
  </si>
  <si>
    <t>face wash</t>
  </si>
  <si>
    <t>possible sunscreen</t>
  </si>
  <si>
    <t>moisturizer</t>
  </si>
  <si>
    <t>gulta white cream</t>
  </si>
  <si>
    <t>barrier sunscreen</t>
  </si>
  <si>
    <t>alpha glow cream price in pakistan</t>
  </si>
  <si>
    <t>Informational/Comm</t>
  </si>
  <si>
    <t>glupatone cream</t>
  </si>
  <si>
    <t>lumexa cream price in pakistan</t>
  </si>
  <si>
    <t>white balance cream</t>
  </si>
  <si>
    <t>nivea cream</t>
  </si>
  <si>
    <t>garnier face wash</t>
  </si>
  <si>
    <t>triac face wash price in pakistan</t>
  </si>
  <si>
    <t>medora lipstick</t>
  </si>
  <si>
    <t>Lips</t>
  </si>
  <si>
    <t>serum</t>
  </si>
  <si>
    <t>sunscreen</t>
  </si>
  <si>
    <t>dermive moisturizer</t>
  </si>
  <si>
    <t>alpha glow cream</t>
  </si>
  <si>
    <t>azelaic acid cream</t>
  </si>
  <si>
    <t>chalonese brightening cream price in pakistan</t>
  </si>
  <si>
    <t>gluta white cream</t>
  </si>
  <si>
    <t>golden pearl cream</t>
  </si>
  <si>
    <t>best face wash in pakistan</t>
  </si>
  <si>
    <t>himalaya face wash</t>
  </si>
  <si>
    <t>jenpharm face wash</t>
  </si>
  <si>
    <t>salicylic acid face wash</t>
  </si>
  <si>
    <t>lipstick</t>
  </si>
  <si>
    <t>masarrat misbah foundation</t>
  </si>
  <si>
    <t>Face Makeup</t>
  </si>
  <si>
    <t>miss rose foundation</t>
  </si>
  <si>
    <t>nars foundation price in pakistan</t>
  </si>
  <si>
    <t>ava skin care</t>
  </si>
  <si>
    <t>livon hair serum</t>
  </si>
  <si>
    <t>Hair</t>
  </si>
  <si>
    <t>cetaphil moisturizer</t>
  </si>
  <si>
    <t>dermive moisturizer price in pakistan</t>
  </si>
  <si>
    <t>acne face wash</t>
  </si>
  <si>
    <t>Acne</t>
  </si>
  <si>
    <t>clean and clear face wash</t>
  </si>
  <si>
    <t>golden pearl face wash</t>
  </si>
  <si>
    <t>Informational/Nav</t>
  </si>
  <si>
    <t>neutrogena face wash</t>
  </si>
  <si>
    <t>how to clean makeup brushes</t>
  </si>
  <si>
    <t>dr rashel vitamin c serum</t>
  </si>
  <si>
    <t>ordinary serum price in pakistan</t>
  </si>
  <si>
    <t>salicylic acid serum</t>
  </si>
  <si>
    <t>the ordinary serum</t>
  </si>
  <si>
    <t>ponds moisturizer</t>
  </si>
  <si>
    <t>beads face wash</t>
  </si>
  <si>
    <t>ces vi brightening face wash</t>
  </si>
  <si>
    <t>cetaphil face wash</t>
  </si>
  <si>
    <t>face wash for oily skin</t>
  </si>
  <si>
    <t>mandelac face wash price in pakistan</t>
  </si>
  <si>
    <t>mec face wash</t>
  </si>
  <si>
    <t>rice face wash</t>
  </si>
  <si>
    <t>emelie foundation</t>
  </si>
  <si>
    <t>kashees foundation price in pakistan</t>
  </si>
  <si>
    <t>Nav/Trans</t>
  </si>
  <si>
    <t>makeup kit</t>
  </si>
  <si>
    <t>skin care products</t>
  </si>
  <si>
    <t>ordinary niacinamide serum</t>
  </si>
  <si>
    <t>neobrella sunscreen</t>
  </si>
  <si>
    <t>best moisturizer in pakistan</t>
  </si>
  <si>
    <t>cetaphil moisturizer price in pakistan</t>
  </si>
  <si>
    <t>physiogel moisturizer price in pakistan</t>
  </si>
  <si>
    <t>alite face wash</t>
  </si>
  <si>
    <t>bacno face wash</t>
  </si>
  <si>
    <t>best face wash</t>
  </si>
  <si>
    <t>face wash for dry skin</t>
  </si>
  <si>
    <t>ponds face wash price in pakistan</t>
  </si>
  <si>
    <t>saeed ghani face wash</t>
  </si>
  <si>
    <t>vince face wash</t>
  </si>
  <si>
    <t>zenova face wash</t>
  </si>
  <si>
    <t>glycolic acid toner</t>
  </si>
  <si>
    <t>Toner</t>
  </si>
  <si>
    <t>christine makeup</t>
  </si>
  <si>
    <t>fit me foundation price in pakistan</t>
  </si>
  <si>
    <t>huda beauty foundation</t>
  </si>
  <si>
    <t>huda beauty foundation price in pakistan</t>
  </si>
  <si>
    <t>kashees foundation</t>
  </si>
  <si>
    <t>miss rose foundation price in pakistan</t>
  </si>
  <si>
    <t>j makeup</t>
  </si>
  <si>
    <t>safrin skin care</t>
  </si>
  <si>
    <t>best vitamin c serum in pakistan</t>
  </si>
  <si>
    <t>garnier vitamin c serum</t>
  </si>
  <si>
    <t>livon hair serum price in pakistan</t>
  </si>
  <si>
    <t>the ordinary serum price in pakistan</t>
  </si>
  <si>
    <t>la roche posay sunscreen</t>
  </si>
  <si>
    <t>neuage moisturizer</t>
  </si>
  <si>
    <t>physiogel moisturizer</t>
  </si>
  <si>
    <t>beads face wash price in pakistan</t>
  </si>
  <si>
    <t>dr rashel face wash</t>
  </si>
  <si>
    <t>ethiglo face wash</t>
  </si>
  <si>
    <t>johnson face wash</t>
  </si>
  <si>
    <t>loreal face wash</t>
  </si>
  <si>
    <t>maxdif face wash price in pakistan</t>
  </si>
  <si>
    <t>whitening face wash</t>
  </si>
  <si>
    <t>medora lipstick price in pakistan</t>
  </si>
  <si>
    <t>medora lipstick shades</t>
  </si>
  <si>
    <t>bridal makeup</t>
  </si>
  <si>
    <t>party makeup</t>
  </si>
  <si>
    <t>bremod hair serum</t>
  </si>
  <si>
    <t>retinol serum price in pakistan</t>
  </si>
  <si>
    <t>bioderma sunscreen</t>
  </si>
  <si>
    <t>centella sunscreen</t>
  </si>
  <si>
    <t>cerave sunscreen</t>
  </si>
  <si>
    <t>sunscreen in pakistan</t>
  </si>
  <si>
    <t>tinted sunscreen</t>
  </si>
  <si>
    <t>moisturizer for oily skin</t>
  </si>
  <si>
    <t>nude lipstick shades</t>
  </si>
  <si>
    <t>swiss miss lipstick</t>
  </si>
  <si>
    <t>makeup organizer</t>
  </si>
  <si>
    <t>masarrat misbah makeup</t>
  </si>
  <si>
    <t>sapphire makeup</t>
  </si>
  <si>
    <t>alpha arbutin serum</t>
  </si>
  <si>
    <t>Anti-ageing</t>
  </si>
  <si>
    <t>deconstruct vitamin c serum</t>
  </si>
  <si>
    <t>garnier vitamin c serum price in pakistan</t>
  </si>
  <si>
    <t>best sunscreen for oily skin</t>
  </si>
  <si>
    <t>broad spectrum sunscreen</t>
  </si>
  <si>
    <t>neutrogena sunscreen</t>
  </si>
  <si>
    <t>sunbrella sunscreen</t>
  </si>
  <si>
    <t>best moisturizer for dry skin</t>
  </si>
  <si>
    <t>dermaxil moisturizer</t>
  </si>
  <si>
    <t>skin aqua moisturizer</t>
  </si>
  <si>
    <t>acne clear face wash</t>
  </si>
  <si>
    <t>acne cream</t>
  </si>
  <si>
    <t>toner</t>
  </si>
  <si>
    <t>miss rose lipstick</t>
  </si>
  <si>
    <t>makeup box</t>
  </si>
  <si>
    <t>makeup revolution</t>
  </si>
  <si>
    <t>revolution makeup</t>
  </si>
  <si>
    <t>skin care products in pakistan</t>
  </si>
  <si>
    <t>anagrow serum</t>
  </si>
  <si>
    <t>best retinol serum in pakistan</t>
  </si>
  <si>
    <t>best vitamin c serum</t>
  </si>
  <si>
    <t>biocos serum</t>
  </si>
  <si>
    <t>livon serum</t>
  </si>
  <si>
    <t>niacinamide serum benefits</t>
  </si>
  <si>
    <t>what is a vitamin c serum</t>
  </si>
  <si>
    <t>ziniac serum</t>
  </si>
  <si>
    <t>best sunscreen in pakistan with price</t>
  </si>
  <si>
    <t>dilipro sunscreen</t>
  </si>
  <si>
    <t>embryolisse moisturizer</t>
  </si>
  <si>
    <t>neutrogena moisturizer</t>
  </si>
  <si>
    <t>nivea moisturizer</t>
  </si>
  <si>
    <t>ponds moisturizer price in pakistan</t>
  </si>
  <si>
    <t>acnes face wash price in pakistan</t>
  </si>
  <si>
    <t>flormar lipstick pencil</t>
  </si>
  <si>
    <t>lipstick colour</t>
  </si>
  <si>
    <t>makeup bag</t>
  </si>
  <si>
    <t>best skin care products in pakistan</t>
  </si>
  <si>
    <t>best niacinamide serum in pakistan</t>
  </si>
  <si>
    <t>bremod hair serum price in pakistan</t>
  </si>
  <si>
    <t>enzo hair serum</t>
  </si>
  <si>
    <t>golden pearl serum</t>
  </si>
  <si>
    <t>hyaluronic acid serum benefits</t>
  </si>
  <si>
    <t>niacinamide serum uses</t>
  </si>
  <si>
    <t>ordinary niacinamide serum price in pakistan</t>
  </si>
  <si>
    <t>aqua sunscreen</t>
  </si>
  <si>
    <t>beauty of joseon sunscreen price in pakistan</t>
  </si>
  <si>
    <t>estelin sunscreen</t>
  </si>
  <si>
    <t>medicated sunscreen</t>
  </si>
  <si>
    <t>sunscreen for dry skin</t>
  </si>
  <si>
    <t>best moisturizer for oily skin</t>
  </si>
  <si>
    <t>ceramide moisturizer</t>
  </si>
  <si>
    <t>cerave moisturizing cream price in pakistan</t>
  </si>
  <si>
    <t>cetaphil moisturizing cream</t>
  </si>
  <si>
    <t>ponds gel moisturizer</t>
  </si>
  <si>
    <t>acne aid soap</t>
  </si>
  <si>
    <t>mac lipstick</t>
  </si>
  <si>
    <t>mac lipstick price in pakistan</t>
  </si>
  <si>
    <t>medora lipstick shades with numbers</t>
  </si>
  <si>
    <t>girls makeup</t>
  </si>
  <si>
    <t>makeup brushes</t>
  </si>
  <si>
    <t>makeup pouch</t>
  </si>
  <si>
    <t>skin care tips</t>
  </si>
  <si>
    <t>best sunscreen for oily skin in pakistan</t>
  </si>
  <si>
    <t>cerave sunscreen price in pakistan</t>
  </si>
  <si>
    <t>dilipro sunscreen price in pakistan</t>
  </si>
  <si>
    <t>dot and key sunscreen price in pakistan</t>
  </si>
  <si>
    <t>sunscreen cream</t>
  </si>
  <si>
    <t>hydrophil moisturizing lotion</t>
  </si>
  <si>
    <t>non comedogenic moisturizer</t>
  </si>
  <si>
    <t>oil free moisturizer</t>
  </si>
  <si>
    <t>ponds light moisturizer</t>
  </si>
  <si>
    <t>acne scar cream</t>
  </si>
  <si>
    <t>acne soap</t>
  </si>
  <si>
    <t>best acne cream in pakistan</t>
  </si>
  <si>
    <t>best face wash for acne</t>
  </si>
  <si>
    <t>cerave acne control cleanser</t>
  </si>
  <si>
    <t>mentholatum acnes face wash</t>
  </si>
  <si>
    <t>cerave eye repair cream</t>
  </si>
  <si>
    <t>best toner for glowing skin</t>
  </si>
  <si>
    <t>clazona lipstick</t>
  </si>
  <si>
    <t>rivaj lipstick</t>
  </si>
  <si>
    <t>highlighter makeup</t>
  </si>
  <si>
    <t>korean makeup</t>
  </si>
  <si>
    <t>medora makeup</t>
  </si>
  <si>
    <t>pakistani makeup</t>
  </si>
  <si>
    <t>best skin care products</t>
  </si>
  <si>
    <t>best sunscreen for dry skin</t>
  </si>
  <si>
    <t>heliocare sunscreen</t>
  </si>
  <si>
    <t>neutrogena sunscreen price in pakistan</t>
  </si>
  <si>
    <t>tinted sunscreen in pakistan</t>
  </si>
  <si>
    <t>cetamoist moisturizer price in pakistan</t>
  </si>
  <si>
    <t>jenpharm moisturizer</t>
  </si>
  <si>
    <t>nivea moisturizer price in pakistan</t>
  </si>
  <si>
    <t>acne cure cream</t>
  </si>
  <si>
    <t>best acne cream</t>
  </si>
  <si>
    <t>neutrogena oil free acne wash</t>
  </si>
  <si>
    <t>best under eye cream for dark circles</t>
  </si>
  <si>
    <t>christine lipstick</t>
  </si>
  <si>
    <t>huda beauty icon lipstick</t>
  </si>
  <si>
    <t>lipstick palette</t>
  </si>
  <si>
    <t>revlon lipstick</t>
  </si>
  <si>
    <t>skin aqua sunscreen price in pakistan</t>
  </si>
  <si>
    <t>u veil sunscreen</t>
  </si>
  <si>
    <t>garnier sunscreen</t>
  </si>
  <si>
    <t>nivea sunscreen</t>
  </si>
  <si>
    <t>difference between sunscreen and sunblock</t>
  </si>
  <si>
    <t>best moisturizer for dry skin in pakistan</t>
  </si>
  <si>
    <t>cerave facial moisturizing lotion</t>
  </si>
  <si>
    <t>embryolisse moisturizer price in pakistan</t>
  </si>
  <si>
    <t>acne cream in pakistan</t>
  </si>
  <si>
    <t>acne scar care gel</t>
  </si>
  <si>
    <t>best face wash for acne in pakistan</t>
  </si>
  <si>
    <t>cerave eye repair cream price in pakistan</t>
  </si>
  <si>
    <t>dior lipstick price in pakistan</t>
  </si>
  <si>
    <t>flormar lipstick</t>
  </si>
  <si>
    <t>skin care cream</t>
  </si>
  <si>
    <t>mineral sunscreen in pakistan</t>
  </si>
  <si>
    <t>mineral sunscreen</t>
  </si>
  <si>
    <t>acne care cream</t>
  </si>
  <si>
    <t>acne scar gel</t>
  </si>
  <si>
    <t>bioaqua acne cream</t>
  </si>
  <si>
    <t>mistine acne clear face wash</t>
  </si>
  <si>
    <t>ponds acne face wash</t>
  </si>
  <si>
    <t>rice toner</t>
  </si>
  <si>
    <t>tea tree toner</t>
  </si>
  <si>
    <t>urapra glycolic acid toner price in pakistan</t>
  </si>
  <si>
    <t>loreal lipstick</t>
  </si>
  <si>
    <t>maybelline lipstick price in pakistan</t>
  </si>
  <si>
    <t>sapphire lipstick</t>
  </si>
  <si>
    <t>ysl lipstick price in pakistan</t>
  </si>
  <si>
    <t>skin care brands</t>
  </si>
  <si>
    <t>skin care brands in pakistan</t>
  </si>
  <si>
    <t>acne clear face wash price in pakistan</t>
  </si>
  <si>
    <t>acne gel</t>
  </si>
  <si>
    <t>acne plus face wash</t>
  </si>
  <si>
    <t>eye wrinkle cream</t>
  </si>
  <si>
    <t>skin care products for men</t>
  </si>
  <si>
    <t>best toner in pakistan</t>
  </si>
  <si>
    <t>glycolic acid toner in pakistan</t>
  </si>
  <si>
    <t>soft touch toner</t>
  </si>
  <si>
    <t>toner for oily skin</t>
  </si>
  <si>
    <t>best skin care brands in pakistan</t>
  </si>
  <si>
    <t>korean skin care products in pakistan</t>
  </si>
  <si>
    <t>saeed ghani eye cream</t>
  </si>
  <si>
    <t>best toner</t>
  </si>
  <si>
    <t>milk toner</t>
  </si>
  <si>
    <t>rose water toner</t>
  </si>
  <si>
    <t>skin care face wash</t>
  </si>
  <si>
    <t>best eye cream for dark circles in pakistan</t>
  </si>
  <si>
    <t>eye cream in pakistan</t>
  </si>
  <si>
    <t>eyeloxyl eye cream</t>
  </si>
  <si>
    <t>aha bha toner</t>
  </si>
  <si>
    <t>salicylic acid toner</t>
  </si>
  <si>
    <t>best toner for oily skin</t>
  </si>
  <si>
    <t>face toner</t>
  </si>
  <si>
    <t>affordable skin care products</t>
  </si>
  <si>
    <t>organic skin care products</t>
  </si>
  <si>
    <t>skin care routine steps</t>
  </si>
  <si>
    <t>bioaqua eye cream</t>
  </si>
  <si>
    <t>dark circle eye cream price in pakistan</t>
  </si>
  <si>
    <t>pakistani skin care brands</t>
  </si>
  <si>
    <t>skin care products list</t>
  </si>
  <si>
    <t>skin care routine for oily skin</t>
  </si>
  <si>
    <t>vince skin care</t>
  </si>
  <si>
    <t>cosrx advanced snail peptide eye cream</t>
  </si>
  <si>
    <t>eye cream for dark circles in pakistan</t>
  </si>
  <si>
    <t>men's skin care products in pakistan</t>
  </si>
  <si>
    <t>best organic skin care products in pakistan</t>
  </si>
  <si>
    <t>affordable skin care products in pakistan</t>
  </si>
  <si>
    <t>Keywords tracked</t>
  </si>
  <si>
    <t>Total addressable monthly searches</t>
  </si>
  <si>
    <t>Keywords at KD &lt;= 20 (realistic for a new domain)</t>
  </si>
  <si>
    <t>Monthly searches sitting behind KD &lt;= 20</t>
  </si>
  <si>
    <t>Est. Traffic @ Pos.3 assumes an 11% click-through rate for position 3 — an industry benchmark, not a Semrush figure.</t>
  </si>
  <si>
    <t>Priority Score = Volume / KD. Higher = more search demand per unit of ranking difficulty.</t>
  </si>
  <si>
    <t>HIGH VOLUME + LOW DIFFICULTY — the terms a new premium brand can actually win</t>
  </si>
  <si>
    <t>Filter applied: monthly volume &gt;= 500 AND Keyword Difficulty &lt;= 20. Sorted by Priority Score (Volume / KD).</t>
  </si>
  <si>
    <t>Rank</t>
  </si>
  <si>
    <t>Recommended Page Type</t>
  </si>
  <si>
    <t>Product page + price schema</t>
  </si>
  <si>
    <t>Collection page</t>
  </si>
  <si>
    <t>Comparison / buying guide</t>
  </si>
  <si>
    <t>Category landing page</t>
  </si>
  <si>
    <t>Product page</t>
  </si>
  <si>
    <t>Blog / educational</t>
  </si>
  <si>
    <t>Opportunity keywords</t>
  </si>
  <si>
    <t>Combined monthly searches available</t>
  </si>
  <si>
    <t>Est. monthly sessions if ranked #3 across all of them (11% CTR)</t>
  </si>
  <si>
    <t>Top 20 rows shaded — attack these first. Every one sits below KD 20, i.e. below the Authority Score of every incumbent in tab 5.</t>
  </si>
  <si>
    <t>WHO OWNS THIS SERP TODAY — and how strong they actually are</t>
  </si>
  <si>
    <t>Semrush Authority Score (AS) is the industry proxy for Domain Authority. Scale 0-100.</t>
  </si>
  <si>
    <t>Domain</t>
  </si>
  <si>
    <t>Segment</t>
  </si>
  <si>
    <t>Authority Score</t>
  </si>
  <si>
    <t>Total Backlinks</t>
  </si>
  <si>
    <t>Referring Domains</t>
  </si>
  <si>
    <t>Best Product Page</t>
  </si>
  <si>
    <t>Its Traffic/mo</t>
  </si>
  <si>
    <t>Links per Ref Domain</t>
  </si>
  <si>
    <t>Read</t>
  </si>
  <si>
    <t>saeedghani.pk</t>
  </si>
  <si>
    <t>Local herbal / heritage</t>
  </si>
  <si>
    <t>/collections/skin-care</t>
  </si>
  <si>
    <t>n/a</t>
  </si>
  <si>
    <t>Highest AS of the local brand set</t>
  </si>
  <si>
    <t>naheed.pk</t>
  </si>
  <si>
    <t>Multi-brand retailer</t>
  </si>
  <si>
    <t>/health-beauty/skin-care</t>
  </si>
  <si>
    <t>Widest referring-domain base (5,570)</t>
  </si>
  <si>
    <t>jenpharm.com</t>
  </si>
  <si>
    <t>Local derma / cosmeceutical</t>
  </si>
  <si>
    <t>/products/maxdif-skin-brightening-cream</t>
  </si>
  <si>
    <t>10,812/mo</t>
  </si>
  <si>
    <t>Best organic revenue per link in PK skincare</t>
  </si>
  <si>
    <t>conaturalintl.com</t>
  </si>
  <si>
    <t>Local premium organic</t>
  </si>
  <si>
    <t>/products/niacinamide-10-zinc-1-super-activ-skin-serum</t>
  </si>
  <si>
    <t>3,880/mo</t>
  </si>
  <si>
    <t>Ranks #1 for 'best skin care products in pakistan'</t>
  </si>
  <si>
    <t>bagallery.com</t>
  </si>
  <si>
    <t>Multi-brand e-tailer</t>
  </si>
  <si>
    <t>VC-backed marketplace</t>
  </si>
  <si>
    <t>vincecare.com</t>
  </si>
  <si>
    <t>Local mass-premium</t>
  </si>
  <si>
    <t>/products/vitamin-c-serum</t>
  </si>
  <si>
    <t>1,634/mo</t>
  </si>
  <si>
    <t>allurebeauty.pk</t>
  </si>
  <si>
    <t>Imported premium e-tailer</t>
  </si>
  <si>
    <t>1,256 ref domains vs AS 32 - link-diverse</t>
  </si>
  <si>
    <t>highfy.pk</t>
  </si>
  <si>
    <t>/products/ponds-super-light-gel-50g</t>
  </si>
  <si>
    <t>2,567/mo</t>
  </si>
  <si>
    <t>skinstorepakistan.com</t>
  </si>
  <si>
    <t>K-beauty specialist</t>
  </si>
  <si>
    <t>LOWEST barrier: only 276 ref domains</t>
  </si>
  <si>
    <t>goldenpearl.com.pk</t>
  </si>
  <si>
    <t>Local mass whitening</t>
  </si>
  <si>
    <t>/products/vitamin-c-skin-serum</t>
  </si>
  <si>
    <t>AS 19 yet ranks page-1 for high-vol terms</t>
  </si>
  <si>
    <t>Average Authority Score of the field</t>
  </si>
  <si>
    <t>Highest Authority Score in the field</t>
  </si>
  <si>
    <t>Median referring domains</t>
  </si>
  <si>
    <t>What this means: no domain in Pakistani skincare exceeds AS 40. A new brand reaching AS 35-40 with ~700 quality referring domains competes with the entire field.</t>
  </si>
  <si>
    <t>TOP BRANDS OPERATING IN PAKISTAN — ownership and latest annual revenue</t>
  </si>
  <si>
    <t>Only PSX-listed companies publish audited revenue. Private local brands disclose nothing — those rows read 'Not disclosed' and carry a proxy where one exists. No figure here is estimated by us.</t>
  </si>
  <si>
    <t>Company (legal entity)</t>
  </si>
  <si>
    <t>Key beauty / personal-care brands</t>
  </si>
  <si>
    <t>Ownership</t>
  </si>
  <si>
    <t>Latest annual revenue</t>
  </si>
  <si>
    <t>Fiscal year</t>
  </si>
  <si>
    <t>Growth</t>
  </si>
  <si>
    <t>Source</t>
  </si>
  <si>
    <t>Colgate-Palmolive (Pakistan) Ltd</t>
  </si>
  <si>
    <t>Colgate, Palmolive, Protex, Sparkle, Max</t>
  </si>
  <si>
    <t>PSX-listed (COLG); Colgate-Palmolive US + Lakson Group</t>
  </si>
  <si>
    <t>PKR 116.0bn (~US$415m); TTM to Mar-26 PKR 120.17bn</t>
  </si>
  <si>
    <t>FY ended 30-Jun-2025</t>
  </si>
  <si>
    <t>+2.45% (TTM +3.43%); PAT PKR 18.4bn +6%</t>
  </si>
  <si>
    <t>https://stockanalysis.com/quote/psx/COLG/revenue/</t>
  </si>
  <si>
    <t>Unilever Pakistan Ltd</t>
  </si>
  <si>
    <t>Ponds, Glow &amp; Lovely, Dove, Vaseline, Lux, Lifebuoy, Sunsilk, Clear, TRESemme, Rexona</t>
  </si>
  <si>
    <t>MNC subsidiary; delisted from PSX 2013</t>
  </si>
  <si>
    <t>Not disclosed. Proxies: 20,000+ employees, 258,000 stores served, 99% household reach, top-20 Unilever market</t>
  </si>
  <si>
    <t>Home Care USG +39.7% (2023)</t>
  </si>
  <si>
    <t>https://www.unilever.com/news/news-search/2023/inside-our-markets-unilevers-business-in-pakistan/</t>
  </si>
  <si>
    <t>Unilever Pakistan Foods Ltd</t>
  </si>
  <si>
    <t>Knorr, Rafhah (foods only - the listed Unilever entity)</t>
  </si>
  <si>
    <t>PSX-listed (UPFL)</t>
  </si>
  <si>
    <t>PKR 40.57bn; TTM to Mar-26 PKR 43.29bn</t>
  </si>
  <si>
    <t>FY ended 31-Dec-2025</t>
  </si>
  <si>
    <t>+20.35% (TTM +22.2%)</t>
  </si>
  <si>
    <t>https://stockanalysis.com/quote/psx/UPFL/revenue/</t>
  </si>
  <si>
    <t>Procter &amp; Gamble Pakistan</t>
  </si>
  <si>
    <t>Olay, Head &amp; Shoulders, Pantene, Safeguard, Always, Oral-B</t>
  </si>
  <si>
    <t>MNC subsidiary; announced EXIT Oct-2025, moving to 3rd-party distributor model</t>
  </si>
  <si>
    <t>Not disclosed</t>
  </si>
  <si>
    <t>Exiting market</t>
  </si>
  <si>
    <t>https://profit.pakistantoday.com.pk/2025/10/02/pg-to-discontinue-business-in-pakistan-as-part-of-global-restructuring/</t>
  </si>
  <si>
    <t>Gillette Pakistan Ltd</t>
  </si>
  <si>
    <t>Gillette, Venus</t>
  </si>
  <si>
    <t>PSX-listed (GLPL); &gt;90% P&amp;G. Delisting under evaluation</t>
  </si>
  <si>
    <t>PKR 1.72bn</t>
  </si>
  <si>
    <t>+14.50% (after -50.3% FY24)</t>
  </si>
  <si>
    <t>https://stockanalysis.com/quote/psx/GLPL/revenue/</t>
  </si>
  <si>
    <t>ZIL Limited</t>
  </si>
  <si>
    <t>Capri soap, Opal, HYPro, Hype by Capri</t>
  </si>
  <si>
    <t>PSX-listed (ZIL); 84.84% TWF Holding LLC (UAE)</t>
  </si>
  <si>
    <t>PKR 6.845bn; TTM to Mar-26 PKR 7.08bn</t>
  </si>
  <si>
    <t>+7.55% (TTM +14.9%)</t>
  </si>
  <si>
    <t>https://stockanalysis.com/quote/psx/ZIL/financials/</t>
  </si>
  <si>
    <t>Treet Corporation Ltd</t>
  </si>
  <si>
    <t>Treet razors/blades, shaving foam, soaps</t>
  </si>
  <si>
    <t>PSX-listed (TREET)</t>
  </si>
  <si>
    <t>PKR 26.69bn consolidated</t>
  </si>
  <si>
    <t>+6.38%</t>
  </si>
  <si>
    <t>https://stockanalysis.com/quote/psx/TREET/revenue/</t>
  </si>
  <si>
    <t>Shield Corporation Ltd</t>
  </si>
  <si>
    <t>Shield oral care, baby care, lotions, shampoos</t>
  </si>
  <si>
    <t>PSX-listed (SCL)</t>
  </si>
  <si>
    <t>PKR 2.966bn</t>
  </si>
  <si>
    <t>-23.31% (2nd consecutive decline)</t>
  </si>
  <si>
    <t>https://stockanalysis.com/quote/psx/SCL/financials/</t>
  </si>
  <si>
    <t>Beiersdorf Pakistan (Pvt) Ltd</t>
  </si>
  <si>
    <t>NIVEA, NIVEA MEN, Eucerin</t>
  </si>
  <si>
    <t>MNC subsidiary (Beiersdorf AG)</t>
  </si>
  <si>
    <t>Not disclosed - Pakistan not separately reported</t>
  </si>
  <si>
    <t>Group level only</t>
  </si>
  <si>
    <t>https://www.beiersdorf.com/newsroom/press-information/all-press-releases/2026/03/02-full-year-results-2025-beiersdorf-grows-in-a-slowing-market-derma-outperforms</t>
  </si>
  <si>
    <t>L'Oreal Pakistan (Pvt) Ltd</t>
  </si>
  <si>
    <t>L'Oreal Paris, Garnier, Maybelline, Elvive</t>
  </si>
  <si>
    <t>MNC subsidiary</t>
  </si>
  <si>
    <t>Not disclosed. Proxy: 25% retail value share of PK beauty (Euromonitor, 2021) - market leader</t>
  </si>
  <si>
    <t>2021 (share)</t>
  </si>
  <si>
    <t>https://profit.pakistantoday.com.pk/2023/03/26/are-local-makeup-brands-really-local/</t>
  </si>
  <si>
    <t>Reckitt Benckiser Pakistan Ltd</t>
  </si>
  <si>
    <t>Dettol, Veet, Harpic, Mortein</t>
  </si>
  <si>
    <t>MNC subsidiary, delisted/private</t>
  </si>
  <si>
    <t>https://www.brecorder.com/trends/reckitt-benckiser-pakistan</t>
  </si>
  <si>
    <t>Kenvue Pakistan</t>
  </si>
  <si>
    <t>Johnson's Baby, Neutrogena</t>
  </si>
  <si>
    <t>Not disclosed. Named a leading PK BPC player by Euromonitor (2024)</t>
  </si>
  <si>
    <t>https://www.researchandmarkets.com/reports/2306170/beauty_and_personal_care_in_pakistan</t>
  </si>
  <si>
    <t>Oriflame Pakistan</t>
  </si>
  <si>
    <t>Oriflame (direct selling)</t>
  </si>
  <si>
    <t>MNC subsidiary (Oriflame Holding AG)</t>
  </si>
  <si>
    <t>Not disclosed - no Pakistan line item</t>
  </si>
  <si>
    <t>FY2025</t>
  </si>
  <si>
    <t>https://corporate.oriflame.com/wp-content/uploads/2026/05/Oriflame-annual-report-2025_-FINAL.pdf</t>
  </si>
  <si>
    <t>Jenpharm Life Sciences</t>
  </si>
  <si>
    <t>Dermive, Maxdif, Mandelac, Anagrow, Spectra Block</t>
  </si>
  <si>
    <t>Local private (pharma-derm)</t>
  </si>
  <si>
    <t>Not disclosed. Proxy: strongest organic SEO footprint of any PK derma brand - top page 10,812 visits/mo</t>
  </si>
  <si>
    <t>https://jenpharm.com/</t>
  </si>
  <si>
    <t>CoNatural (Conatural Beauty)</t>
  </si>
  <si>
    <t>Conatural organic skin &amp; hair care</t>
  </si>
  <si>
    <t>Local private, VC-backed (Lakson VC, i2i)</t>
  </si>
  <si>
    <t>US$264k (last disclosed); valuation US$4.9m; raised US$825k pre-Series A</t>
  </si>
  <si>
    <t>FY2020</t>
  </si>
  <si>
    <t>Net profit ~US$40k (15.2% margin)</t>
  </si>
  <si>
    <t>https://profit.pakistantoday.com.pk/2020/11/28/the-six-local-brands-leading-the-pakistani-skincare-industry/</t>
  </si>
  <si>
    <t>Vince Care / Mablay Beauty (Pvt) Ltd</t>
  </si>
  <si>
    <t>Vince skincare, Vince Beauty</t>
  </si>
  <si>
    <t>Local private</t>
  </si>
  <si>
    <t>https://vincecare.com/pages/about-us</t>
  </si>
  <si>
    <t>Saeed Ghani (SG1888 Pvt Ltd)</t>
  </si>
  <si>
    <t>Saeed Ghani herbal, ubtan, fragrances</t>
  </si>
  <si>
    <t>Local private (est. 1888)</t>
  </si>
  <si>
    <t>Not disclosed. Proxy: Profit ESTIMATED the ubtan category alone at ~PKR 540m/yr</t>
  </si>
  <si>
    <t>2020 (est.)</t>
  </si>
  <si>
    <t>Golden Pearl Cosmetics (Pvt) Ltd</t>
  </si>
  <si>
    <t>Golden Pearl whitening/beauty cream</t>
  </si>
  <si>
    <t>Local private (Lahore)</t>
  </si>
  <si>
    <t>https://goldenpearl.com.pk/pages/about</t>
  </si>
  <si>
    <t>Rivaj UK</t>
  </si>
  <si>
    <t>Rivaj UK colour cosmetics</t>
  </si>
  <si>
    <t>UK-registered, China contract mfg, distributed in PK</t>
  </si>
  <si>
    <t>Medora Cosmetics</t>
  </si>
  <si>
    <t>Medora nail polish, lipstick</t>
  </si>
  <si>
    <t>Local private - per Profit, the only major PK makeup brand with genuine local production</t>
  </si>
  <si>
    <t>Christine Cosmetics</t>
  </si>
  <si>
    <t>Christine</t>
  </si>
  <si>
    <t>Local private (contract mfg)</t>
  </si>
  <si>
    <t>Miss Rose</t>
  </si>
  <si>
    <t>IMPORTED Chinese brand, widely distributed in PK</t>
  </si>
  <si>
    <t>Sweet Touch / ST London</t>
  </si>
  <si>
    <t>ST London</t>
  </si>
  <si>
    <t>US-registered, contract manufactured</t>
  </si>
  <si>
    <t>Luscious Cosmetics</t>
  </si>
  <si>
    <t>Luscious</t>
  </si>
  <si>
    <t>Local private (est. 2007, Mehrbano Sethi); rolled out at Sephora</t>
  </si>
  <si>
    <t>Not disclosed. Proxy: described as Pakistan's largest colour-cosmetics brand</t>
  </si>
  <si>
    <t>https://wwd.com/beauty-industry-news/color-cosmetics/sephora-luscious-cosmetics-line-10287511/</t>
  </si>
  <si>
    <t>Masarrat Misbah Makeup (MMM)</t>
  </si>
  <si>
    <t>MM Makeup, Depilex salons</t>
  </si>
  <si>
    <t>Not disclosed. Product outsourced from Turkey; some filling/packing in PK</t>
  </si>
  <si>
    <t>J. (J. Junaid Jamshed Pvt Ltd)</t>
  </si>
  <si>
    <t>J. fragrances, Note by J. cosmetics</t>
  </si>
  <si>
    <t>Total n/d. Proxy: US$98m ONLINE revenue 2025 (ECDB estimate), +0-5% YoY</t>
  </si>
  <si>
    <t>2025 (est.)</t>
  </si>
  <si>
    <t>Forecast +5-10% in 2026</t>
  </si>
  <si>
    <t>https://ecdb.com/resources/sample-data/retailer/junaidjamshed</t>
  </si>
  <si>
    <t>Sapphire Retail Ltd</t>
  </si>
  <si>
    <t>Sapphire fragrances, personal care, Sapphire makeup</t>
  </si>
  <si>
    <t>Local private (Sapphire Group)</t>
  </si>
  <si>
    <t>PKR 41.38bn total retail revenue (FY24 32.74bn; FY23 21.41bn); PAT PKR 1.5bn</t>
  </si>
  <si>
    <t>+26.3% organic; fragrances grew 3x in two years</t>
  </si>
  <si>
    <t>https://www.pacra.com/api/rating-report/MTUxOTY=</t>
  </si>
  <si>
    <t>Nishat Linen (Nishat Mills Ltd)</t>
  </si>
  <si>
    <t>NL fragrances / personal care</t>
  </si>
  <si>
    <t>PSX-listed parent (NML)</t>
  </si>
  <si>
    <t>Beauty line not a reported segment</t>
  </si>
  <si>
    <t>https://en.wikipedia.org/wiki/Nishat_Mills_Limited</t>
  </si>
  <si>
    <t>Bagallery.com</t>
  </si>
  <si>
    <t>Multi-brand beauty &amp; fashion e-tailer</t>
  </si>
  <si>
    <t>Local private, VC-backed</t>
  </si>
  <si>
    <t>Not disclosed. Proxy: raised US$4.5m Series A (Dec-2021) + US$900k pre-Series A</t>
  </si>
  <si>
    <t>https://profit.pakistantoday.com.pk/2021/12/09/beauty-fashion-ecommerce-startup-bagallery-raises-4-5m-in-series-a-funding-as-competition-grows-stronger/</t>
  </si>
  <si>
    <t>Daraz Pakistan (Alibaba Group)</t>
  </si>
  <si>
    <t>Marketplace - largest online beauty channel in PK</t>
  </si>
  <si>
    <t>daraz.pk US$308m online GMV (2025, ECDB estimate); group US$856m</t>
  </si>
  <si>
    <t>Health &amp; beauty category +47% YoY in 2022</t>
  </si>
  <si>
    <t>https://ecdb.com/resources/sample-data/retailer/Daraz</t>
  </si>
  <si>
    <t>Naheed.pk / Naheed Supermarket</t>
  </si>
  <si>
    <t>Multi-brand cosmetics retailer (Karachi)</t>
  </si>
  <si>
    <t>https://www.naheed.pk/</t>
  </si>
  <si>
    <t>Multi-brand skincare/cosmetics e-tailer</t>
  </si>
  <si>
    <t>https://highfy.pk/blogs/news/about-us</t>
  </si>
  <si>
    <t>Dermacos</t>
  </si>
  <si>
    <t>Dermacos facial kits, whitening range</t>
  </si>
  <si>
    <t>https://dermacospakistan.pk/</t>
  </si>
  <si>
    <t>Derma Techno Pakistan</t>
  </si>
  <si>
    <t>Derma Shine, Lipcara</t>
  </si>
  <si>
    <t>Local private (cosmeceutical mfr)</t>
  </si>
  <si>
    <t>https://dermatechno.com/pages/about-derma-techno-pakistan</t>
  </si>
  <si>
    <t>Bioaqua Pakistan</t>
  </si>
  <si>
    <t>Bioaqua</t>
  </si>
  <si>
    <t>IMPORTED Chinese brand, local distributors</t>
  </si>
  <si>
    <t>https://bioaqua.com.pk/</t>
  </si>
  <si>
    <t>Hemani Group / WB by Hemani</t>
  </si>
  <si>
    <t>Hemani Herbals, WB by Hemani</t>
  </si>
  <si>
    <t>Local private (Karachi)</t>
  </si>
  <si>
    <t>Not disclosed. Proxy: present in 58 countries, large export base</t>
  </si>
  <si>
    <t>https://www.hemaniherbals.com/pages/about-us</t>
  </si>
  <si>
    <t>Marhaba Laboratories (Pvt) Ltd</t>
  </si>
  <si>
    <t>Marhaba herbal cosmetics/oils</t>
  </si>
  <si>
    <t>https://marhaba.com.pk/about</t>
  </si>
  <si>
    <t>Kashee's</t>
  </si>
  <si>
    <t>Kashee's salon + cosmetics line</t>
  </si>
  <si>
    <t>https://www.kashees.pk/</t>
  </si>
  <si>
    <t>BnB Derma</t>
  </si>
  <si>
    <t>BnB Derma (salon channel)</t>
  </si>
  <si>
    <t>PKR 60-70m/yr; 600-700 salons served; said to outsell Neutrogena in PK</t>
  </si>
  <si>
    <t>~2020</t>
  </si>
  <si>
    <t>Companies covered</t>
  </si>
  <si>
    <t>Of which publish audited revenue (PSX-listed)</t>
  </si>
  <si>
    <t>Largest disclosed: Colgate-Palmolive Pakistan, PKR 116.0bn (FY-Jun-2025) — but roughly half is detergents, and the company publishes no segment split.</t>
  </si>
  <si>
    <t>No PSX-listed pure-play colour-cosmetics or skincare company exists in Pakistan. The entire local segment is private.</t>
  </si>
  <si>
    <t>PAKISTAN BEAUTY MARKET — size, growth and trade</t>
  </si>
  <si>
    <t>Estimates from different houses diverge widely because category definitions differ and grey-import trade is large. Each row names its source; they are not reconciled into a single number.</t>
  </si>
  <si>
    <t>Metric</t>
  </si>
  <si>
    <t>Value</t>
  </si>
  <si>
    <t>Year</t>
  </si>
  <si>
    <t>Growth / CAGR</t>
  </si>
  <si>
    <t>Source organisation</t>
  </si>
  <si>
    <t>Source URL</t>
  </si>
  <si>
    <t>Beauty &amp; Personal Care - total market</t>
  </si>
  <si>
    <t>US$5.10bn</t>
  </si>
  <si>
    <t>2025</t>
  </si>
  <si>
    <t>2.18% CAGR 2025-30</t>
  </si>
  <si>
    <t>Statista Market Insights</t>
  </si>
  <si>
    <t>https://picardybeauty.pk/blogs/news/how-much-pakistanis-spend-annually-on-personal-care-products</t>
  </si>
  <si>
    <t>BPC spend per capita</t>
  </si>
  <si>
    <t>US$20.40</t>
  </si>
  <si>
    <t>Personal care sub-segment (skin/hair/oral)</t>
  </si>
  <si>
    <t>US$2.52bn</t>
  </si>
  <si>
    <t>Cosmetics sub-segment</t>
  </si>
  <si>
    <t>US$785.2m</t>
  </si>
  <si>
    <t>4.21% p.a. 2025-29</t>
  </si>
  <si>
    <t>Statista via Akira.pk</t>
  </si>
  <si>
    <t>https://akira.pk/blogs/news/a-review-of-the-state-of-the-cosmetics-market-for-fy-2024-2025</t>
  </si>
  <si>
    <t>Cosmetics - share that is NON-luxury</t>
  </si>
  <si>
    <t>~95%</t>
  </si>
  <si>
    <t>Skin care sub-segment</t>
  </si>
  <si>
    <t>US$709.70m</t>
  </si>
  <si>
    <t>2022</t>
  </si>
  <si>
    <t>2.58% p.a.; facial = 70% of it</t>
  </si>
  <si>
    <t>Statista via Profit</t>
  </si>
  <si>
    <t>https://profit.pakistantoday.com.pk/2023/05/22/pakistan-general-cosmetics-authority-bill-approved-to-regulate-cosmetics-industry/</t>
  </si>
  <si>
    <t>Beauty &amp; cosmetics retail value (narrow defn.)</t>
  </si>
  <si>
    <t>PKR 20.7bn</t>
  </si>
  <si>
    <t>2021</t>
  </si>
  <si>
    <t>+11% YoY; to PKR 38.7bn by 2026 (13% current-value CAGR)</t>
  </si>
  <si>
    <t>Euromonitor via Profit</t>
  </si>
  <si>
    <t>Colour cosmetics retail value</t>
  </si>
  <si>
    <t>PKR 4.2bn</t>
  </si>
  <si>
    <t>+12% YoY</t>
  </si>
  <si>
    <t>Market leader share</t>
  </si>
  <si>
    <t>L'Oreal Groupe 25% retail value</t>
  </si>
  <si>
    <t>Imports - essential oils, perfumes, cosmetics, toiletries</t>
  </si>
  <si>
    <t>US$222.25m</t>
  </si>
  <si>
    <t>updated Aug-2026</t>
  </si>
  <si>
    <t>UN COMTRADE via Trading Economics</t>
  </si>
  <si>
    <t>https://tradingeconomics.com/pakistan/imports/essential-oils-perfumes-cosmetics-toileteries</t>
  </si>
  <si>
    <t>Import origin mix</t>
  </si>
  <si>
    <t>China 54%, UAE 6.8%, Indonesia 5.1%</t>
  </si>
  <si>
    <t>2024</t>
  </si>
  <si>
    <t>IndexBox</t>
  </si>
  <si>
    <t>https://www.indexbox.io/store/pakistan-skin-care-market-analysis-forecast-size-trends-and-insights/</t>
  </si>
  <si>
    <t>Online personal care market</t>
  </si>
  <si>
    <t>US$496.6m</t>
  </si>
  <si>
    <t>13.3% CAGR 2025-29</t>
  </si>
  <si>
    <t>eCommerceDB via Picardy</t>
  </si>
  <si>
    <t>Import duty on makeup/beauty items</t>
  </si>
  <si>
    <t>40% on 657 items; 20% on perfumes/sprays</t>
  </si>
  <si>
    <t>FY2024-25</t>
  </si>
  <si>
    <t>Akira.pk</t>
  </si>
  <si>
    <t>Conservative growth view</t>
  </si>
  <si>
    <t>0.90% (2025) rising to 1.59% (2029)</t>
  </si>
  <si>
    <t>2025-29</t>
  </si>
  <si>
    <t>materially below Statista</t>
  </si>
  <si>
    <t>6Wresearch</t>
  </si>
  <si>
    <t>https://www.6wresearch.com/industry-report/pakistan-cosmetic-products-market-outlook</t>
  </si>
  <si>
    <t>Reading the numbers:</t>
  </si>
  <si>
    <t>Statista's US$5.10bn is the WIDEST definition — it includes soap, oral care, shampoo and every mass FMCG personal-care item.</t>
  </si>
  <si>
    <t>Euromonitor's PKR 20.7bn is the NARROWEST — beauty and cosmetics proper. Given L'Oreal alone holds 25% of it, this cannot be the total BPC market.</t>
  </si>
  <si>
    <t>For a premium skincare and colour-cosmetics venture, the Euromonitor base (growing at a 13% current-value CAGR to PKR 38.7bn by 2026) is the more honest addressable market.</t>
  </si>
  <si>
    <t>The 40% import duty on 657 makeup items is the single largest structural cost advantage available to a locally manufactured premium brand.</t>
  </si>
  <si>
    <t>WHAT THE DATA SAYS TO DO</t>
  </si>
  <si>
    <t>Built from tabs 2-7. Each line names the evidence behind it.</t>
  </si>
  <si>
    <t>Priority</t>
  </si>
  <si>
    <t>Move</t>
  </si>
  <si>
    <t>Why — evidence from this workbook</t>
  </si>
  <si>
    <t>Where to look</t>
  </si>
  <si>
    <t>1</t>
  </si>
  <si>
    <t>Anchor the range at PKR 2,500-6,000, not above</t>
  </si>
  <si>
    <t>Median price of the 121 premium SKUs sits near PKR 4,500. Above PKR 10,000 the field thins to imported fragrance and La Roche-Posay — a segment defended by brand equity you will not have on day one.</t>
  </si>
  <si>
    <t>Tab 2, price tier column</t>
  </si>
  <si>
    <t>2</t>
  </si>
  <si>
    <t>Own the '&lt;product&gt; price in pakistan' pattern first</t>
  </si>
  <si>
    <t>Dozens of these terms carry 1,000-8,000 monthly searches at KD 6-16 — the single softest pattern in the market. Build a price-transparent product page for each, with product schema.</t>
  </si>
  <si>
    <t>Tab 4, page type = Product page + price schema</t>
  </si>
  <si>
    <t>3</t>
  </si>
  <si>
    <t>Launch with vitamin C, niacinamide, retinol and sunscreen</t>
  </si>
  <si>
    <t>'vitamin c serum price in pakistan' 4,400/mo at KD 8. 'best sunscreen in pakistan' 4,400/mo at KD 14. 'niacinamide serum' 12,100/mo. Demand is proven and difficulty is low.</t>
  </si>
  <si>
    <t>Tab 3, Serum and Sunscreen clusters</t>
  </si>
  <si>
    <t>4</t>
  </si>
  <si>
    <t>Treat Jenpharm as the model, not L'Oreal</t>
  </si>
  <si>
    <t>Jenpharm converts AS 39 and only 499 referring domains into a page pulling 10,812 organic visits a month. That is the highest organic efficiency in PK skincare.</t>
  </si>
  <si>
    <t>Tab 5, row 3</t>
  </si>
  <si>
    <t>5</t>
  </si>
  <si>
    <t>Target Authority Score 35-40 in year one</t>
  </si>
  <si>
    <t>The whole competitive field runs AS 19-40, median ~700 referring domains. This is a low-authority market by global standards — the ceiling is reachable.</t>
  </si>
  <si>
    <t>Tab 5, summary block</t>
  </si>
  <si>
    <t>6</t>
  </si>
  <si>
    <t>Manufacture locally</t>
  </si>
  <si>
    <t>Imported makeup carries 40% duty on 657 tariff lines, 20% on perfumes. Local production is a structural margin advantage, and Medora is currently the only major PK makeup brand with genuine local manufacturing.</t>
  </si>
  <si>
    <t>Tab 7 and Tab 6</t>
  </si>
  <si>
    <t>7</t>
  </si>
  <si>
    <t>Build a K-beauty adjacent tier</t>
  </si>
  <si>
    <t>K-beauty SKUs are the highest-priced fast movers on PK shelves (Anua, Medicube, Numbuzin, Beauty of Joseon at PKR 4,950-7,950), and 'korean skincare' runs 1,600/mo at KD 22.</t>
  </si>
  <si>
    <t>Tab 2, Origin = Korea</t>
  </si>
  <si>
    <t>8</t>
  </si>
  <si>
    <t>Write the comparison content nobody owns</t>
  </si>
  <si>
    <t>'best skin care products in pakistan' (1,600/mo, KD 19) is currently won by a Shopify collection page. 'best skin care brands in pakistan' KD 17. A genuine editorial comparison outranks a collection page.</t>
  </si>
  <si>
    <t>Tab 4, page type = Comparison / buying guide</t>
  </si>
  <si>
    <t>9</t>
  </si>
  <si>
    <t>Do not chase 'skin care products' or 'moisturizer'</t>
  </si>
  <si>
    <t>KD 38 head terms with mixed intent. They cost months and convert worse than the price-modified long tail underneath them.</t>
  </si>
  <si>
    <t>Tab 3, Difficulty Band = Medium/Hard</t>
  </si>
  <si>
    <t>10</t>
  </si>
  <si>
    <t>Price-anchor against Conatural and Jenpharm, not Daraz</t>
  </si>
  <si>
    <t>Both sell PKR 2,000-3,000 serums and rank nationally. They are the real premium reference point; Daraz is a price-war channel.</t>
  </si>
  <si>
    <t>Tab 2 and Tab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</si>
</sst>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4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666666"/>
      <name val="Arial"/>
      <charset val="1"/>
    </font>
    <font>
      <b/>
      <sz val="10"/>
      <color rgb="FF1F3864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u/>
      <sz val="9"/>
      <color rgb="FF0563C1"/>
      <name val="Arial"/>
      <charset val="1"/>
    </font>
    <font>
      <b/>
      <sz val="10"/>
      <name val="Arial"/>
      <charset val="1"/>
    </font>
    <font>
      <b/>
      <sz val="14"/>
      <color rgb="FF1F3864"/>
      <name val="Arial"/>
      <charset val="1"/>
    </font>
    <font>
      <sz val="10"/>
      <color rgb="FF000000"/>
      <name val="Arial"/>
      <charset val="1"/>
    </font>
    <font>
      <b/>
      <sz val="12"/>
      <color rgb="FFC9A227"/>
      <name val="Arial"/>
      <charset val="1"/>
    </font>
    <font>
      <sz val="10"/>
      <color theme="4"/>
      <name val="Arial"/>
      <family val="2"/>
    </font>
    <font>
      <u/>
      <sz val="9"/>
      <color theme="4"/>
      <name val="Arial"/>
      <family val="2"/>
    </font>
    <font>
      <sz val="11"/>
      <color theme="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7E0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7" fillId="0" borderId="0" xfId="0" applyFont="1"/>
    <xf numFmtId="3" fontId="7" fillId="0" borderId="0" xfId="0" applyNumberFormat="1" applyFont="1"/>
    <xf numFmtId="2" fontId="4" fillId="0" borderId="1" xfId="0" applyNumberFormat="1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8" fillId="0" borderId="0" xfId="0" applyFont="1"/>
    <xf numFmtId="0" fontId="4" fillId="3" borderId="1" xfId="0" applyFont="1" applyFill="1" applyBorder="1" applyAlignment="1">
      <alignment vertical="top"/>
    </xf>
    <xf numFmtId="3" fontId="4" fillId="3" borderId="1" xfId="0" applyNumberFormat="1" applyFont="1" applyFill="1" applyBorder="1" applyAlignment="1">
      <alignment vertical="top"/>
    </xf>
    <xf numFmtId="2" fontId="4" fillId="3" borderId="1" xfId="0" applyNumberFormat="1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165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3" fontId="11" fillId="0" borderId="1" xfId="0" applyNumberFormat="1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0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naturalintl.com/products/vitamin-c-super-activ-skin-serum" TargetMode="External"/><Relationship Id="rId21" Type="http://schemas.openxmlformats.org/officeDocument/2006/relationships/hyperlink" Target="https://skinstorepakistan.com/products/loreal-ever-pure-sulfate-free-purple-conditioner-200ml" TargetMode="External"/><Relationship Id="rId42" Type="http://schemas.openxmlformats.org/officeDocument/2006/relationships/hyperlink" Target="https://skinstorepakistan.com/products/anua-pdrn-caffeine-rejuvenating-eye-cream-20ml" TargetMode="External"/><Relationship Id="rId63" Type="http://schemas.openxmlformats.org/officeDocument/2006/relationships/hyperlink" Target="https://allurebeauty.pk/products/asghar-ali-hayam-al-bahrain-edp-100ml" TargetMode="External"/><Relationship Id="rId84" Type="http://schemas.openxmlformats.org/officeDocument/2006/relationships/hyperlink" Target="https://allurebeauty.pk/products/zero-makeup-shadow-liner-ultra-black" TargetMode="External"/><Relationship Id="rId16" Type="http://schemas.openxmlformats.org/officeDocument/2006/relationships/hyperlink" Target="https://skinstorepakistan.com/products/loreal-ever-pure-bond-repair-conditioner-200ml" TargetMode="External"/><Relationship Id="rId107" Type="http://schemas.openxmlformats.org/officeDocument/2006/relationships/hyperlink" Target="https://jenpharm.com/products/maxdif-brightening-serum" TargetMode="External"/><Relationship Id="rId11" Type="http://schemas.openxmlformats.org/officeDocument/2006/relationships/hyperlink" Target="https://skinstorepakistan.com/products/dove-serum-dewy-oil-body-wash-452ml" TargetMode="External"/><Relationship Id="rId32" Type="http://schemas.openxmlformats.org/officeDocument/2006/relationships/hyperlink" Target="https://highfy.pk/products/chi-luxury-hot-oil-treatment-50ml" TargetMode="External"/><Relationship Id="rId37" Type="http://schemas.openxmlformats.org/officeDocument/2006/relationships/hyperlink" Target="https://allurebeauty.pk/products/beauty-of-joseon-relief-sun-rice-probiotics-spf-50-50ml-1" TargetMode="External"/><Relationship Id="rId53" Type="http://schemas.openxmlformats.org/officeDocument/2006/relationships/hyperlink" Target="https://highfy.pk/products/chi-rose-hip-oil-recovery-treatment-237ml" TargetMode="External"/><Relationship Id="rId58" Type="http://schemas.openxmlformats.org/officeDocument/2006/relationships/hyperlink" Target="https://skinstorepakistan.com/products/vt-pdrn-essence-stick-balm-9-5g" TargetMode="External"/><Relationship Id="rId74" Type="http://schemas.openxmlformats.org/officeDocument/2006/relationships/hyperlink" Target="https://highfy.pk/products/nyx-professional-makeup-on-the-rise-primer-lash-booster-otrlb01-10ml" TargetMode="External"/><Relationship Id="rId79" Type="http://schemas.openxmlformats.org/officeDocument/2006/relationships/hyperlink" Target="https://conaturalintl.com/products/sun-protection-set" TargetMode="External"/><Relationship Id="rId102" Type="http://schemas.openxmlformats.org/officeDocument/2006/relationships/hyperlink" Target="https://allurebeauty.pk/products/maybelline-fit-me-liquid-dewy-smooth-spf-30-foundation-112-natural-ivory-30ml" TargetMode="External"/><Relationship Id="rId123" Type="http://schemas.openxmlformats.org/officeDocument/2006/relationships/hyperlink" Target="https://vincecare.com/products/skin-lightening-night-cream" TargetMode="External"/><Relationship Id="rId128" Type="http://schemas.openxmlformats.org/officeDocument/2006/relationships/hyperlink" Target="https://jenpharm.com/products/maxdif-skin-brightening-cream" TargetMode="External"/><Relationship Id="rId5" Type="http://schemas.openxmlformats.org/officeDocument/2006/relationships/hyperlink" Target="https://skinstorepakistan.com/products/la-roche-posay-vitamin-c-brightening-facial-cleanser-200ml" TargetMode="External"/><Relationship Id="rId90" Type="http://schemas.openxmlformats.org/officeDocument/2006/relationships/hyperlink" Target="https://allurebeauty.pk/products/essence-space-glow-colour-changing-lipstick-2-piecs-set" TargetMode="External"/><Relationship Id="rId95" Type="http://schemas.openxmlformats.org/officeDocument/2006/relationships/hyperlink" Target="https://conaturalintl.com/products/better-than-ubtan-face-and-body-scrub-120g-clearance-sale-flat-40-off" TargetMode="External"/><Relationship Id="rId22" Type="http://schemas.openxmlformats.org/officeDocument/2006/relationships/hyperlink" Target="https://allurebeauty.pk/products/the-purest-solutions-exfoliating-fruit-enzyme-peeling-powder-55g" TargetMode="External"/><Relationship Id="rId27" Type="http://schemas.openxmlformats.org/officeDocument/2006/relationships/hyperlink" Target="https://allurebeauty.pk/products/arencia-pdrn-booster-shot-face-and-eye-moisturizer-30ml" TargetMode="External"/><Relationship Id="rId43" Type="http://schemas.openxmlformats.org/officeDocument/2006/relationships/hyperlink" Target="https://skinstorepakistan.com/products/aplb-caffeine-niacinamide-body-lotion-firming-body-lotion-300ml" TargetMode="External"/><Relationship Id="rId48" Type="http://schemas.openxmlformats.org/officeDocument/2006/relationships/hyperlink" Target="https://skinstorepakistan.com/products/medicube-egf-nad-firming-serum-30ml" TargetMode="External"/><Relationship Id="rId64" Type="http://schemas.openxmlformats.org/officeDocument/2006/relationships/hyperlink" Target="https://skinstorepakistan.com/products/abib-clear-spot-serum-7-325-pump-30ml" TargetMode="External"/><Relationship Id="rId69" Type="http://schemas.openxmlformats.org/officeDocument/2006/relationships/hyperlink" Target="https://highfy.pk/products/maybelline-usa-lifter-full-coverage-serum-concealer-10ml-15" TargetMode="External"/><Relationship Id="rId113" Type="http://schemas.openxmlformats.org/officeDocument/2006/relationships/hyperlink" Target="https://allurebeauty.pk/products/lamel-volume-oversize-mascara-black" TargetMode="External"/><Relationship Id="rId118" Type="http://schemas.openxmlformats.org/officeDocument/2006/relationships/hyperlink" Target="https://conaturalintl.com/products/hyaluronic-acid-2-b5-super-activ-skin-serum" TargetMode="External"/><Relationship Id="rId134" Type="http://schemas.openxmlformats.org/officeDocument/2006/relationships/printerSettings" Target="../printerSettings/printerSettings1.bin"/><Relationship Id="rId80" Type="http://schemas.openxmlformats.org/officeDocument/2006/relationships/hyperlink" Target="https://vincecare.com/products/night-bundle" TargetMode="External"/><Relationship Id="rId85" Type="http://schemas.openxmlformats.org/officeDocument/2006/relationships/hyperlink" Target="https://allurebeauty.pk/products/maxfactor-radiant-lift-foundation-1" TargetMode="External"/><Relationship Id="rId12" Type="http://schemas.openxmlformats.org/officeDocument/2006/relationships/hyperlink" Target="https://skinstorepakistan.com/products/dove-serum-radiance-oil-body-wash-432ml" TargetMode="External"/><Relationship Id="rId17" Type="http://schemas.openxmlformats.org/officeDocument/2006/relationships/hyperlink" Target="https://skinstorepakistan.com/products/loreal-ever-pure-sulfate-free-bond-repair-shampoo-200ml" TargetMode="External"/><Relationship Id="rId33" Type="http://schemas.openxmlformats.org/officeDocument/2006/relationships/hyperlink" Target="https://highfy.pk/products/chi-argan-oil-masque-237ml" TargetMode="External"/><Relationship Id="rId38" Type="http://schemas.openxmlformats.org/officeDocument/2006/relationships/hyperlink" Target="https://highfy.pk/products/chi-luxury-black-seed-oil-black-seed-dry-oil-88-722ml" TargetMode="External"/><Relationship Id="rId59" Type="http://schemas.openxmlformats.org/officeDocument/2006/relationships/hyperlink" Target="https://allurebeauty.pk/products/she-glam-starlight-velvet-lipstick-beach-babe" TargetMode="External"/><Relationship Id="rId103" Type="http://schemas.openxmlformats.org/officeDocument/2006/relationships/hyperlink" Target="https://highfy.pk/products/dr-althea-345-relief-cream" TargetMode="External"/><Relationship Id="rId108" Type="http://schemas.openxmlformats.org/officeDocument/2006/relationships/hyperlink" Target="https://conaturalintl.com/products/white-mask-face-brightening-mask-facial-mask" TargetMode="External"/><Relationship Id="rId124" Type="http://schemas.openxmlformats.org/officeDocument/2006/relationships/hyperlink" Target="https://skinshop.pk/products/seriko-ultra-skin-lightening-serum-20ml" TargetMode="External"/><Relationship Id="rId129" Type="http://schemas.openxmlformats.org/officeDocument/2006/relationships/hyperlink" Target="https://vincecare.com/products/hyaluronic-acid-serum" TargetMode="External"/><Relationship Id="rId54" Type="http://schemas.openxmlformats.org/officeDocument/2006/relationships/hyperlink" Target="https://highfy.pk/products/chi-rose-hip-oil-repair-shine-118ml" TargetMode="External"/><Relationship Id="rId70" Type="http://schemas.openxmlformats.org/officeDocument/2006/relationships/hyperlink" Target="https://highfy.pk/products/maybelline-usa-cloudtopia-cheek-lip-mousse-5g-01-twlight-berry" TargetMode="External"/><Relationship Id="rId75" Type="http://schemas.openxmlformats.org/officeDocument/2006/relationships/hyperlink" Target="https://highfy.pk/products/chi-luxury-blow-dry-cream-177ml" TargetMode="External"/><Relationship Id="rId91" Type="http://schemas.openxmlformats.org/officeDocument/2006/relationships/hyperlink" Target="https://allurebeauty.pk/products/maybelline-eraser-instant-age-rewind-multi-use-concealer-100-6ml" TargetMode="External"/><Relationship Id="rId96" Type="http://schemas.openxmlformats.org/officeDocument/2006/relationships/hyperlink" Target="https://allurebeauty.pk/products/zero-makeup-eye-stick-deep-copper" TargetMode="External"/><Relationship Id="rId1" Type="http://schemas.openxmlformats.org/officeDocument/2006/relationships/hyperlink" Target="https://allurebeauty.pk/products/montale-red-aoud-edp-100ml" TargetMode="External"/><Relationship Id="rId6" Type="http://schemas.openxmlformats.org/officeDocument/2006/relationships/hyperlink" Target="https://allurebeauty.pk/products/rivari-invictus-edp-100ml" TargetMode="External"/><Relationship Id="rId23" Type="http://schemas.openxmlformats.org/officeDocument/2006/relationships/hyperlink" Target="https://skinstorepakistan.com/products/cerave-oil-control-balancing-conditioner-266ml" TargetMode="External"/><Relationship Id="rId28" Type="http://schemas.openxmlformats.org/officeDocument/2006/relationships/hyperlink" Target="https://skinstorepakistan.com/products/iunik-centella-green-fresh-cleansing-oil-200-ml" TargetMode="External"/><Relationship Id="rId49" Type="http://schemas.openxmlformats.org/officeDocument/2006/relationships/hyperlink" Target="https://highfy.pk/products/chi-infra-shampoo-355ml" TargetMode="External"/><Relationship Id="rId114" Type="http://schemas.openxmlformats.org/officeDocument/2006/relationships/hyperlink" Target="https://skinstorepakistan.com/products/arencia-vita-collagen-radiance-jello-mask" TargetMode="External"/><Relationship Id="rId119" Type="http://schemas.openxmlformats.org/officeDocument/2006/relationships/hyperlink" Target="https://jenpharm.com/products/niaronic-serum" TargetMode="External"/><Relationship Id="rId44" Type="http://schemas.openxmlformats.org/officeDocument/2006/relationships/hyperlink" Target="https://skinstorepakistan.com/products/aplb-ferulic-acid-vitamin-c-body-lotion-300ml" TargetMode="External"/><Relationship Id="rId60" Type="http://schemas.openxmlformats.org/officeDocument/2006/relationships/hyperlink" Target="https://highfy.pk/products/maybelline-lifter-plump-glow-foundation-30ml-102" TargetMode="External"/><Relationship Id="rId65" Type="http://schemas.openxmlformats.org/officeDocument/2006/relationships/hyperlink" Target="https://vincecare.com/products/natural-whitening-kit" TargetMode="External"/><Relationship Id="rId81" Type="http://schemas.openxmlformats.org/officeDocument/2006/relationships/hyperlink" Target="https://highfy.pk/products/chi-enviro-54-firm-hold-hair-spray-295ml" TargetMode="External"/><Relationship Id="rId86" Type="http://schemas.openxmlformats.org/officeDocument/2006/relationships/hyperlink" Target="https://allurebeauty.pk/products/l-a-girl-soft-matte-cream-blush" TargetMode="External"/><Relationship Id="rId130" Type="http://schemas.openxmlformats.org/officeDocument/2006/relationships/hyperlink" Target="https://jenpharm.com/products/sunblock-spectra-block" TargetMode="External"/><Relationship Id="rId13" Type="http://schemas.openxmlformats.org/officeDocument/2006/relationships/hyperlink" Target="https://skinstorepakistan.com/products/cerave-brightening-vitamin-c-cleanser-237ml" TargetMode="External"/><Relationship Id="rId18" Type="http://schemas.openxmlformats.org/officeDocument/2006/relationships/hyperlink" Target="https://skinstorepakistan.com/products/loreal-ever-pure-sulfate-free-purple-shampoo-200ml" TargetMode="External"/><Relationship Id="rId39" Type="http://schemas.openxmlformats.org/officeDocument/2006/relationships/hyperlink" Target="https://skinstorepakistan.com/products/aplb-kojic-acid-vitamin-c-body-lotion-300ml" TargetMode="External"/><Relationship Id="rId109" Type="http://schemas.openxmlformats.org/officeDocument/2006/relationships/hyperlink" Target="https://allurebeauty.pk/products/bloom-effekt-reusable-eye-patches" TargetMode="External"/><Relationship Id="rId34" Type="http://schemas.openxmlformats.org/officeDocument/2006/relationships/hyperlink" Target="https://skinstorepakistan.com/products/medicube-vanilla-hair-body-fragrance-mist" TargetMode="External"/><Relationship Id="rId50" Type="http://schemas.openxmlformats.org/officeDocument/2006/relationships/hyperlink" Target="https://highfy.pk/products/chi-luxury-black-seed-oil-dry-shampoo-156-7422ml" TargetMode="External"/><Relationship Id="rId55" Type="http://schemas.openxmlformats.org/officeDocument/2006/relationships/hyperlink" Target="https://skinstorepakistan.com/products/anua-pdrn-hyaluronic-acid-hydrating-capsule-mist-mini-30ml" TargetMode="External"/><Relationship Id="rId76" Type="http://schemas.openxmlformats.org/officeDocument/2006/relationships/hyperlink" Target="https://allurebeauty.pk/products/l-a-girl-setting-makeup-spray-80ml" TargetMode="External"/><Relationship Id="rId97" Type="http://schemas.openxmlformats.org/officeDocument/2006/relationships/hyperlink" Target="https://allurebeauty.pk/products/zero-makeup-eye-stick-antique-bronze" TargetMode="External"/><Relationship Id="rId104" Type="http://schemas.openxmlformats.org/officeDocument/2006/relationships/hyperlink" Target="https://allurebeauty.pk/products/l-a-girl-brow-bestie-brow-pencil-black-brown" TargetMode="External"/><Relationship Id="rId120" Type="http://schemas.openxmlformats.org/officeDocument/2006/relationships/hyperlink" Target="https://vincecare.com/products/collagen-cream" TargetMode="External"/><Relationship Id="rId125" Type="http://schemas.openxmlformats.org/officeDocument/2006/relationships/hyperlink" Target="https://jenpharm.com/products/spectra-matt" TargetMode="External"/><Relationship Id="rId7" Type="http://schemas.openxmlformats.org/officeDocument/2006/relationships/hyperlink" Target="https://allurebeauty.pk/products/rivari-oud-al-musk-for-men-edp-85ml" TargetMode="External"/><Relationship Id="rId71" Type="http://schemas.openxmlformats.org/officeDocument/2006/relationships/hyperlink" Target="https://conaturalintl.com/products/summer-skincare-kit" TargetMode="External"/><Relationship Id="rId92" Type="http://schemas.openxmlformats.org/officeDocument/2006/relationships/hyperlink" Target="https://allurebeauty.pk/products/maybelline-superstay-vinyl-ink-liquid-lipstick-copy-2" TargetMode="External"/><Relationship Id="rId2" Type="http://schemas.openxmlformats.org/officeDocument/2006/relationships/hyperlink" Target="https://allurebeauty.pk/products/dunhill-signature-mroccan-amber-for-man-edp-100ml" TargetMode="External"/><Relationship Id="rId29" Type="http://schemas.openxmlformats.org/officeDocument/2006/relationships/hyperlink" Target="https://skinstorepakistan.com/products/medicube-pdrn-pink-caffeine-collagen-eye-patch-60-patches" TargetMode="External"/><Relationship Id="rId24" Type="http://schemas.openxmlformats.org/officeDocument/2006/relationships/hyperlink" Target="https://highfy.pk/products/anua-visibly-firming-collagen-retinol-refining-gua-sha-cream-80ml" TargetMode="External"/><Relationship Id="rId40" Type="http://schemas.openxmlformats.org/officeDocument/2006/relationships/hyperlink" Target="https://skinstorepakistan.com/products/vt-pdrn-reedle-shot-eye-lifter-15ml" TargetMode="External"/><Relationship Id="rId45" Type="http://schemas.openxmlformats.org/officeDocument/2006/relationships/hyperlink" Target="https://skinstorepakistan.com/products/aplb-azelaic-acid-peptide-body-lotion-300ml" TargetMode="External"/><Relationship Id="rId66" Type="http://schemas.openxmlformats.org/officeDocument/2006/relationships/hyperlink" Target="https://allurebeauty.pk/products/sheglam-color-bloom-liquid-blush-on-point-5-2ml" TargetMode="External"/><Relationship Id="rId87" Type="http://schemas.openxmlformats.org/officeDocument/2006/relationships/hyperlink" Target="https://highfy.pk/products/chi-enviro-smoothing-serum-59ml" TargetMode="External"/><Relationship Id="rId110" Type="http://schemas.openxmlformats.org/officeDocument/2006/relationships/hyperlink" Target="https://conaturalintl.com/products/triple-correction-eye-serum" TargetMode="External"/><Relationship Id="rId115" Type="http://schemas.openxmlformats.org/officeDocument/2006/relationships/hyperlink" Target="https://jenpharm.com/products/anagrow-anti-hair-fall-shampoo" TargetMode="External"/><Relationship Id="rId131" Type="http://schemas.openxmlformats.org/officeDocument/2006/relationships/hyperlink" Target="https://vincecare.com/products/vitamin-c-serum" TargetMode="External"/><Relationship Id="rId61" Type="http://schemas.openxmlformats.org/officeDocument/2006/relationships/hyperlink" Target="https://highfy.pk/products/chi-luxury-black-seed-oil-leave-in-conditioner-118-296ml" TargetMode="External"/><Relationship Id="rId82" Type="http://schemas.openxmlformats.org/officeDocument/2006/relationships/hyperlink" Target="https://highfy.pk/products/maybelline-usa-serum-lipstick-with-hyaluronic-acid-satin-005-take-the-1" TargetMode="External"/><Relationship Id="rId19" Type="http://schemas.openxmlformats.org/officeDocument/2006/relationships/hyperlink" Target="https://allurebeauty.pk/products/medicube-pdrn-pink-peptide-serum-30ml" TargetMode="External"/><Relationship Id="rId14" Type="http://schemas.openxmlformats.org/officeDocument/2006/relationships/hyperlink" Target="https://highfy.pk/products/chi-silk-infusion-177ml" TargetMode="External"/><Relationship Id="rId30" Type="http://schemas.openxmlformats.org/officeDocument/2006/relationships/hyperlink" Target="https://highfy.pk/products/chi-aloe-vera-oil-89ml" TargetMode="External"/><Relationship Id="rId35" Type="http://schemas.openxmlformats.org/officeDocument/2006/relationships/hyperlink" Target="https://skinstorepakistan.com/products/biodance-collagen-peptide-eye-patches-30-pairs-60-patches" TargetMode="External"/><Relationship Id="rId56" Type="http://schemas.openxmlformats.org/officeDocument/2006/relationships/hyperlink" Target="https://skinstorepakistan.com/products/numbuzin-no-5-glutathione-vitamin-tone-up-sun-serum-30ml" TargetMode="External"/><Relationship Id="rId77" Type="http://schemas.openxmlformats.org/officeDocument/2006/relationships/hyperlink" Target="https://allurebeauty.pk/products/sheglam-color-bloom-liquid-blush-love-cake-5-2ml" TargetMode="External"/><Relationship Id="rId100" Type="http://schemas.openxmlformats.org/officeDocument/2006/relationships/hyperlink" Target="https://skinstorepakistan.com/products/huda-beauty-water-bottle-550ml-pink" TargetMode="External"/><Relationship Id="rId105" Type="http://schemas.openxmlformats.org/officeDocument/2006/relationships/hyperlink" Target="https://skinstorepakistan.com/products/dr-althea-345-serum-15ml" TargetMode="External"/><Relationship Id="rId126" Type="http://schemas.openxmlformats.org/officeDocument/2006/relationships/hyperlink" Target="https://vincecare.com/products/extra-lightening-serum-2" TargetMode="External"/><Relationship Id="rId8" Type="http://schemas.openxmlformats.org/officeDocument/2006/relationships/hyperlink" Target="https://highfy.pk/products/eos-shea-better-cashmere-body-wash-473ml-vanilla-cashmere-copy" TargetMode="External"/><Relationship Id="rId51" Type="http://schemas.openxmlformats.org/officeDocument/2006/relationships/hyperlink" Target="https://highfy.pk/products/chi-luxury-gentle-cleansing-shampoo-355ml" TargetMode="External"/><Relationship Id="rId72" Type="http://schemas.openxmlformats.org/officeDocument/2006/relationships/hyperlink" Target="https://highfy.pk/products/axis-y-dark-spot-correcting-glow-serum-50ml" TargetMode="External"/><Relationship Id="rId93" Type="http://schemas.openxmlformats.org/officeDocument/2006/relationships/hyperlink" Target="https://highfy.pk/products/loreal-paris-glycolic-bright-anti-dark-spot-exfoliant-peel-25ml" TargetMode="External"/><Relationship Id="rId98" Type="http://schemas.openxmlformats.org/officeDocument/2006/relationships/hyperlink" Target="https://allurebeauty.pk/products/zero-makeup-eye-stick-light-gold" TargetMode="External"/><Relationship Id="rId121" Type="http://schemas.openxmlformats.org/officeDocument/2006/relationships/hyperlink" Target="https://skinshop.pk/products/meladerm-c-serum-intensive-skin-lightening-serum" TargetMode="External"/><Relationship Id="rId3" Type="http://schemas.openxmlformats.org/officeDocument/2006/relationships/hyperlink" Target="https://allurebeauty.pk/products/chopard-amber-malaki-edp-80ml" TargetMode="External"/><Relationship Id="rId25" Type="http://schemas.openxmlformats.org/officeDocument/2006/relationships/hyperlink" Target="https://allurebeauty.pk/products/celimax-retinal-shot-tightening-booster-cream-15ml" TargetMode="External"/><Relationship Id="rId46" Type="http://schemas.openxmlformats.org/officeDocument/2006/relationships/hyperlink" Target="https://skinstorepakistan.com/products/aplb-pdrn-vitamin-c-body-lotion" TargetMode="External"/><Relationship Id="rId67" Type="http://schemas.openxmlformats.org/officeDocument/2006/relationships/hyperlink" Target="https://allurebeauty.pk/products/sheglam-jelly-licious-hydrating-lip-blush-tnit-cheerio-10g" TargetMode="External"/><Relationship Id="rId116" Type="http://schemas.openxmlformats.org/officeDocument/2006/relationships/hyperlink" Target="https://allurebeauty.pk/products/lamel-smart-skin-concealer-404-natural-15ml" TargetMode="External"/><Relationship Id="rId20" Type="http://schemas.openxmlformats.org/officeDocument/2006/relationships/hyperlink" Target="https://skinstorepakistan.com/products/cerave-oil-control-balancing-conditioner" TargetMode="External"/><Relationship Id="rId41" Type="http://schemas.openxmlformats.org/officeDocument/2006/relationships/hyperlink" Target="https://highfy.pk/products/medicube-glow-vanilla-hair-body-fragrance-mist-100ml" TargetMode="External"/><Relationship Id="rId62" Type="http://schemas.openxmlformats.org/officeDocument/2006/relationships/hyperlink" Target="https://allurebeauty.pk/products/rimmel-lasting-mega-matte-liquid-lipstick-1" TargetMode="External"/><Relationship Id="rId83" Type="http://schemas.openxmlformats.org/officeDocument/2006/relationships/hyperlink" Target="https://allurebeauty.pk/products/zero-makeup-shadow-liner-deep-brown" TargetMode="External"/><Relationship Id="rId88" Type="http://schemas.openxmlformats.org/officeDocument/2006/relationships/hyperlink" Target="https://allurebeauty.pk/products/guerlain-terracotta-kho-kajal-02" TargetMode="External"/><Relationship Id="rId111" Type="http://schemas.openxmlformats.org/officeDocument/2006/relationships/hyperlink" Target="https://jenpharm.com/products/mandelac-serum" TargetMode="External"/><Relationship Id="rId132" Type="http://schemas.openxmlformats.org/officeDocument/2006/relationships/hyperlink" Target="https://vincecare.com/products/sunblock-spf-50" TargetMode="External"/><Relationship Id="rId15" Type="http://schemas.openxmlformats.org/officeDocument/2006/relationships/hyperlink" Target="https://skinstorepakistan.com/products/anua-collagen-retinol-refining-gua-sha-cream-80ml" TargetMode="External"/><Relationship Id="rId36" Type="http://schemas.openxmlformats.org/officeDocument/2006/relationships/hyperlink" Target="https://skinstorepakistan.com/products/arencia-pore-melt-cleansing-oil-pad" TargetMode="External"/><Relationship Id="rId57" Type="http://schemas.openxmlformats.org/officeDocument/2006/relationships/hyperlink" Target="https://skinstorepakistan.com/products/numbuzin-no-9-nad-retinal-volumetox-eye-cream-20ml" TargetMode="External"/><Relationship Id="rId106" Type="http://schemas.openxmlformats.org/officeDocument/2006/relationships/hyperlink" Target="https://allurebeauty.pk/products/maple-peachy-pink-gloss-bomb" TargetMode="External"/><Relationship Id="rId127" Type="http://schemas.openxmlformats.org/officeDocument/2006/relationships/hyperlink" Target="https://conaturalintl.com/products/niacinamide-10-zinc-1-super-activ-skin-serum" TargetMode="External"/><Relationship Id="rId10" Type="http://schemas.openxmlformats.org/officeDocument/2006/relationships/hyperlink" Target="https://highfy.pk/products/eos-shea-better-cashmere-body-wash-473ml-fresh-cozy-copy" TargetMode="External"/><Relationship Id="rId31" Type="http://schemas.openxmlformats.org/officeDocument/2006/relationships/hyperlink" Target="https://highfy.pk/products/chi-aloe-vera-moisturi-curl-cream-148ml" TargetMode="External"/><Relationship Id="rId52" Type="http://schemas.openxmlformats.org/officeDocument/2006/relationships/hyperlink" Target="https://highfy.pk/products/chi-argan-shampoo-340ml" TargetMode="External"/><Relationship Id="rId73" Type="http://schemas.openxmlformats.org/officeDocument/2006/relationships/hyperlink" Target="https://skinstorepakistan.com/products/arencia-nad-booster-shot-30ml" TargetMode="External"/><Relationship Id="rId78" Type="http://schemas.openxmlformats.org/officeDocument/2006/relationships/hyperlink" Target="https://highfy.pk/products/shiseido-fino-premium-touch-hair-mask-230g" TargetMode="External"/><Relationship Id="rId94" Type="http://schemas.openxmlformats.org/officeDocument/2006/relationships/hyperlink" Target="https://allurebeauty.pk/products/date-night-mauve-bullet-lipstick" TargetMode="External"/><Relationship Id="rId99" Type="http://schemas.openxmlformats.org/officeDocument/2006/relationships/hyperlink" Target="https://allurebeauty.pk/products/zero-makeup-eye-stick-pink-pearl" TargetMode="External"/><Relationship Id="rId101" Type="http://schemas.openxmlformats.org/officeDocument/2006/relationships/hyperlink" Target="https://jenpharm.com/products/anagrow-hair-serum" TargetMode="External"/><Relationship Id="rId122" Type="http://schemas.openxmlformats.org/officeDocument/2006/relationships/hyperlink" Target="https://jenpharm.com/products/mandelac-cream" TargetMode="External"/><Relationship Id="rId4" Type="http://schemas.openxmlformats.org/officeDocument/2006/relationships/hyperlink" Target="https://allurebeauty.pk/products/rhode-glazing-milk-lait-glazing-65ml" TargetMode="External"/><Relationship Id="rId9" Type="http://schemas.openxmlformats.org/officeDocument/2006/relationships/hyperlink" Target="https://highfy.pk/products/eos-shea-better-cashmere-body-wash-473ml-fresh-cozy" TargetMode="External"/><Relationship Id="rId26" Type="http://schemas.openxmlformats.org/officeDocument/2006/relationships/hyperlink" Target="https://allurebeauty.pk/products/la-roche-posay-effaclar-purifying-foaming-cleaning-gel-300ml" TargetMode="External"/><Relationship Id="rId47" Type="http://schemas.openxmlformats.org/officeDocument/2006/relationships/hyperlink" Target="https://jenpharm.com/products/skin-brightening-bundle-for-normal-dry-skin" TargetMode="External"/><Relationship Id="rId68" Type="http://schemas.openxmlformats.org/officeDocument/2006/relationships/hyperlink" Target="https://highfy.pk/products/nyx-professional-makeup-shine-loud-lip-color-3-4ml-make-it-work" TargetMode="External"/><Relationship Id="rId89" Type="http://schemas.openxmlformats.org/officeDocument/2006/relationships/hyperlink" Target="https://highfy.pk/products/skin1004-madagascar-centella-asiatica-ampoule-facial-serum-30ml" TargetMode="External"/><Relationship Id="rId112" Type="http://schemas.openxmlformats.org/officeDocument/2006/relationships/hyperlink" Target="https://jenpharm.com/products/spectra-block-max-100" TargetMode="External"/><Relationship Id="rId133" Type="http://schemas.openxmlformats.org/officeDocument/2006/relationships/hyperlink" Target="https://jenpharm.com/products/dermive-oil-free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corporate.oriflame.com/wp-content/uploads/2026/05/Oriflame-annual-report-2025_-FINAL.pdf" TargetMode="External"/><Relationship Id="rId18" Type="http://schemas.openxmlformats.org/officeDocument/2006/relationships/hyperlink" Target="https://goldenpearl.com.pk/pages/about" TargetMode="External"/><Relationship Id="rId26" Type="http://schemas.openxmlformats.org/officeDocument/2006/relationships/hyperlink" Target="https://ecdb.com/resources/sample-data/retailer/junaidjamshed" TargetMode="External"/><Relationship Id="rId39" Type="http://schemas.openxmlformats.org/officeDocument/2006/relationships/hyperlink" Target="https://profit.pakistantoday.com.pk/2020/11/28/the-six-local-brands-leading-the-pakistani-skincare-industry/" TargetMode="External"/><Relationship Id="rId21" Type="http://schemas.openxmlformats.org/officeDocument/2006/relationships/hyperlink" Target="https://profit.pakistantoday.com.pk/2023/03/26/are-local-makeup-brands-really-local/" TargetMode="External"/><Relationship Id="rId34" Type="http://schemas.openxmlformats.org/officeDocument/2006/relationships/hyperlink" Target="https://dermatechno.com/pages/about-derma-techno-pakistan" TargetMode="External"/><Relationship Id="rId7" Type="http://schemas.openxmlformats.org/officeDocument/2006/relationships/hyperlink" Target="https://stockanalysis.com/quote/psx/TREET/revenue/" TargetMode="External"/><Relationship Id="rId12" Type="http://schemas.openxmlformats.org/officeDocument/2006/relationships/hyperlink" Target="https://www.researchandmarkets.com/reports/2306170/beauty_and_personal_care_in_pakistan" TargetMode="External"/><Relationship Id="rId17" Type="http://schemas.openxmlformats.org/officeDocument/2006/relationships/hyperlink" Target="https://profit.pakistantoday.com.pk/2020/11/28/the-six-local-brands-leading-the-pakistani-skincare-industry/" TargetMode="External"/><Relationship Id="rId25" Type="http://schemas.openxmlformats.org/officeDocument/2006/relationships/hyperlink" Target="https://profit.pakistantoday.com.pk/2023/03/26/are-local-makeup-brands-really-local/" TargetMode="External"/><Relationship Id="rId33" Type="http://schemas.openxmlformats.org/officeDocument/2006/relationships/hyperlink" Target="https://dermacospakistan.pk/" TargetMode="External"/><Relationship Id="rId38" Type="http://schemas.openxmlformats.org/officeDocument/2006/relationships/hyperlink" Target="https://www.kashees.pk/" TargetMode="External"/><Relationship Id="rId2" Type="http://schemas.openxmlformats.org/officeDocument/2006/relationships/hyperlink" Target="https://www.unilever.com/news/news-search/2023/inside-our-markets-unilevers-business-in-pakistan/" TargetMode="External"/><Relationship Id="rId16" Type="http://schemas.openxmlformats.org/officeDocument/2006/relationships/hyperlink" Target="https://vincecare.com/pages/about-us" TargetMode="External"/><Relationship Id="rId20" Type="http://schemas.openxmlformats.org/officeDocument/2006/relationships/hyperlink" Target="https://profit.pakistantoday.com.pk/2023/03/26/are-local-makeup-brands-really-local/" TargetMode="External"/><Relationship Id="rId29" Type="http://schemas.openxmlformats.org/officeDocument/2006/relationships/hyperlink" Target="https://profit.pakistantoday.com.pk/2021/12/09/beauty-fashion-ecommerce-startup-bagallery-raises-4-5m-in-series-a-funding-as-competition-grows-stronger/" TargetMode="External"/><Relationship Id="rId1" Type="http://schemas.openxmlformats.org/officeDocument/2006/relationships/hyperlink" Target="https://stockanalysis.com/quote/psx/COLG/revenue/" TargetMode="External"/><Relationship Id="rId6" Type="http://schemas.openxmlformats.org/officeDocument/2006/relationships/hyperlink" Target="https://stockanalysis.com/quote/psx/ZIL/financials/" TargetMode="External"/><Relationship Id="rId11" Type="http://schemas.openxmlformats.org/officeDocument/2006/relationships/hyperlink" Target="https://www.brecorder.com/trends/reckitt-benckiser-pakistan" TargetMode="External"/><Relationship Id="rId24" Type="http://schemas.openxmlformats.org/officeDocument/2006/relationships/hyperlink" Target="https://wwd.com/beauty-industry-news/color-cosmetics/sephora-luscious-cosmetics-line-10287511/" TargetMode="External"/><Relationship Id="rId32" Type="http://schemas.openxmlformats.org/officeDocument/2006/relationships/hyperlink" Target="https://highfy.pk/blogs/news/about-us" TargetMode="External"/><Relationship Id="rId37" Type="http://schemas.openxmlformats.org/officeDocument/2006/relationships/hyperlink" Target="https://marhaba.com.pk/about" TargetMode="External"/><Relationship Id="rId5" Type="http://schemas.openxmlformats.org/officeDocument/2006/relationships/hyperlink" Target="https://stockanalysis.com/quote/psx/GLPL/revenue/" TargetMode="External"/><Relationship Id="rId15" Type="http://schemas.openxmlformats.org/officeDocument/2006/relationships/hyperlink" Target="https://profit.pakistantoday.com.pk/2020/11/28/the-six-local-brands-leading-the-pakistani-skincare-industry/" TargetMode="External"/><Relationship Id="rId23" Type="http://schemas.openxmlformats.org/officeDocument/2006/relationships/hyperlink" Target="https://profit.pakistantoday.com.pk/2023/03/26/are-local-makeup-brands-really-local/" TargetMode="External"/><Relationship Id="rId28" Type="http://schemas.openxmlformats.org/officeDocument/2006/relationships/hyperlink" Target="https://en.wikipedia.org/wiki/Nishat_Mills_Limited" TargetMode="External"/><Relationship Id="rId36" Type="http://schemas.openxmlformats.org/officeDocument/2006/relationships/hyperlink" Target="https://www.hemaniherbals.com/pages/about-us" TargetMode="External"/><Relationship Id="rId10" Type="http://schemas.openxmlformats.org/officeDocument/2006/relationships/hyperlink" Target="https://profit.pakistantoday.com.pk/2023/03/26/are-local-makeup-brands-really-local/" TargetMode="External"/><Relationship Id="rId19" Type="http://schemas.openxmlformats.org/officeDocument/2006/relationships/hyperlink" Target="https://profit.pakistantoday.com.pk/2023/03/26/are-local-makeup-brands-really-local/" TargetMode="External"/><Relationship Id="rId31" Type="http://schemas.openxmlformats.org/officeDocument/2006/relationships/hyperlink" Target="https://www.naheed.pk/" TargetMode="External"/><Relationship Id="rId4" Type="http://schemas.openxmlformats.org/officeDocument/2006/relationships/hyperlink" Target="https://profit.pakistantoday.com.pk/2025/10/02/pg-to-discontinue-business-in-pakistan-as-part-of-global-restructuring/" TargetMode="External"/><Relationship Id="rId9" Type="http://schemas.openxmlformats.org/officeDocument/2006/relationships/hyperlink" Target="https://www.beiersdorf.com/newsroom/press-information/all-press-releases/2026/03/02-full-year-results-2025-beiersdorf-grows-in-a-slowing-market-derma-outperforms" TargetMode="External"/><Relationship Id="rId14" Type="http://schemas.openxmlformats.org/officeDocument/2006/relationships/hyperlink" Target="https://jenpharm.com/" TargetMode="External"/><Relationship Id="rId22" Type="http://schemas.openxmlformats.org/officeDocument/2006/relationships/hyperlink" Target="https://profit.pakistantoday.com.pk/2023/03/26/are-local-makeup-brands-really-local/" TargetMode="External"/><Relationship Id="rId27" Type="http://schemas.openxmlformats.org/officeDocument/2006/relationships/hyperlink" Target="https://www.pacra.com/api/rating-report/MTUxOTY=" TargetMode="External"/><Relationship Id="rId30" Type="http://schemas.openxmlformats.org/officeDocument/2006/relationships/hyperlink" Target="https://ecdb.com/resources/sample-data/retailer/Daraz" TargetMode="External"/><Relationship Id="rId35" Type="http://schemas.openxmlformats.org/officeDocument/2006/relationships/hyperlink" Target="https://bioaqua.com.pk/" TargetMode="External"/><Relationship Id="rId8" Type="http://schemas.openxmlformats.org/officeDocument/2006/relationships/hyperlink" Target="https://stockanalysis.com/quote/psx/SCL/financials/" TargetMode="External"/><Relationship Id="rId3" Type="http://schemas.openxmlformats.org/officeDocument/2006/relationships/hyperlink" Target="https://stockanalysis.com/quote/psx/UPFL/revenue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rofit.pakistantoday.com.pk/2023/03/26/are-local-makeup-brands-really-local/" TargetMode="External"/><Relationship Id="rId13" Type="http://schemas.openxmlformats.org/officeDocument/2006/relationships/hyperlink" Target="https://akira.pk/blogs/news/a-review-of-the-state-of-the-cosmetics-market-for-fy-2024-2025" TargetMode="External"/><Relationship Id="rId3" Type="http://schemas.openxmlformats.org/officeDocument/2006/relationships/hyperlink" Target="https://picardybeauty.pk/blogs/news/how-much-pakistanis-spend-annually-on-personal-care-products" TargetMode="External"/><Relationship Id="rId7" Type="http://schemas.openxmlformats.org/officeDocument/2006/relationships/hyperlink" Target="https://profit.pakistantoday.com.pk/2023/03/26/are-local-makeup-brands-really-local/" TargetMode="External"/><Relationship Id="rId12" Type="http://schemas.openxmlformats.org/officeDocument/2006/relationships/hyperlink" Target="https://picardybeauty.pk/blogs/news/how-much-pakistanis-spend-annually-on-personal-care-products" TargetMode="External"/><Relationship Id="rId2" Type="http://schemas.openxmlformats.org/officeDocument/2006/relationships/hyperlink" Target="https://picardybeauty.pk/blogs/news/how-much-pakistanis-spend-annually-on-personal-care-products" TargetMode="External"/><Relationship Id="rId1" Type="http://schemas.openxmlformats.org/officeDocument/2006/relationships/hyperlink" Target="https://picardybeauty.pk/blogs/news/how-much-pakistanis-spend-annually-on-personal-care-products" TargetMode="External"/><Relationship Id="rId6" Type="http://schemas.openxmlformats.org/officeDocument/2006/relationships/hyperlink" Target="https://profit.pakistantoday.com.pk/2023/05/22/pakistan-general-cosmetics-authority-bill-approved-to-regulate-cosmetics-industry/" TargetMode="External"/><Relationship Id="rId11" Type="http://schemas.openxmlformats.org/officeDocument/2006/relationships/hyperlink" Target="https://www.indexbox.io/store/pakistan-skin-care-market-analysis-forecast-size-trends-and-insights/" TargetMode="External"/><Relationship Id="rId5" Type="http://schemas.openxmlformats.org/officeDocument/2006/relationships/hyperlink" Target="https://akira.pk/blogs/news/a-review-of-the-state-of-the-cosmetics-market-for-fy-2024-2025" TargetMode="External"/><Relationship Id="rId10" Type="http://schemas.openxmlformats.org/officeDocument/2006/relationships/hyperlink" Target="https://tradingeconomics.com/pakistan/imports/essential-oils-perfumes-cosmetics-toileteries" TargetMode="External"/><Relationship Id="rId4" Type="http://schemas.openxmlformats.org/officeDocument/2006/relationships/hyperlink" Target="https://akira.pk/blogs/news/a-review-of-the-state-of-the-cosmetics-market-for-fy-2024-2025" TargetMode="External"/><Relationship Id="rId9" Type="http://schemas.openxmlformats.org/officeDocument/2006/relationships/hyperlink" Target="https://profit.pakistantoday.com.pk/2023/03/26/are-local-makeup-brands-really-local/" TargetMode="External"/><Relationship Id="rId14" Type="http://schemas.openxmlformats.org/officeDocument/2006/relationships/hyperlink" Target="https://www.6wresearch.com/industry-report/pakistan-cosmetic-products-market-outlo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zoomScale="183" zoomScaleNormal="183" workbookViewId="0">
      <selection activeCell="B7" sqref="B7"/>
    </sheetView>
  </sheetViews>
  <sheetFormatPr defaultColWidth="8.7109375" defaultRowHeight="15" x14ac:dyDescent="0.25"/>
  <cols>
    <col min="1" max="1" width="26" customWidth="1"/>
    <col min="2" max="2" width="118" customWidth="1"/>
  </cols>
  <sheetData>
    <row r="1" spans="1:2" ht="20.25" x14ac:dyDescent="0.3">
      <c r="A1" s="1" t="s">
        <v>0</v>
      </c>
    </row>
    <row r="2" spans="1:2" x14ac:dyDescent="0.25">
      <c r="A2" s="2" t="s">
        <v>1</v>
      </c>
    </row>
    <row r="4" spans="1:2" ht="15" customHeight="1" x14ac:dyDescent="0.25">
      <c r="A4" s="3"/>
      <c r="B4" s="4"/>
    </row>
    <row r="5" spans="1:2" ht="27.75" customHeight="1" x14ac:dyDescent="0.25">
      <c r="A5" s="3" t="s">
        <v>2</v>
      </c>
      <c r="B5" s="4" t="s">
        <v>3</v>
      </c>
    </row>
    <row r="6" spans="1:2" ht="15" customHeight="1" x14ac:dyDescent="0.25">
      <c r="A6" s="3"/>
      <c r="B6" s="4"/>
    </row>
    <row r="7" spans="1:2" ht="15" customHeight="1" x14ac:dyDescent="0.25">
      <c r="A7" s="3" t="s">
        <v>4</v>
      </c>
      <c r="B7" s="4"/>
    </row>
    <row r="8" spans="1:2" ht="27.75" customHeight="1" x14ac:dyDescent="0.25">
      <c r="A8" s="3" t="s">
        <v>5</v>
      </c>
      <c r="B8" s="4" t="s">
        <v>6</v>
      </c>
    </row>
    <row r="9" spans="1:2" ht="27.75" customHeight="1" x14ac:dyDescent="0.25">
      <c r="A9" s="3" t="s">
        <v>7</v>
      </c>
      <c r="B9" s="4" t="s">
        <v>8</v>
      </c>
    </row>
    <row r="10" spans="1:2" ht="27.75" customHeight="1" x14ac:dyDescent="0.25">
      <c r="A10" s="3" t="s">
        <v>9</v>
      </c>
      <c r="B10" s="4" t="s">
        <v>10</v>
      </c>
    </row>
    <row r="11" spans="1:2" ht="27.75" customHeight="1" x14ac:dyDescent="0.25">
      <c r="A11" s="3" t="s">
        <v>11</v>
      </c>
      <c r="B11" s="4" t="s">
        <v>12</v>
      </c>
    </row>
    <row r="12" spans="1:2" ht="27.75" customHeight="1" x14ac:dyDescent="0.25">
      <c r="A12" s="3" t="s">
        <v>13</v>
      </c>
      <c r="B12" s="4" t="s">
        <v>14</v>
      </c>
    </row>
    <row r="13" spans="1:2" ht="27.75" customHeight="1" x14ac:dyDescent="0.25">
      <c r="A13" s="3" t="s">
        <v>15</v>
      </c>
      <c r="B13" s="4" t="s">
        <v>16</v>
      </c>
    </row>
    <row r="14" spans="1:2" ht="15" customHeight="1" x14ac:dyDescent="0.25">
      <c r="A14" s="3" t="s">
        <v>17</v>
      </c>
      <c r="B14" s="4" t="s">
        <v>18</v>
      </c>
    </row>
    <row r="15" spans="1:2" ht="15" customHeight="1" x14ac:dyDescent="0.25">
      <c r="A15" s="3"/>
      <c r="B15" s="4"/>
    </row>
    <row r="16" spans="1:2" ht="15" customHeight="1" x14ac:dyDescent="0.25">
      <c r="A16" s="3" t="s">
        <v>19</v>
      </c>
      <c r="B16" s="4"/>
    </row>
    <row r="17" spans="1:2" ht="27.75" customHeight="1" x14ac:dyDescent="0.25">
      <c r="A17" s="3" t="s">
        <v>20</v>
      </c>
      <c r="B17" s="4" t="s">
        <v>21</v>
      </c>
    </row>
    <row r="18" spans="1:2" ht="27.75" customHeight="1" x14ac:dyDescent="0.25">
      <c r="A18" s="3" t="s">
        <v>22</v>
      </c>
      <c r="B18" s="4" t="s">
        <v>23</v>
      </c>
    </row>
    <row r="19" spans="1:2" ht="27.75" customHeight="1" x14ac:dyDescent="0.25">
      <c r="A19" s="3" t="s">
        <v>24</v>
      </c>
      <c r="B19" s="4" t="s">
        <v>25</v>
      </c>
    </row>
    <row r="20" spans="1:2" ht="15" customHeight="1" x14ac:dyDescent="0.25">
      <c r="A20" s="3" t="s">
        <v>26</v>
      </c>
      <c r="B20" s="4" t="s">
        <v>27</v>
      </c>
    </row>
    <row r="21" spans="1:2" ht="15" customHeight="1" x14ac:dyDescent="0.25">
      <c r="A21" s="3"/>
      <c r="B21" s="4"/>
    </row>
    <row r="22" spans="1:2" ht="15" customHeight="1" x14ac:dyDescent="0.25">
      <c r="A22" s="3" t="s">
        <v>28</v>
      </c>
      <c r="B22" s="4"/>
    </row>
    <row r="23" spans="1:2" ht="27.75" customHeight="1" x14ac:dyDescent="0.25">
      <c r="A23" s="3" t="s">
        <v>29</v>
      </c>
      <c r="B23" s="4" t="s">
        <v>30</v>
      </c>
    </row>
    <row r="24" spans="1:2" ht="15" customHeight="1" x14ac:dyDescent="0.25">
      <c r="A24" s="3" t="s">
        <v>31</v>
      </c>
      <c r="B24" s="4" t="s">
        <v>32</v>
      </c>
    </row>
    <row r="25" spans="1:2" ht="27.75" customHeight="1" x14ac:dyDescent="0.25">
      <c r="A25" s="3" t="s">
        <v>33</v>
      </c>
      <c r="B25" s="4" t="s">
        <v>34</v>
      </c>
    </row>
    <row r="26" spans="1:2" ht="27.75" customHeight="1" x14ac:dyDescent="0.25">
      <c r="A26" s="3" t="s">
        <v>35</v>
      </c>
      <c r="B26" s="4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tabSelected="1" zoomScale="191" zoomScaleNormal="191" workbookViewId="0">
      <pane xSplit="1" ySplit="1" topLeftCell="G101" activePane="bottomRight" state="frozen"/>
      <selection pane="topRight" activeCell="B1" sqref="B1"/>
      <selection pane="bottomLeft" activeCell="A2" sqref="A2"/>
      <selection pane="bottomRight" activeCell="K108" sqref="K108"/>
    </sheetView>
  </sheetViews>
  <sheetFormatPr defaultColWidth="8.7109375" defaultRowHeight="15" x14ac:dyDescent="0.25"/>
  <cols>
    <col min="1" max="1" width="5" customWidth="1"/>
    <col min="2" max="2" width="58" customWidth="1"/>
    <col min="3" max="3" width="18" customWidth="1"/>
    <col min="4" max="4" width="22" customWidth="1"/>
    <col min="5" max="5" width="13" customWidth="1"/>
    <col min="6" max="6" width="22" customWidth="1"/>
    <col min="7" max="7" width="12" customWidth="1"/>
    <col min="8" max="8" width="62" customWidth="1"/>
    <col min="9" max="9" width="34" customWidth="1"/>
    <col min="10" max="10" width="13" customWidth="1"/>
    <col min="11" max="11" width="7" customWidth="1"/>
    <col min="12" max="12" width="20" customWidth="1"/>
    <col min="13" max="13" width="34" customWidth="1"/>
  </cols>
  <sheetData>
    <row r="1" spans="1:13" ht="30" customHeight="1" x14ac:dyDescent="0.25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</row>
    <row r="2" spans="1:13" x14ac:dyDescent="0.25">
      <c r="A2" s="6">
        <v>1</v>
      </c>
      <c r="B2" s="6" t="s">
        <v>50</v>
      </c>
      <c r="C2" s="6" t="s">
        <v>51</v>
      </c>
      <c r="D2" s="6" t="s">
        <v>52</v>
      </c>
      <c r="E2" s="6" t="s">
        <v>53</v>
      </c>
      <c r="F2" s="6" t="s">
        <v>54</v>
      </c>
      <c r="G2" s="7">
        <v>39258</v>
      </c>
      <c r="H2" s="8" t="s">
        <v>55</v>
      </c>
      <c r="I2" s="6" t="s">
        <v>56</v>
      </c>
      <c r="J2" s="7">
        <v>210</v>
      </c>
      <c r="K2" s="6">
        <v>19</v>
      </c>
      <c r="L2" s="6" t="str">
        <f t="shared" ref="L2:L33" si="0">IF(G2&gt;=10000,"Luxury (10k+)",IF(G2&gt;=5000,"Premium (5-10k)",IF(G2&gt;=3000,"Upper-mid (3-5k)","Entry-premium (2-3k)")))</f>
        <v>Luxury (10k+)</v>
      </c>
      <c r="M2" s="6"/>
    </row>
    <row r="3" spans="1:13" x14ac:dyDescent="0.25">
      <c r="A3" s="6">
        <v>2</v>
      </c>
      <c r="B3" s="6" t="s">
        <v>57</v>
      </c>
      <c r="C3" s="6" t="s">
        <v>58</v>
      </c>
      <c r="D3" s="6" t="s">
        <v>52</v>
      </c>
      <c r="E3" s="6" t="s">
        <v>59</v>
      </c>
      <c r="F3" s="6" t="s">
        <v>54</v>
      </c>
      <c r="G3" s="7">
        <v>38680</v>
      </c>
      <c r="H3" s="8" t="s">
        <v>60</v>
      </c>
      <c r="I3" s="6" t="s">
        <v>61</v>
      </c>
      <c r="J3" s="7">
        <v>210</v>
      </c>
      <c r="K3" s="6">
        <v>20</v>
      </c>
      <c r="L3" s="6" t="str">
        <f t="shared" si="0"/>
        <v>Luxury (10k+)</v>
      </c>
      <c r="M3" s="6" t="s">
        <v>62</v>
      </c>
    </row>
    <row r="4" spans="1:13" x14ac:dyDescent="0.25">
      <c r="A4" s="6">
        <v>3</v>
      </c>
      <c r="B4" s="6" t="s">
        <v>63</v>
      </c>
      <c r="C4" s="6" t="s">
        <v>64</v>
      </c>
      <c r="D4" s="6" t="s">
        <v>52</v>
      </c>
      <c r="E4" s="6" t="s">
        <v>65</v>
      </c>
      <c r="F4" s="6" t="s">
        <v>54</v>
      </c>
      <c r="G4" s="7">
        <v>27000</v>
      </c>
      <c r="H4" s="8" t="s">
        <v>66</v>
      </c>
      <c r="I4" s="6" t="s">
        <v>67</v>
      </c>
      <c r="J4" s="7">
        <v>170</v>
      </c>
      <c r="K4" s="6">
        <v>17</v>
      </c>
      <c r="L4" s="6" t="str">
        <f t="shared" si="0"/>
        <v>Luxury (10k+)</v>
      </c>
      <c r="M4" s="6"/>
    </row>
    <row r="5" spans="1:13" s="27" customFormat="1" x14ac:dyDescent="0.25">
      <c r="A5" s="24">
        <v>4</v>
      </c>
      <c r="B5" s="24" t="s">
        <v>68</v>
      </c>
      <c r="C5" s="24" t="s">
        <v>69</v>
      </c>
      <c r="D5" s="24" t="s">
        <v>70</v>
      </c>
      <c r="E5" s="24" t="s">
        <v>71</v>
      </c>
      <c r="F5" s="24" t="s">
        <v>54</v>
      </c>
      <c r="G5" s="25">
        <v>19000</v>
      </c>
      <c r="H5" s="26" t="s">
        <v>72</v>
      </c>
      <c r="I5" s="24" t="s">
        <v>73</v>
      </c>
      <c r="J5" s="25">
        <v>1300</v>
      </c>
      <c r="K5" s="24">
        <v>25</v>
      </c>
      <c r="L5" s="24" t="str">
        <f t="shared" si="0"/>
        <v>Luxury (10k+)</v>
      </c>
      <c r="M5" s="24" t="s">
        <v>74</v>
      </c>
    </row>
    <row r="6" spans="1:13" x14ac:dyDescent="0.25">
      <c r="A6" s="6">
        <v>5</v>
      </c>
      <c r="B6" s="6" t="s">
        <v>75</v>
      </c>
      <c r="C6" s="6" t="s">
        <v>76</v>
      </c>
      <c r="D6" s="6" t="s">
        <v>77</v>
      </c>
      <c r="E6" s="6" t="s">
        <v>53</v>
      </c>
      <c r="F6" s="6" t="s">
        <v>78</v>
      </c>
      <c r="G6" s="7">
        <v>15950</v>
      </c>
      <c r="H6" s="8" t="s">
        <v>79</v>
      </c>
      <c r="I6" s="6" t="s">
        <v>80</v>
      </c>
      <c r="J6" s="7">
        <v>3600</v>
      </c>
      <c r="K6" s="6">
        <v>17</v>
      </c>
      <c r="L6" s="6" t="str">
        <f t="shared" si="0"/>
        <v>Luxury (10k+)</v>
      </c>
      <c r="M6" s="6" t="s">
        <v>81</v>
      </c>
    </row>
    <row r="7" spans="1:13" x14ac:dyDescent="0.25">
      <c r="A7" s="6">
        <v>6</v>
      </c>
      <c r="B7" s="6" t="s">
        <v>82</v>
      </c>
      <c r="C7" s="6" t="s">
        <v>83</v>
      </c>
      <c r="D7" s="6" t="s">
        <v>52</v>
      </c>
      <c r="E7" s="6" t="s">
        <v>84</v>
      </c>
      <c r="F7" s="6" t="s">
        <v>54</v>
      </c>
      <c r="G7" s="7">
        <v>9995</v>
      </c>
      <c r="H7" s="8" t="s">
        <v>85</v>
      </c>
      <c r="I7" s="6" t="s">
        <v>86</v>
      </c>
      <c r="J7" s="7">
        <v>880</v>
      </c>
      <c r="K7" s="6">
        <v>24</v>
      </c>
      <c r="L7" s="6" t="str">
        <f t="shared" si="0"/>
        <v>Premium (5-10k)</v>
      </c>
      <c r="M7" s="6"/>
    </row>
    <row r="8" spans="1:13" x14ac:dyDescent="0.25">
      <c r="A8" s="6">
        <v>7</v>
      </c>
      <c r="B8" s="6" t="s">
        <v>87</v>
      </c>
      <c r="C8" s="6" t="s">
        <v>83</v>
      </c>
      <c r="D8" s="6" t="s">
        <v>52</v>
      </c>
      <c r="E8" s="6" t="s">
        <v>84</v>
      </c>
      <c r="F8" s="6" t="s">
        <v>54</v>
      </c>
      <c r="G8" s="7">
        <v>9995</v>
      </c>
      <c r="H8" s="8" t="s">
        <v>88</v>
      </c>
      <c r="I8" s="6" t="s">
        <v>89</v>
      </c>
      <c r="J8" s="7">
        <v>320</v>
      </c>
      <c r="K8" s="6">
        <v>18</v>
      </c>
      <c r="L8" s="6" t="str">
        <f t="shared" si="0"/>
        <v>Premium (5-10k)</v>
      </c>
      <c r="M8" s="6"/>
    </row>
    <row r="9" spans="1:13" x14ac:dyDescent="0.25">
      <c r="A9" s="6">
        <v>8</v>
      </c>
      <c r="B9" s="6" t="s">
        <v>90</v>
      </c>
      <c r="C9" s="6" t="s">
        <v>91</v>
      </c>
      <c r="D9" s="6" t="s">
        <v>92</v>
      </c>
      <c r="E9" s="6" t="s">
        <v>71</v>
      </c>
      <c r="F9" s="6" t="s">
        <v>93</v>
      </c>
      <c r="G9" s="7">
        <v>9499</v>
      </c>
      <c r="H9" s="8" t="s">
        <v>94</v>
      </c>
      <c r="I9" s="6" t="s">
        <v>95</v>
      </c>
      <c r="J9" s="7">
        <v>210</v>
      </c>
      <c r="K9" s="6">
        <v>15</v>
      </c>
      <c r="L9" s="6" t="str">
        <f t="shared" si="0"/>
        <v>Premium (5-10k)</v>
      </c>
      <c r="M9" s="6"/>
    </row>
    <row r="10" spans="1:13" x14ac:dyDescent="0.25">
      <c r="A10" s="6">
        <v>9</v>
      </c>
      <c r="B10" s="6" t="s">
        <v>96</v>
      </c>
      <c r="C10" s="6" t="s">
        <v>91</v>
      </c>
      <c r="D10" s="6" t="s">
        <v>92</v>
      </c>
      <c r="E10" s="6" t="s">
        <v>71</v>
      </c>
      <c r="F10" s="6" t="s">
        <v>93</v>
      </c>
      <c r="G10" s="7">
        <v>9499</v>
      </c>
      <c r="H10" s="8" t="s">
        <v>97</v>
      </c>
      <c r="I10" s="6" t="s">
        <v>98</v>
      </c>
      <c r="J10" s="7">
        <v>320</v>
      </c>
      <c r="K10" s="6">
        <v>18</v>
      </c>
      <c r="L10" s="6" t="str">
        <f t="shared" si="0"/>
        <v>Premium (5-10k)</v>
      </c>
      <c r="M10" s="6"/>
    </row>
    <row r="11" spans="1:13" x14ac:dyDescent="0.25">
      <c r="A11" s="6">
        <v>10</v>
      </c>
      <c r="B11" s="6" t="s">
        <v>99</v>
      </c>
      <c r="C11" s="6" t="s">
        <v>91</v>
      </c>
      <c r="D11" s="6" t="s">
        <v>92</v>
      </c>
      <c r="E11" s="6" t="s">
        <v>71</v>
      </c>
      <c r="F11" s="6" t="s">
        <v>93</v>
      </c>
      <c r="G11" s="7">
        <v>9499</v>
      </c>
      <c r="H11" s="8" t="s">
        <v>100</v>
      </c>
      <c r="I11" s="6" t="s">
        <v>98</v>
      </c>
      <c r="J11" s="7">
        <v>320</v>
      </c>
      <c r="K11" s="6">
        <v>18</v>
      </c>
      <c r="L11" s="6" t="str">
        <f t="shared" si="0"/>
        <v>Premium (5-10k)</v>
      </c>
      <c r="M11" s="6"/>
    </row>
    <row r="12" spans="1:13" x14ac:dyDescent="0.25">
      <c r="A12" s="6">
        <v>11</v>
      </c>
      <c r="B12" s="6" t="s">
        <v>101</v>
      </c>
      <c r="C12" s="6" t="s">
        <v>102</v>
      </c>
      <c r="D12" s="6" t="s">
        <v>92</v>
      </c>
      <c r="E12" s="6" t="s">
        <v>71</v>
      </c>
      <c r="F12" s="6" t="s">
        <v>78</v>
      </c>
      <c r="G12" s="7">
        <v>8500</v>
      </c>
      <c r="H12" s="8" t="s">
        <v>103</v>
      </c>
      <c r="I12" s="6" t="s">
        <v>98</v>
      </c>
      <c r="J12" s="7">
        <v>320</v>
      </c>
      <c r="K12" s="6">
        <v>18</v>
      </c>
      <c r="L12" s="6" t="str">
        <f t="shared" si="0"/>
        <v>Premium (5-10k)</v>
      </c>
      <c r="M12" s="6"/>
    </row>
    <row r="13" spans="1:13" x14ac:dyDescent="0.25">
      <c r="A13" s="6">
        <v>12</v>
      </c>
      <c r="B13" s="6" t="s">
        <v>104</v>
      </c>
      <c r="C13" s="6" t="s">
        <v>102</v>
      </c>
      <c r="D13" s="6" t="s">
        <v>92</v>
      </c>
      <c r="E13" s="6" t="s">
        <v>71</v>
      </c>
      <c r="F13" s="6" t="s">
        <v>78</v>
      </c>
      <c r="G13" s="7">
        <v>8500</v>
      </c>
      <c r="H13" s="8" t="s">
        <v>105</v>
      </c>
      <c r="I13" s="6" t="s">
        <v>98</v>
      </c>
      <c r="J13" s="7">
        <v>320</v>
      </c>
      <c r="K13" s="6">
        <v>18</v>
      </c>
      <c r="L13" s="6" t="str">
        <f t="shared" si="0"/>
        <v>Premium (5-10k)</v>
      </c>
      <c r="M13" s="6"/>
    </row>
    <row r="14" spans="1:13" x14ac:dyDescent="0.25">
      <c r="A14" s="6">
        <v>13</v>
      </c>
      <c r="B14" s="6" t="s">
        <v>106</v>
      </c>
      <c r="C14" s="6" t="s">
        <v>107</v>
      </c>
      <c r="D14" s="6" t="s">
        <v>77</v>
      </c>
      <c r="E14" s="6" t="s">
        <v>71</v>
      </c>
      <c r="F14" s="6" t="s">
        <v>78</v>
      </c>
      <c r="G14" s="7">
        <v>8500</v>
      </c>
      <c r="H14" s="8" t="s">
        <v>108</v>
      </c>
      <c r="I14" s="6" t="s">
        <v>109</v>
      </c>
      <c r="J14" s="7">
        <v>6600</v>
      </c>
      <c r="K14" s="6">
        <v>13</v>
      </c>
      <c r="L14" s="6" t="str">
        <f t="shared" si="0"/>
        <v>Premium (5-10k)</v>
      </c>
      <c r="M14" s="6" t="s">
        <v>110</v>
      </c>
    </row>
    <row r="15" spans="1:13" x14ac:dyDescent="0.25">
      <c r="A15" s="6">
        <v>14</v>
      </c>
      <c r="B15" s="6" t="s">
        <v>111</v>
      </c>
      <c r="C15" s="6" t="s">
        <v>112</v>
      </c>
      <c r="D15" s="6" t="s">
        <v>113</v>
      </c>
      <c r="E15" s="6" t="s">
        <v>71</v>
      </c>
      <c r="F15" s="6" t="s">
        <v>93</v>
      </c>
      <c r="G15" s="7">
        <v>8055</v>
      </c>
      <c r="H15" s="8" t="s">
        <v>114</v>
      </c>
      <c r="I15" s="6" t="s">
        <v>115</v>
      </c>
      <c r="J15" s="7">
        <v>1600</v>
      </c>
      <c r="K15" s="6">
        <v>10</v>
      </c>
      <c r="L15" s="6" t="str">
        <f t="shared" si="0"/>
        <v>Premium (5-10k)</v>
      </c>
      <c r="M15" s="6" t="s">
        <v>116</v>
      </c>
    </row>
    <row r="16" spans="1:13" x14ac:dyDescent="0.25">
      <c r="A16" s="6">
        <v>15</v>
      </c>
      <c r="B16" s="6" t="s">
        <v>117</v>
      </c>
      <c r="C16" s="6" t="s">
        <v>118</v>
      </c>
      <c r="D16" s="6" t="s">
        <v>119</v>
      </c>
      <c r="E16" s="6" t="s">
        <v>120</v>
      </c>
      <c r="F16" s="6" t="s">
        <v>78</v>
      </c>
      <c r="G16" s="7">
        <v>7950</v>
      </c>
      <c r="H16" s="8" t="s">
        <v>121</v>
      </c>
      <c r="I16" s="6" t="s">
        <v>122</v>
      </c>
      <c r="J16" s="7">
        <v>1600</v>
      </c>
      <c r="K16" s="6">
        <v>18</v>
      </c>
      <c r="L16" s="6" t="str">
        <f t="shared" si="0"/>
        <v>Premium (5-10k)</v>
      </c>
      <c r="M16" s="6"/>
    </row>
    <row r="17" spans="1:13" x14ac:dyDescent="0.25">
      <c r="A17" s="6">
        <v>16</v>
      </c>
      <c r="B17" s="6" t="s">
        <v>123</v>
      </c>
      <c r="C17" s="6" t="s">
        <v>124</v>
      </c>
      <c r="D17" s="6" t="s">
        <v>125</v>
      </c>
      <c r="E17" s="6" t="s">
        <v>53</v>
      </c>
      <c r="F17" s="6" t="s">
        <v>78</v>
      </c>
      <c r="G17" s="7">
        <v>7950</v>
      </c>
      <c r="H17" s="8" t="s">
        <v>126</v>
      </c>
      <c r="I17" s="6" t="s">
        <v>127</v>
      </c>
      <c r="J17" s="7">
        <v>4400</v>
      </c>
      <c r="K17" s="6">
        <v>21</v>
      </c>
      <c r="L17" s="6" t="str">
        <f t="shared" si="0"/>
        <v>Premium (5-10k)</v>
      </c>
      <c r="M17" s="6"/>
    </row>
    <row r="18" spans="1:13" x14ac:dyDescent="0.25">
      <c r="A18" s="6">
        <v>17</v>
      </c>
      <c r="B18" s="6" t="s">
        <v>128</v>
      </c>
      <c r="C18" s="6" t="s">
        <v>124</v>
      </c>
      <c r="D18" s="6" t="s">
        <v>129</v>
      </c>
      <c r="E18" s="6" t="s">
        <v>53</v>
      </c>
      <c r="F18" s="6" t="s">
        <v>78</v>
      </c>
      <c r="G18" s="7">
        <v>7950</v>
      </c>
      <c r="H18" s="8" t="s">
        <v>130</v>
      </c>
      <c r="I18" s="6" t="s">
        <v>131</v>
      </c>
      <c r="J18" s="7">
        <v>1300</v>
      </c>
      <c r="K18" s="6">
        <v>13</v>
      </c>
      <c r="L18" s="6" t="str">
        <f t="shared" si="0"/>
        <v>Premium (5-10k)</v>
      </c>
      <c r="M18" s="6"/>
    </row>
    <row r="19" spans="1:13" x14ac:dyDescent="0.25">
      <c r="A19" s="6">
        <v>18</v>
      </c>
      <c r="B19" s="6" t="s">
        <v>132</v>
      </c>
      <c r="C19" s="6" t="s">
        <v>124</v>
      </c>
      <c r="D19" s="6" t="s">
        <v>129</v>
      </c>
      <c r="E19" s="6" t="s">
        <v>53</v>
      </c>
      <c r="F19" s="6" t="s">
        <v>78</v>
      </c>
      <c r="G19" s="7">
        <v>7900</v>
      </c>
      <c r="H19" s="8" t="s">
        <v>133</v>
      </c>
      <c r="I19" s="6" t="s">
        <v>134</v>
      </c>
      <c r="J19" s="7">
        <v>396</v>
      </c>
      <c r="K19" s="6">
        <v>18</v>
      </c>
      <c r="L19" s="6" t="str">
        <f t="shared" si="0"/>
        <v>Premium (5-10k)</v>
      </c>
      <c r="M19" s="6"/>
    </row>
    <row r="20" spans="1:13" x14ac:dyDescent="0.25">
      <c r="A20" s="6">
        <v>19</v>
      </c>
      <c r="B20" s="6" t="s">
        <v>135</v>
      </c>
      <c r="C20" s="6" t="s">
        <v>136</v>
      </c>
      <c r="D20" s="6" t="s">
        <v>70</v>
      </c>
      <c r="E20" s="6" t="s">
        <v>120</v>
      </c>
      <c r="F20" s="6" t="s">
        <v>54</v>
      </c>
      <c r="G20" s="7">
        <v>7885</v>
      </c>
      <c r="H20" s="8" t="s">
        <v>137</v>
      </c>
      <c r="I20" s="6" t="s">
        <v>73</v>
      </c>
      <c r="J20" s="7">
        <v>1300</v>
      </c>
      <c r="K20" s="6">
        <v>25</v>
      </c>
      <c r="L20" s="6" t="str">
        <f t="shared" si="0"/>
        <v>Premium (5-10k)</v>
      </c>
      <c r="M20" s="6"/>
    </row>
    <row r="21" spans="1:13" x14ac:dyDescent="0.25">
      <c r="A21" s="6">
        <v>20</v>
      </c>
      <c r="B21" s="6" t="s">
        <v>138</v>
      </c>
      <c r="C21" s="6" t="s">
        <v>107</v>
      </c>
      <c r="D21" s="6" t="s">
        <v>129</v>
      </c>
      <c r="E21" s="6" t="s">
        <v>71</v>
      </c>
      <c r="F21" s="6" t="s">
        <v>78</v>
      </c>
      <c r="G21" s="7">
        <v>7500</v>
      </c>
      <c r="H21" s="8" t="s">
        <v>139</v>
      </c>
      <c r="I21" s="6" t="s">
        <v>140</v>
      </c>
      <c r="J21" s="7">
        <v>6600</v>
      </c>
      <c r="K21" s="6">
        <v>12</v>
      </c>
      <c r="L21" s="6" t="str">
        <f t="shared" si="0"/>
        <v>Premium (5-10k)</v>
      </c>
      <c r="M21" s="6" t="s">
        <v>141</v>
      </c>
    </row>
    <row r="22" spans="1:13" x14ac:dyDescent="0.25">
      <c r="A22" s="6">
        <v>21</v>
      </c>
      <c r="B22" s="6" t="s">
        <v>142</v>
      </c>
      <c r="C22" s="6" t="s">
        <v>124</v>
      </c>
      <c r="D22" s="6" t="s">
        <v>125</v>
      </c>
      <c r="E22" s="6" t="s">
        <v>53</v>
      </c>
      <c r="F22" s="6" t="s">
        <v>78</v>
      </c>
      <c r="G22" s="7">
        <v>7500</v>
      </c>
      <c r="H22" s="8" t="s">
        <v>143</v>
      </c>
      <c r="I22" s="6" t="s">
        <v>134</v>
      </c>
      <c r="J22" s="7">
        <v>396</v>
      </c>
      <c r="K22" s="6">
        <v>18</v>
      </c>
      <c r="L22" s="6" t="str">
        <f t="shared" si="0"/>
        <v>Premium (5-10k)</v>
      </c>
      <c r="M22" s="6"/>
    </row>
    <row r="23" spans="1:13" x14ac:dyDescent="0.25">
      <c r="A23" s="6">
        <v>22</v>
      </c>
      <c r="B23" s="6" t="s">
        <v>144</v>
      </c>
      <c r="C23" s="6" t="s">
        <v>145</v>
      </c>
      <c r="D23" s="6" t="s">
        <v>146</v>
      </c>
      <c r="E23" s="6" t="s">
        <v>147</v>
      </c>
      <c r="F23" s="6" t="s">
        <v>54</v>
      </c>
      <c r="G23" s="7">
        <v>7450</v>
      </c>
      <c r="H23" s="8" t="s">
        <v>148</v>
      </c>
      <c r="I23" s="6" t="s">
        <v>149</v>
      </c>
      <c r="J23" s="7">
        <v>260</v>
      </c>
      <c r="K23" s="6">
        <v>18</v>
      </c>
      <c r="L23" s="6" t="str">
        <f t="shared" si="0"/>
        <v>Premium (5-10k)</v>
      </c>
      <c r="M23" s="6"/>
    </row>
    <row r="24" spans="1:13" x14ac:dyDescent="0.25">
      <c r="A24" s="6">
        <v>23</v>
      </c>
      <c r="B24" s="6" t="s">
        <v>150</v>
      </c>
      <c r="C24" s="6" t="s">
        <v>107</v>
      </c>
      <c r="D24" s="6" t="s">
        <v>125</v>
      </c>
      <c r="E24" s="6" t="s">
        <v>71</v>
      </c>
      <c r="F24" s="6" t="s">
        <v>78</v>
      </c>
      <c r="G24" s="7">
        <v>7200</v>
      </c>
      <c r="H24" s="8" t="s">
        <v>151</v>
      </c>
      <c r="I24" s="6" t="s">
        <v>152</v>
      </c>
      <c r="J24" s="7">
        <v>14800</v>
      </c>
      <c r="K24" s="6">
        <v>23</v>
      </c>
      <c r="L24" s="6" t="str">
        <f t="shared" si="0"/>
        <v>Premium (5-10k)</v>
      </c>
      <c r="M24" s="6"/>
    </row>
    <row r="25" spans="1:13" x14ac:dyDescent="0.25">
      <c r="A25" s="6">
        <v>24</v>
      </c>
      <c r="B25" s="6" t="s">
        <v>153</v>
      </c>
      <c r="C25" s="6" t="s">
        <v>118</v>
      </c>
      <c r="D25" s="6" t="s">
        <v>154</v>
      </c>
      <c r="E25" s="6" t="s">
        <v>120</v>
      </c>
      <c r="F25" s="6" t="s">
        <v>93</v>
      </c>
      <c r="G25" s="7">
        <v>6999</v>
      </c>
      <c r="H25" s="8" t="s">
        <v>155</v>
      </c>
      <c r="I25" s="6" t="s">
        <v>156</v>
      </c>
      <c r="J25" s="7">
        <v>1600</v>
      </c>
      <c r="K25" s="6">
        <v>22</v>
      </c>
      <c r="L25" s="6" t="str">
        <f t="shared" si="0"/>
        <v>Premium (5-10k)</v>
      </c>
      <c r="M25" s="6" t="s">
        <v>157</v>
      </c>
    </row>
    <row r="26" spans="1:13" x14ac:dyDescent="0.25">
      <c r="A26" s="6">
        <v>25</v>
      </c>
      <c r="B26" s="6" t="s">
        <v>158</v>
      </c>
      <c r="C26" s="6" t="s">
        <v>159</v>
      </c>
      <c r="D26" s="6" t="s">
        <v>160</v>
      </c>
      <c r="E26" s="6" t="s">
        <v>120</v>
      </c>
      <c r="F26" s="6" t="s">
        <v>54</v>
      </c>
      <c r="G26" s="7">
        <v>6923</v>
      </c>
      <c r="H26" s="8" t="s">
        <v>161</v>
      </c>
      <c r="I26" s="6" t="s">
        <v>162</v>
      </c>
      <c r="J26" s="7">
        <v>8100</v>
      </c>
      <c r="K26" s="6">
        <v>29</v>
      </c>
      <c r="L26" s="6" t="str">
        <f t="shared" si="0"/>
        <v>Premium (5-10k)</v>
      </c>
      <c r="M26" s="6" t="s">
        <v>163</v>
      </c>
    </row>
    <row r="27" spans="1:13" x14ac:dyDescent="0.25">
      <c r="A27" s="6">
        <v>26</v>
      </c>
      <c r="B27" s="6" t="s">
        <v>164</v>
      </c>
      <c r="C27" s="6" t="s">
        <v>76</v>
      </c>
      <c r="D27" s="6" t="s">
        <v>77</v>
      </c>
      <c r="E27" s="6" t="s">
        <v>53</v>
      </c>
      <c r="F27" s="6" t="s">
        <v>54</v>
      </c>
      <c r="G27" s="7">
        <v>6875</v>
      </c>
      <c r="H27" s="8" t="s">
        <v>165</v>
      </c>
      <c r="I27" s="6" t="s">
        <v>166</v>
      </c>
      <c r="J27" s="7">
        <v>1600</v>
      </c>
      <c r="K27" s="6">
        <v>10</v>
      </c>
      <c r="L27" s="6" t="str">
        <f t="shared" si="0"/>
        <v>Premium (5-10k)</v>
      </c>
      <c r="M27" s="6" t="s">
        <v>167</v>
      </c>
    </row>
    <row r="28" spans="1:13" x14ac:dyDescent="0.25">
      <c r="A28" s="6">
        <v>27</v>
      </c>
      <c r="B28" s="6" t="s">
        <v>168</v>
      </c>
      <c r="C28" s="6" t="s">
        <v>169</v>
      </c>
      <c r="D28" s="6" t="s">
        <v>170</v>
      </c>
      <c r="E28" s="6" t="s">
        <v>120</v>
      </c>
      <c r="F28" s="6" t="s">
        <v>54</v>
      </c>
      <c r="G28" s="7">
        <v>6538</v>
      </c>
      <c r="H28" s="8" t="s">
        <v>171</v>
      </c>
      <c r="I28" s="6" t="s">
        <v>172</v>
      </c>
      <c r="J28" s="7">
        <v>4400</v>
      </c>
      <c r="K28" s="6">
        <v>24</v>
      </c>
      <c r="L28" s="6" t="str">
        <f t="shared" si="0"/>
        <v>Premium (5-10k)</v>
      </c>
      <c r="M28" s="6"/>
    </row>
    <row r="29" spans="1:13" x14ac:dyDescent="0.25">
      <c r="A29" s="6">
        <v>28</v>
      </c>
      <c r="B29" s="6" t="s">
        <v>173</v>
      </c>
      <c r="C29" s="6" t="s">
        <v>174</v>
      </c>
      <c r="D29" s="6" t="s">
        <v>175</v>
      </c>
      <c r="E29" s="6" t="s">
        <v>120</v>
      </c>
      <c r="F29" s="6" t="s">
        <v>78</v>
      </c>
      <c r="G29" s="7">
        <v>6500</v>
      </c>
      <c r="H29" s="8" t="s">
        <v>176</v>
      </c>
      <c r="I29" s="6" t="s">
        <v>177</v>
      </c>
      <c r="J29" s="7">
        <v>3600</v>
      </c>
      <c r="K29" s="6">
        <v>13</v>
      </c>
      <c r="L29" s="6" t="str">
        <f t="shared" si="0"/>
        <v>Premium (5-10k)</v>
      </c>
      <c r="M29" s="6"/>
    </row>
    <row r="30" spans="1:13" x14ac:dyDescent="0.25">
      <c r="A30" s="6">
        <v>29</v>
      </c>
      <c r="B30" s="6" t="s">
        <v>178</v>
      </c>
      <c r="C30" s="6" t="s">
        <v>136</v>
      </c>
      <c r="D30" s="6" t="s">
        <v>179</v>
      </c>
      <c r="E30" s="6" t="s">
        <v>120</v>
      </c>
      <c r="F30" s="6" t="s">
        <v>78</v>
      </c>
      <c r="G30" s="7">
        <v>6500</v>
      </c>
      <c r="H30" s="8" t="s">
        <v>180</v>
      </c>
      <c r="I30" s="6" t="s">
        <v>181</v>
      </c>
      <c r="J30" s="7">
        <v>480</v>
      </c>
      <c r="K30" s="6">
        <v>16</v>
      </c>
      <c r="L30" s="6" t="str">
        <f t="shared" si="0"/>
        <v>Premium (5-10k)</v>
      </c>
      <c r="M30" s="6"/>
    </row>
    <row r="31" spans="1:13" x14ac:dyDescent="0.25">
      <c r="A31" s="6">
        <v>30</v>
      </c>
      <c r="B31" s="6" t="s">
        <v>182</v>
      </c>
      <c r="C31" s="6" t="s">
        <v>112</v>
      </c>
      <c r="D31" s="6" t="s">
        <v>183</v>
      </c>
      <c r="E31" s="6" t="s">
        <v>71</v>
      </c>
      <c r="F31" s="6" t="s">
        <v>93</v>
      </c>
      <c r="G31" s="7">
        <v>6210</v>
      </c>
      <c r="H31" s="8" t="s">
        <v>184</v>
      </c>
      <c r="I31" s="6" t="s">
        <v>185</v>
      </c>
      <c r="J31" s="7">
        <v>3600</v>
      </c>
      <c r="K31" s="6">
        <v>11</v>
      </c>
      <c r="L31" s="6" t="str">
        <f t="shared" si="0"/>
        <v>Premium (5-10k)</v>
      </c>
      <c r="M31" s="6"/>
    </row>
    <row r="32" spans="1:13" x14ac:dyDescent="0.25">
      <c r="A32" s="6">
        <v>31</v>
      </c>
      <c r="B32" s="6" t="s">
        <v>186</v>
      </c>
      <c r="C32" s="6" t="s">
        <v>112</v>
      </c>
      <c r="D32" s="6" t="s">
        <v>187</v>
      </c>
      <c r="E32" s="6" t="s">
        <v>71</v>
      </c>
      <c r="F32" s="6" t="s">
        <v>93</v>
      </c>
      <c r="G32" s="7">
        <v>6210</v>
      </c>
      <c r="H32" s="8" t="s">
        <v>188</v>
      </c>
      <c r="I32" s="6" t="s">
        <v>189</v>
      </c>
      <c r="J32" s="7">
        <v>1300</v>
      </c>
      <c r="K32" s="6">
        <v>10</v>
      </c>
      <c r="L32" s="6" t="str">
        <f t="shared" si="0"/>
        <v>Premium (5-10k)</v>
      </c>
      <c r="M32" s="6"/>
    </row>
    <row r="33" spans="1:13" x14ac:dyDescent="0.25">
      <c r="A33" s="6">
        <v>32</v>
      </c>
      <c r="B33" s="6" t="s">
        <v>190</v>
      </c>
      <c r="C33" s="6" t="s">
        <v>112</v>
      </c>
      <c r="D33" s="6" t="s">
        <v>191</v>
      </c>
      <c r="E33" s="6" t="s">
        <v>71</v>
      </c>
      <c r="F33" s="6" t="s">
        <v>93</v>
      </c>
      <c r="G33" s="7">
        <v>6210</v>
      </c>
      <c r="H33" s="8" t="s">
        <v>192</v>
      </c>
      <c r="I33" s="6" t="s">
        <v>185</v>
      </c>
      <c r="J33" s="7">
        <v>3600</v>
      </c>
      <c r="K33" s="6">
        <v>11</v>
      </c>
      <c r="L33" s="6" t="str">
        <f t="shared" si="0"/>
        <v>Premium (5-10k)</v>
      </c>
      <c r="M33" s="6"/>
    </row>
    <row r="34" spans="1:13" x14ac:dyDescent="0.25">
      <c r="A34" s="6">
        <v>33</v>
      </c>
      <c r="B34" s="6" t="s">
        <v>193</v>
      </c>
      <c r="C34" s="6" t="s">
        <v>112</v>
      </c>
      <c r="D34" s="6" t="s">
        <v>194</v>
      </c>
      <c r="E34" s="6" t="s">
        <v>71</v>
      </c>
      <c r="F34" s="6" t="s">
        <v>93</v>
      </c>
      <c r="G34" s="7">
        <v>6210</v>
      </c>
      <c r="H34" s="8" t="s">
        <v>195</v>
      </c>
      <c r="I34" s="6" t="s">
        <v>196</v>
      </c>
      <c r="J34" s="7">
        <v>4400</v>
      </c>
      <c r="K34" s="6">
        <v>12</v>
      </c>
      <c r="L34" s="6" t="str">
        <f t="shared" ref="L34:L65" si="1">IF(G34&gt;=10000,"Luxury (10k+)",IF(G34&gt;=5000,"Premium (5-10k)",IF(G34&gt;=3000,"Upper-mid (3-5k)","Entry-premium (2-3k)")))</f>
        <v>Premium (5-10k)</v>
      </c>
      <c r="M34" s="6"/>
    </row>
    <row r="35" spans="1:13" x14ac:dyDescent="0.25">
      <c r="A35" s="6">
        <v>34</v>
      </c>
      <c r="B35" s="6" t="s">
        <v>197</v>
      </c>
      <c r="C35" s="6" t="s">
        <v>136</v>
      </c>
      <c r="D35" s="6" t="s">
        <v>198</v>
      </c>
      <c r="E35" s="6" t="s">
        <v>120</v>
      </c>
      <c r="F35" s="6" t="s">
        <v>78</v>
      </c>
      <c r="G35" s="7">
        <v>6200</v>
      </c>
      <c r="H35" s="8" t="s">
        <v>199</v>
      </c>
      <c r="I35" s="6" t="s">
        <v>156</v>
      </c>
      <c r="J35" s="7">
        <v>1600</v>
      </c>
      <c r="K35" s="6">
        <v>22</v>
      </c>
      <c r="L35" s="6" t="str">
        <f t="shared" si="1"/>
        <v>Premium (5-10k)</v>
      </c>
      <c r="M35" s="6"/>
    </row>
    <row r="36" spans="1:13" x14ac:dyDescent="0.25">
      <c r="A36" s="6">
        <v>35</v>
      </c>
      <c r="B36" s="6" t="s">
        <v>200</v>
      </c>
      <c r="C36" s="6" t="s">
        <v>201</v>
      </c>
      <c r="D36" s="6" t="s">
        <v>179</v>
      </c>
      <c r="E36" s="6" t="s">
        <v>120</v>
      </c>
      <c r="F36" s="6" t="s">
        <v>78</v>
      </c>
      <c r="G36" s="7">
        <v>6200</v>
      </c>
      <c r="H36" s="8" t="s">
        <v>202</v>
      </c>
      <c r="I36" s="6" t="s">
        <v>203</v>
      </c>
      <c r="J36" s="7">
        <v>720</v>
      </c>
      <c r="K36" s="6">
        <v>20</v>
      </c>
      <c r="L36" s="6" t="str">
        <f t="shared" si="1"/>
        <v>Premium (5-10k)</v>
      </c>
      <c r="M36" s="6"/>
    </row>
    <row r="37" spans="1:13" x14ac:dyDescent="0.25">
      <c r="A37" s="6">
        <v>36</v>
      </c>
      <c r="B37" s="6" t="s">
        <v>204</v>
      </c>
      <c r="C37" s="6" t="s">
        <v>169</v>
      </c>
      <c r="D37" s="6" t="s">
        <v>205</v>
      </c>
      <c r="E37" s="6" t="s">
        <v>120</v>
      </c>
      <c r="F37" s="6" t="s">
        <v>78</v>
      </c>
      <c r="G37" s="7">
        <v>6200</v>
      </c>
      <c r="H37" s="8" t="s">
        <v>206</v>
      </c>
      <c r="I37" s="6" t="s">
        <v>207</v>
      </c>
      <c r="J37" s="7">
        <v>320</v>
      </c>
      <c r="K37" s="6">
        <v>27</v>
      </c>
      <c r="L37" s="6" t="str">
        <f t="shared" si="1"/>
        <v>Premium (5-10k)</v>
      </c>
      <c r="M37" s="6"/>
    </row>
    <row r="38" spans="1:13" x14ac:dyDescent="0.25">
      <c r="A38" s="6">
        <v>37</v>
      </c>
      <c r="B38" s="6" t="s">
        <v>208</v>
      </c>
      <c r="C38" s="6" t="s">
        <v>209</v>
      </c>
      <c r="D38" s="6" t="s">
        <v>210</v>
      </c>
      <c r="E38" s="6" t="s">
        <v>120</v>
      </c>
      <c r="F38" s="6" t="s">
        <v>54</v>
      </c>
      <c r="G38" s="7">
        <v>5962</v>
      </c>
      <c r="H38" s="8" t="s">
        <v>211</v>
      </c>
      <c r="I38" s="6" t="s">
        <v>212</v>
      </c>
      <c r="J38" s="7">
        <v>1300</v>
      </c>
      <c r="K38" s="6">
        <v>26</v>
      </c>
      <c r="L38" s="6" t="str">
        <f t="shared" si="1"/>
        <v>Premium (5-10k)</v>
      </c>
      <c r="M38" s="6" t="s">
        <v>213</v>
      </c>
    </row>
    <row r="39" spans="1:13" x14ac:dyDescent="0.25">
      <c r="A39" s="6">
        <v>38</v>
      </c>
      <c r="B39" s="6" t="s">
        <v>214</v>
      </c>
      <c r="C39" s="6" t="s">
        <v>112</v>
      </c>
      <c r="D39" s="6" t="s">
        <v>183</v>
      </c>
      <c r="E39" s="6" t="s">
        <v>71</v>
      </c>
      <c r="F39" s="6" t="s">
        <v>93</v>
      </c>
      <c r="G39" s="7">
        <v>5850</v>
      </c>
      <c r="H39" s="8" t="s">
        <v>215</v>
      </c>
      <c r="I39" s="6" t="s">
        <v>115</v>
      </c>
      <c r="J39" s="7">
        <v>1600</v>
      </c>
      <c r="K39" s="6">
        <v>10</v>
      </c>
      <c r="L39" s="6" t="str">
        <f t="shared" si="1"/>
        <v>Premium (5-10k)</v>
      </c>
      <c r="M39" s="6"/>
    </row>
    <row r="40" spans="1:13" x14ac:dyDescent="0.25">
      <c r="A40" s="6">
        <v>39</v>
      </c>
      <c r="B40" s="6" t="s">
        <v>216</v>
      </c>
      <c r="C40" s="6" t="s">
        <v>217</v>
      </c>
      <c r="D40" s="6" t="s">
        <v>218</v>
      </c>
      <c r="E40" s="6" t="s">
        <v>120</v>
      </c>
      <c r="F40" s="6" t="s">
        <v>78</v>
      </c>
      <c r="G40" s="7">
        <v>5800</v>
      </c>
      <c r="H40" s="8" t="s">
        <v>219</v>
      </c>
      <c r="I40" s="6" t="s">
        <v>220</v>
      </c>
      <c r="J40" s="7">
        <v>1300</v>
      </c>
      <c r="K40" s="6">
        <v>39</v>
      </c>
      <c r="L40" s="6" t="str">
        <f t="shared" si="1"/>
        <v>Premium (5-10k)</v>
      </c>
      <c r="M40" s="6"/>
    </row>
    <row r="41" spans="1:13" x14ac:dyDescent="0.25">
      <c r="A41" s="6">
        <v>40</v>
      </c>
      <c r="B41" s="6" t="s">
        <v>221</v>
      </c>
      <c r="C41" s="6" t="s">
        <v>222</v>
      </c>
      <c r="D41" s="6" t="s">
        <v>223</v>
      </c>
      <c r="E41" s="6" t="s">
        <v>120</v>
      </c>
      <c r="F41" s="6" t="s">
        <v>78</v>
      </c>
      <c r="G41" s="7">
        <v>5800</v>
      </c>
      <c r="H41" s="8" t="s">
        <v>224</v>
      </c>
      <c r="I41" s="6" t="s">
        <v>225</v>
      </c>
      <c r="J41" s="7">
        <v>1000</v>
      </c>
      <c r="K41" s="6">
        <v>10</v>
      </c>
      <c r="L41" s="6" t="str">
        <f t="shared" si="1"/>
        <v>Premium (5-10k)</v>
      </c>
      <c r="M41" s="6" t="s">
        <v>226</v>
      </c>
    </row>
    <row r="42" spans="1:13" x14ac:dyDescent="0.25">
      <c r="A42" s="6">
        <v>41</v>
      </c>
      <c r="B42" s="6" t="s">
        <v>227</v>
      </c>
      <c r="C42" s="6" t="s">
        <v>136</v>
      </c>
      <c r="D42" s="6" t="s">
        <v>198</v>
      </c>
      <c r="E42" s="6" t="s">
        <v>120</v>
      </c>
      <c r="F42" s="6" t="s">
        <v>93</v>
      </c>
      <c r="G42" s="7">
        <v>5749</v>
      </c>
      <c r="H42" s="8" t="s">
        <v>228</v>
      </c>
      <c r="I42" s="6" t="s">
        <v>229</v>
      </c>
      <c r="J42" s="7">
        <v>590</v>
      </c>
      <c r="K42" s="6">
        <v>18</v>
      </c>
      <c r="L42" s="6" t="str">
        <f t="shared" si="1"/>
        <v>Premium (5-10k)</v>
      </c>
      <c r="M42" s="6"/>
    </row>
    <row r="43" spans="1:13" x14ac:dyDescent="0.25">
      <c r="A43" s="6">
        <v>42</v>
      </c>
      <c r="B43" s="6" t="s">
        <v>230</v>
      </c>
      <c r="C43" s="6" t="s">
        <v>118</v>
      </c>
      <c r="D43" s="6" t="s">
        <v>231</v>
      </c>
      <c r="E43" s="6" t="s">
        <v>120</v>
      </c>
      <c r="F43" s="6" t="s">
        <v>78</v>
      </c>
      <c r="G43" s="7">
        <v>5500</v>
      </c>
      <c r="H43" s="8" t="s">
        <v>232</v>
      </c>
      <c r="I43" s="6" t="s">
        <v>233</v>
      </c>
      <c r="J43" s="7">
        <v>2400</v>
      </c>
      <c r="K43" s="6">
        <v>18</v>
      </c>
      <c r="L43" s="6" t="str">
        <f t="shared" si="1"/>
        <v>Premium (5-10k)</v>
      </c>
      <c r="M43" s="6" t="s">
        <v>234</v>
      </c>
    </row>
    <row r="44" spans="1:13" x14ac:dyDescent="0.25">
      <c r="A44" s="6">
        <v>43</v>
      </c>
      <c r="B44" s="6" t="s">
        <v>235</v>
      </c>
      <c r="C44" s="6" t="s">
        <v>217</v>
      </c>
      <c r="D44" s="6" t="s">
        <v>218</v>
      </c>
      <c r="E44" s="6" t="s">
        <v>120</v>
      </c>
      <c r="F44" s="6" t="s">
        <v>78</v>
      </c>
      <c r="G44" s="7">
        <v>5500</v>
      </c>
      <c r="H44" s="8" t="s">
        <v>236</v>
      </c>
      <c r="I44" s="6" t="s">
        <v>237</v>
      </c>
      <c r="J44" s="7">
        <v>12100</v>
      </c>
      <c r="K44" s="6">
        <v>32</v>
      </c>
      <c r="L44" s="6" t="str">
        <f t="shared" si="1"/>
        <v>Premium (5-10k)</v>
      </c>
      <c r="M44" s="6" t="s">
        <v>238</v>
      </c>
    </row>
    <row r="45" spans="1:13" x14ac:dyDescent="0.25">
      <c r="A45" s="6">
        <v>44</v>
      </c>
      <c r="B45" s="6" t="s">
        <v>239</v>
      </c>
      <c r="C45" s="6" t="s">
        <v>217</v>
      </c>
      <c r="D45" s="6" t="s">
        <v>218</v>
      </c>
      <c r="E45" s="6" t="s">
        <v>120</v>
      </c>
      <c r="F45" s="6" t="s">
        <v>78</v>
      </c>
      <c r="G45" s="7">
        <v>5500</v>
      </c>
      <c r="H45" s="8" t="s">
        <v>240</v>
      </c>
      <c r="I45" s="6" t="s">
        <v>241</v>
      </c>
      <c r="J45" s="7">
        <v>12100</v>
      </c>
      <c r="K45" s="6">
        <v>40</v>
      </c>
      <c r="L45" s="6" t="str">
        <f t="shared" si="1"/>
        <v>Premium (5-10k)</v>
      </c>
      <c r="M45" s="6"/>
    </row>
    <row r="46" spans="1:13" x14ac:dyDescent="0.25">
      <c r="A46" s="6">
        <v>45</v>
      </c>
      <c r="B46" s="6" t="s">
        <v>242</v>
      </c>
      <c r="C46" s="6" t="s">
        <v>217</v>
      </c>
      <c r="D46" s="6" t="s">
        <v>218</v>
      </c>
      <c r="E46" s="6" t="s">
        <v>120</v>
      </c>
      <c r="F46" s="6" t="s">
        <v>78</v>
      </c>
      <c r="G46" s="7">
        <v>5500</v>
      </c>
      <c r="H46" s="8" t="s">
        <v>243</v>
      </c>
      <c r="I46" s="6" t="s">
        <v>244</v>
      </c>
      <c r="J46" s="7">
        <v>1300</v>
      </c>
      <c r="K46" s="6">
        <v>16</v>
      </c>
      <c r="L46" s="6" t="str">
        <f t="shared" si="1"/>
        <v>Premium (5-10k)</v>
      </c>
      <c r="M46" s="6" t="s">
        <v>245</v>
      </c>
    </row>
    <row r="47" spans="1:13" x14ac:dyDescent="0.25">
      <c r="A47" s="6">
        <v>46</v>
      </c>
      <c r="B47" s="6" t="s">
        <v>246</v>
      </c>
      <c r="C47" s="6" t="s">
        <v>217</v>
      </c>
      <c r="D47" s="6" t="s">
        <v>218</v>
      </c>
      <c r="E47" s="6" t="s">
        <v>120</v>
      </c>
      <c r="F47" s="6" t="s">
        <v>78</v>
      </c>
      <c r="G47" s="7">
        <v>5500</v>
      </c>
      <c r="H47" s="8" t="s">
        <v>247</v>
      </c>
      <c r="I47" s="6" t="s">
        <v>248</v>
      </c>
      <c r="J47" s="7">
        <v>824</v>
      </c>
      <c r="K47" s="6">
        <v>20</v>
      </c>
      <c r="L47" s="6" t="str">
        <f t="shared" si="1"/>
        <v>Premium (5-10k)</v>
      </c>
      <c r="M47" s="6"/>
    </row>
    <row r="48" spans="1:13" s="27" customFormat="1" x14ac:dyDescent="0.25">
      <c r="A48" s="24">
        <v>47</v>
      </c>
      <c r="B48" s="24" t="s">
        <v>249</v>
      </c>
      <c r="C48" s="24" t="s">
        <v>250</v>
      </c>
      <c r="D48" s="24" t="s">
        <v>251</v>
      </c>
      <c r="E48" s="24" t="s">
        <v>252</v>
      </c>
      <c r="F48" s="24" t="s">
        <v>253</v>
      </c>
      <c r="G48" s="25">
        <v>5500</v>
      </c>
      <c r="H48" s="26" t="s">
        <v>254</v>
      </c>
      <c r="I48" s="24" t="s">
        <v>255</v>
      </c>
      <c r="J48" s="25">
        <v>8100</v>
      </c>
      <c r="K48" s="24">
        <v>20</v>
      </c>
      <c r="L48" s="24" t="str">
        <f t="shared" si="1"/>
        <v>Premium (5-10k)</v>
      </c>
      <c r="M48" s="24"/>
    </row>
    <row r="49" spans="1:13" x14ac:dyDescent="0.25">
      <c r="A49" s="6">
        <v>48</v>
      </c>
      <c r="B49" s="6" t="s">
        <v>256</v>
      </c>
      <c r="C49" s="6" t="s">
        <v>136</v>
      </c>
      <c r="D49" s="6" t="s">
        <v>70</v>
      </c>
      <c r="E49" s="6" t="s">
        <v>120</v>
      </c>
      <c r="F49" s="6" t="s">
        <v>78</v>
      </c>
      <c r="G49" s="7">
        <v>5200</v>
      </c>
      <c r="H49" s="8" t="s">
        <v>257</v>
      </c>
      <c r="I49" s="6" t="s">
        <v>258</v>
      </c>
      <c r="J49" s="7">
        <v>1900</v>
      </c>
      <c r="K49" s="6">
        <v>31</v>
      </c>
      <c r="L49" s="6" t="str">
        <f t="shared" si="1"/>
        <v>Premium (5-10k)</v>
      </c>
      <c r="M49" s="6"/>
    </row>
    <row r="50" spans="1:13" x14ac:dyDescent="0.25">
      <c r="A50" s="6">
        <v>49</v>
      </c>
      <c r="B50" s="6" t="s">
        <v>259</v>
      </c>
      <c r="C50" s="6" t="s">
        <v>112</v>
      </c>
      <c r="D50" s="6" t="s">
        <v>129</v>
      </c>
      <c r="E50" s="6" t="s">
        <v>71</v>
      </c>
      <c r="F50" s="6" t="s">
        <v>93</v>
      </c>
      <c r="G50" s="7">
        <v>4950</v>
      </c>
      <c r="H50" s="8" t="s">
        <v>260</v>
      </c>
      <c r="I50" s="6" t="s">
        <v>185</v>
      </c>
      <c r="J50" s="7">
        <v>3600</v>
      </c>
      <c r="K50" s="6">
        <v>11</v>
      </c>
      <c r="L50" s="6" t="str">
        <f t="shared" si="1"/>
        <v>Upper-mid (3-5k)</v>
      </c>
      <c r="M50" s="6"/>
    </row>
    <row r="51" spans="1:13" x14ac:dyDescent="0.25">
      <c r="A51" s="6">
        <v>50</v>
      </c>
      <c r="B51" s="6" t="s">
        <v>261</v>
      </c>
      <c r="C51" s="6" t="s">
        <v>112</v>
      </c>
      <c r="D51" s="6" t="s">
        <v>262</v>
      </c>
      <c r="E51" s="6" t="s">
        <v>71</v>
      </c>
      <c r="F51" s="6" t="s">
        <v>93</v>
      </c>
      <c r="G51" s="7">
        <v>4950</v>
      </c>
      <c r="H51" s="8" t="s">
        <v>263</v>
      </c>
      <c r="I51" s="6" t="s">
        <v>185</v>
      </c>
      <c r="J51" s="7">
        <v>3600</v>
      </c>
      <c r="K51" s="6">
        <v>11</v>
      </c>
      <c r="L51" s="6" t="str">
        <f t="shared" si="1"/>
        <v>Upper-mid (3-5k)</v>
      </c>
      <c r="M51" s="6"/>
    </row>
    <row r="52" spans="1:13" x14ac:dyDescent="0.25">
      <c r="A52" s="6">
        <v>51</v>
      </c>
      <c r="B52" s="6" t="s">
        <v>264</v>
      </c>
      <c r="C52" s="6" t="s">
        <v>112</v>
      </c>
      <c r="D52" s="6" t="s">
        <v>129</v>
      </c>
      <c r="E52" s="6" t="s">
        <v>71</v>
      </c>
      <c r="F52" s="6" t="s">
        <v>93</v>
      </c>
      <c r="G52" s="7">
        <v>4950</v>
      </c>
      <c r="H52" s="8" t="s">
        <v>265</v>
      </c>
      <c r="I52" s="6" t="s">
        <v>115</v>
      </c>
      <c r="J52" s="7">
        <v>1600</v>
      </c>
      <c r="K52" s="6">
        <v>10</v>
      </c>
      <c r="L52" s="6" t="str">
        <f t="shared" si="1"/>
        <v>Upper-mid (3-5k)</v>
      </c>
      <c r="M52" s="6"/>
    </row>
    <row r="53" spans="1:13" x14ac:dyDescent="0.25">
      <c r="A53" s="6">
        <v>52</v>
      </c>
      <c r="B53" s="6" t="s">
        <v>266</v>
      </c>
      <c r="C53" s="6" t="s">
        <v>112</v>
      </c>
      <c r="D53" s="6" t="s">
        <v>129</v>
      </c>
      <c r="E53" s="6" t="s">
        <v>71</v>
      </c>
      <c r="F53" s="6" t="s">
        <v>93</v>
      </c>
      <c r="G53" s="7">
        <v>4950</v>
      </c>
      <c r="H53" s="8" t="s">
        <v>267</v>
      </c>
      <c r="I53" s="6" t="s">
        <v>185</v>
      </c>
      <c r="J53" s="7">
        <v>3600</v>
      </c>
      <c r="K53" s="6">
        <v>11</v>
      </c>
      <c r="L53" s="6" t="str">
        <f t="shared" si="1"/>
        <v>Upper-mid (3-5k)</v>
      </c>
      <c r="M53" s="6"/>
    </row>
    <row r="54" spans="1:13" x14ac:dyDescent="0.25">
      <c r="A54" s="6">
        <v>53</v>
      </c>
      <c r="B54" s="6" t="s">
        <v>268</v>
      </c>
      <c r="C54" s="6" t="s">
        <v>112</v>
      </c>
      <c r="D54" s="6" t="s">
        <v>191</v>
      </c>
      <c r="E54" s="6" t="s">
        <v>71</v>
      </c>
      <c r="F54" s="6" t="s">
        <v>93</v>
      </c>
      <c r="G54" s="7">
        <v>4950</v>
      </c>
      <c r="H54" s="8" t="s">
        <v>269</v>
      </c>
      <c r="I54" s="6" t="s">
        <v>196</v>
      </c>
      <c r="J54" s="7">
        <v>4400</v>
      </c>
      <c r="K54" s="6">
        <v>12</v>
      </c>
      <c r="L54" s="6" t="str">
        <f t="shared" si="1"/>
        <v>Upper-mid (3-5k)</v>
      </c>
      <c r="M54" s="6"/>
    </row>
    <row r="55" spans="1:13" x14ac:dyDescent="0.25">
      <c r="A55" s="6">
        <v>54</v>
      </c>
      <c r="B55" s="6" t="s">
        <v>270</v>
      </c>
      <c r="C55" s="6" t="s">
        <v>112</v>
      </c>
      <c r="D55" s="6" t="s">
        <v>271</v>
      </c>
      <c r="E55" s="6" t="s">
        <v>71</v>
      </c>
      <c r="F55" s="6" t="s">
        <v>93</v>
      </c>
      <c r="G55" s="7">
        <v>4950</v>
      </c>
      <c r="H55" s="8" t="s">
        <v>272</v>
      </c>
      <c r="I55" s="6" t="s">
        <v>273</v>
      </c>
      <c r="J55" s="7">
        <v>1300</v>
      </c>
      <c r="K55" s="6">
        <v>16</v>
      </c>
      <c r="L55" s="6" t="str">
        <f t="shared" si="1"/>
        <v>Upper-mid (3-5k)</v>
      </c>
      <c r="M55" s="6"/>
    </row>
    <row r="56" spans="1:13" x14ac:dyDescent="0.25">
      <c r="A56" s="6">
        <v>55</v>
      </c>
      <c r="B56" s="6" t="s">
        <v>274</v>
      </c>
      <c r="C56" s="6" t="s">
        <v>118</v>
      </c>
      <c r="D56" s="6" t="s">
        <v>275</v>
      </c>
      <c r="E56" s="6" t="s">
        <v>120</v>
      </c>
      <c r="F56" s="6" t="s">
        <v>78</v>
      </c>
      <c r="G56" s="7">
        <v>4950</v>
      </c>
      <c r="H56" s="8" t="s">
        <v>276</v>
      </c>
      <c r="I56" s="6" t="s">
        <v>277</v>
      </c>
      <c r="J56" s="7">
        <v>5400</v>
      </c>
      <c r="K56" s="6">
        <v>22</v>
      </c>
      <c r="L56" s="6" t="str">
        <f t="shared" si="1"/>
        <v>Upper-mid (3-5k)</v>
      </c>
      <c r="M56" s="6" t="s">
        <v>278</v>
      </c>
    </row>
    <row r="57" spans="1:13" x14ac:dyDescent="0.25">
      <c r="A57" s="6">
        <v>56</v>
      </c>
      <c r="B57" s="6" t="s">
        <v>279</v>
      </c>
      <c r="C57" s="6" t="s">
        <v>280</v>
      </c>
      <c r="D57" s="6" t="s">
        <v>281</v>
      </c>
      <c r="E57" s="6" t="s">
        <v>120</v>
      </c>
      <c r="F57" s="6" t="s">
        <v>78</v>
      </c>
      <c r="G57" s="7">
        <v>4950</v>
      </c>
      <c r="H57" s="8" t="s">
        <v>282</v>
      </c>
      <c r="I57" s="6" t="s">
        <v>283</v>
      </c>
      <c r="J57" s="7">
        <v>1000</v>
      </c>
      <c r="K57" s="6">
        <v>18</v>
      </c>
      <c r="L57" s="6" t="str">
        <f t="shared" si="1"/>
        <v>Upper-mid (3-5k)</v>
      </c>
      <c r="M57" s="6" t="s">
        <v>284</v>
      </c>
    </row>
    <row r="58" spans="1:13" x14ac:dyDescent="0.25">
      <c r="A58" s="6">
        <v>57</v>
      </c>
      <c r="B58" s="6" t="s">
        <v>285</v>
      </c>
      <c r="C58" s="6" t="s">
        <v>280</v>
      </c>
      <c r="D58" s="6" t="s">
        <v>231</v>
      </c>
      <c r="E58" s="6" t="s">
        <v>120</v>
      </c>
      <c r="F58" s="6" t="s">
        <v>78</v>
      </c>
      <c r="G58" s="7">
        <v>4950</v>
      </c>
      <c r="H58" s="8" t="s">
        <v>286</v>
      </c>
      <c r="I58" s="6" t="s">
        <v>287</v>
      </c>
      <c r="J58" s="7">
        <v>390</v>
      </c>
      <c r="K58" s="6">
        <v>21</v>
      </c>
      <c r="L58" s="6" t="str">
        <f t="shared" si="1"/>
        <v>Upper-mid (3-5k)</v>
      </c>
      <c r="M58" s="6"/>
    </row>
    <row r="59" spans="1:13" x14ac:dyDescent="0.25">
      <c r="A59" s="6">
        <v>58</v>
      </c>
      <c r="B59" s="6" t="s">
        <v>288</v>
      </c>
      <c r="C59" s="6" t="s">
        <v>222</v>
      </c>
      <c r="D59" s="6" t="s">
        <v>289</v>
      </c>
      <c r="E59" s="6" t="s">
        <v>120</v>
      </c>
      <c r="F59" s="6" t="s">
        <v>78</v>
      </c>
      <c r="G59" s="7">
        <v>4950</v>
      </c>
      <c r="H59" s="8" t="s">
        <v>290</v>
      </c>
      <c r="I59" s="6" t="s">
        <v>229</v>
      </c>
      <c r="J59" s="7">
        <v>590</v>
      </c>
      <c r="K59" s="6">
        <v>18</v>
      </c>
      <c r="L59" s="6" t="str">
        <f t="shared" si="1"/>
        <v>Upper-mid (3-5k)</v>
      </c>
      <c r="M59" s="6"/>
    </row>
    <row r="60" spans="1:13" x14ac:dyDescent="0.25">
      <c r="A60" s="6">
        <v>59</v>
      </c>
      <c r="B60" s="6" t="s">
        <v>291</v>
      </c>
      <c r="C60" s="6" t="s">
        <v>292</v>
      </c>
      <c r="D60" s="6" t="s">
        <v>293</v>
      </c>
      <c r="E60" s="6" t="s">
        <v>294</v>
      </c>
      <c r="F60" s="6" t="s">
        <v>54</v>
      </c>
      <c r="G60" s="7">
        <v>4808</v>
      </c>
      <c r="H60" s="8" t="s">
        <v>295</v>
      </c>
      <c r="I60" s="6" t="s">
        <v>296</v>
      </c>
      <c r="J60" s="7">
        <v>880</v>
      </c>
      <c r="K60" s="6">
        <v>25</v>
      </c>
      <c r="L60" s="6" t="str">
        <f t="shared" si="1"/>
        <v>Upper-mid (3-5k)</v>
      </c>
      <c r="M60" s="6"/>
    </row>
    <row r="61" spans="1:13" x14ac:dyDescent="0.25">
      <c r="A61" s="6">
        <v>60</v>
      </c>
      <c r="B61" s="6" t="s">
        <v>297</v>
      </c>
      <c r="C61" s="6" t="s">
        <v>298</v>
      </c>
      <c r="D61" s="6" t="s">
        <v>299</v>
      </c>
      <c r="E61" s="6" t="s">
        <v>71</v>
      </c>
      <c r="F61" s="6" t="s">
        <v>93</v>
      </c>
      <c r="G61" s="7">
        <v>4699</v>
      </c>
      <c r="H61" s="8" t="s">
        <v>300</v>
      </c>
      <c r="I61" s="6" t="s">
        <v>301</v>
      </c>
      <c r="J61" s="7">
        <v>6600</v>
      </c>
      <c r="K61" s="6">
        <v>31</v>
      </c>
      <c r="L61" s="6" t="str">
        <f t="shared" si="1"/>
        <v>Upper-mid (3-5k)</v>
      </c>
      <c r="M61" s="6" t="s">
        <v>302</v>
      </c>
    </row>
    <row r="62" spans="1:13" x14ac:dyDescent="0.25">
      <c r="A62" s="6">
        <v>61</v>
      </c>
      <c r="B62" s="6" t="s">
        <v>303</v>
      </c>
      <c r="C62" s="6" t="s">
        <v>112</v>
      </c>
      <c r="D62" s="6" t="s">
        <v>125</v>
      </c>
      <c r="E62" s="6" t="s">
        <v>71</v>
      </c>
      <c r="F62" s="6" t="s">
        <v>93</v>
      </c>
      <c r="G62" s="7">
        <v>4500</v>
      </c>
      <c r="H62" s="8" t="s">
        <v>304</v>
      </c>
      <c r="I62" s="6" t="s">
        <v>196</v>
      </c>
      <c r="J62" s="7">
        <v>4400</v>
      </c>
      <c r="K62" s="6">
        <v>12</v>
      </c>
      <c r="L62" s="6" t="str">
        <f t="shared" si="1"/>
        <v>Upper-mid (3-5k)</v>
      </c>
      <c r="M62" s="6"/>
    </row>
    <row r="63" spans="1:13" x14ac:dyDescent="0.25">
      <c r="A63" s="6">
        <v>62</v>
      </c>
      <c r="B63" s="6" t="s">
        <v>305</v>
      </c>
      <c r="C63" s="6" t="s">
        <v>306</v>
      </c>
      <c r="D63" s="6" t="s">
        <v>307</v>
      </c>
      <c r="E63" s="6" t="s">
        <v>59</v>
      </c>
      <c r="F63" s="6" t="s">
        <v>54</v>
      </c>
      <c r="G63" s="7">
        <v>4500</v>
      </c>
      <c r="H63" s="8" t="s">
        <v>308</v>
      </c>
      <c r="I63" s="6" t="s">
        <v>309</v>
      </c>
      <c r="J63" s="7">
        <v>1300</v>
      </c>
      <c r="K63" s="6">
        <v>21</v>
      </c>
      <c r="L63" s="6" t="str">
        <f t="shared" si="1"/>
        <v>Upper-mid (3-5k)</v>
      </c>
      <c r="M63" s="6"/>
    </row>
    <row r="64" spans="1:13" x14ac:dyDescent="0.25">
      <c r="A64" s="6">
        <v>63</v>
      </c>
      <c r="B64" s="6" t="s">
        <v>310</v>
      </c>
      <c r="C64" s="6" t="s">
        <v>311</v>
      </c>
      <c r="D64" s="6" t="s">
        <v>52</v>
      </c>
      <c r="E64" s="6" t="s">
        <v>312</v>
      </c>
      <c r="F64" s="6" t="s">
        <v>54</v>
      </c>
      <c r="G64" s="7">
        <v>4500</v>
      </c>
      <c r="H64" s="8" t="s">
        <v>313</v>
      </c>
      <c r="I64" s="6" t="s">
        <v>314</v>
      </c>
      <c r="J64" s="7">
        <v>1900</v>
      </c>
      <c r="K64" s="6">
        <v>28</v>
      </c>
      <c r="L64" s="6" t="str">
        <f t="shared" si="1"/>
        <v>Upper-mid (3-5k)</v>
      </c>
      <c r="M64" s="6"/>
    </row>
    <row r="65" spans="1:13" x14ac:dyDescent="0.25">
      <c r="A65" s="6">
        <v>64</v>
      </c>
      <c r="B65" s="6" t="s">
        <v>315</v>
      </c>
      <c r="C65" s="6" t="s">
        <v>316</v>
      </c>
      <c r="D65" s="6" t="s">
        <v>317</v>
      </c>
      <c r="E65" s="6" t="s">
        <v>120</v>
      </c>
      <c r="F65" s="6" t="s">
        <v>78</v>
      </c>
      <c r="G65" s="7">
        <v>4500</v>
      </c>
      <c r="H65" s="8" t="s">
        <v>318</v>
      </c>
      <c r="I65" s="6" t="s">
        <v>319</v>
      </c>
      <c r="J65" s="7">
        <v>720</v>
      </c>
      <c r="K65" s="6">
        <v>7</v>
      </c>
      <c r="L65" s="6" t="str">
        <f t="shared" si="1"/>
        <v>Upper-mid (3-5k)</v>
      </c>
      <c r="M65" s="6" t="s">
        <v>320</v>
      </c>
    </row>
    <row r="66" spans="1:13" s="27" customFormat="1" x14ac:dyDescent="0.25">
      <c r="A66" s="24">
        <v>65</v>
      </c>
      <c r="B66" s="24" t="s">
        <v>321</v>
      </c>
      <c r="C66" s="24" t="s">
        <v>322</v>
      </c>
      <c r="D66" s="24" t="s">
        <v>323</v>
      </c>
      <c r="E66" s="24" t="s">
        <v>252</v>
      </c>
      <c r="F66" s="24" t="s">
        <v>324</v>
      </c>
      <c r="G66" s="25">
        <v>4500</v>
      </c>
      <c r="H66" s="26" t="s">
        <v>325</v>
      </c>
      <c r="I66" s="24" t="s">
        <v>326</v>
      </c>
      <c r="J66" s="25">
        <v>12100</v>
      </c>
      <c r="K66" s="24">
        <v>21</v>
      </c>
      <c r="L66" s="24" t="str">
        <f t="shared" ref="L66:L97" si="2">IF(G66&gt;=10000,"Luxury (10k+)",IF(G66&gt;=5000,"Premium (5-10k)",IF(G66&gt;=3000,"Upper-mid (3-5k)","Entry-premium (2-3k)")))</f>
        <v>Upper-mid (3-5k)</v>
      </c>
      <c r="M66" s="24" t="s">
        <v>327</v>
      </c>
    </row>
    <row r="67" spans="1:13" x14ac:dyDescent="0.25">
      <c r="A67" s="6">
        <v>66</v>
      </c>
      <c r="B67" s="6" t="s">
        <v>328</v>
      </c>
      <c r="C67" s="6" t="s">
        <v>292</v>
      </c>
      <c r="D67" s="6" t="s">
        <v>329</v>
      </c>
      <c r="E67" s="6" t="s">
        <v>294</v>
      </c>
      <c r="F67" s="6" t="s">
        <v>54</v>
      </c>
      <c r="G67" s="7">
        <v>4423</v>
      </c>
      <c r="H67" s="8" t="s">
        <v>330</v>
      </c>
      <c r="I67" s="6" t="s">
        <v>331</v>
      </c>
      <c r="J67" s="7">
        <v>590</v>
      </c>
      <c r="K67" s="6">
        <v>19</v>
      </c>
      <c r="L67" s="6" t="str">
        <f t="shared" si="2"/>
        <v>Upper-mid (3-5k)</v>
      </c>
      <c r="M67" s="6"/>
    </row>
    <row r="68" spans="1:13" x14ac:dyDescent="0.25">
      <c r="A68" s="6">
        <v>67</v>
      </c>
      <c r="B68" s="6" t="s">
        <v>332</v>
      </c>
      <c r="C68" s="6" t="s">
        <v>292</v>
      </c>
      <c r="D68" s="6" t="s">
        <v>333</v>
      </c>
      <c r="E68" s="6" t="s">
        <v>294</v>
      </c>
      <c r="F68" s="6" t="s">
        <v>54</v>
      </c>
      <c r="G68" s="7">
        <v>4423</v>
      </c>
      <c r="H68" s="8" t="s">
        <v>334</v>
      </c>
      <c r="I68" s="6" t="s">
        <v>335</v>
      </c>
      <c r="J68" s="7">
        <v>1000</v>
      </c>
      <c r="K68" s="6">
        <v>13</v>
      </c>
      <c r="L68" s="6" t="str">
        <f t="shared" si="2"/>
        <v>Upper-mid (3-5k)</v>
      </c>
      <c r="M68" s="6" t="s">
        <v>336</v>
      </c>
    </row>
    <row r="69" spans="1:13" x14ac:dyDescent="0.25">
      <c r="A69" s="6">
        <v>68</v>
      </c>
      <c r="B69" s="6" t="s">
        <v>337</v>
      </c>
      <c r="C69" s="6" t="s">
        <v>338</v>
      </c>
      <c r="D69" s="6" t="s">
        <v>339</v>
      </c>
      <c r="E69" s="6" t="s">
        <v>71</v>
      </c>
      <c r="F69" s="6" t="s">
        <v>93</v>
      </c>
      <c r="G69" s="7">
        <v>4347</v>
      </c>
      <c r="H69" s="8" t="s">
        <v>340</v>
      </c>
      <c r="I69" s="6" t="s">
        <v>296</v>
      </c>
      <c r="J69" s="7">
        <v>880</v>
      </c>
      <c r="K69" s="6">
        <v>25</v>
      </c>
      <c r="L69" s="6" t="str">
        <f t="shared" si="2"/>
        <v>Upper-mid (3-5k)</v>
      </c>
      <c r="M69" s="6"/>
    </row>
    <row r="70" spans="1:13" x14ac:dyDescent="0.25">
      <c r="A70" s="6">
        <v>69</v>
      </c>
      <c r="B70" s="6" t="s">
        <v>341</v>
      </c>
      <c r="C70" s="6" t="s">
        <v>298</v>
      </c>
      <c r="D70" s="6" t="s">
        <v>342</v>
      </c>
      <c r="E70" s="6" t="s">
        <v>71</v>
      </c>
      <c r="F70" s="6" t="s">
        <v>93</v>
      </c>
      <c r="G70" s="7">
        <v>4299</v>
      </c>
      <c r="H70" s="8" t="s">
        <v>343</v>
      </c>
      <c r="I70" s="6" t="s">
        <v>344</v>
      </c>
      <c r="J70" s="7">
        <v>480</v>
      </c>
      <c r="K70" s="6">
        <v>20</v>
      </c>
      <c r="L70" s="6" t="str">
        <f t="shared" si="2"/>
        <v>Upper-mid (3-5k)</v>
      </c>
      <c r="M70" s="6"/>
    </row>
    <row r="71" spans="1:13" x14ac:dyDescent="0.25">
      <c r="A71" s="6">
        <v>70</v>
      </c>
      <c r="B71" s="6" t="s">
        <v>345</v>
      </c>
      <c r="C71" s="6" t="s">
        <v>298</v>
      </c>
      <c r="D71" s="6" t="s">
        <v>329</v>
      </c>
      <c r="E71" s="6" t="s">
        <v>71</v>
      </c>
      <c r="F71" s="6" t="s">
        <v>93</v>
      </c>
      <c r="G71" s="7">
        <v>4249</v>
      </c>
      <c r="H71" s="8" t="s">
        <v>346</v>
      </c>
      <c r="I71" s="6" t="s">
        <v>347</v>
      </c>
      <c r="J71" s="7">
        <v>320</v>
      </c>
      <c r="K71" s="6">
        <v>16</v>
      </c>
      <c r="L71" s="6" t="str">
        <f t="shared" si="2"/>
        <v>Upper-mid (3-5k)</v>
      </c>
      <c r="M71" s="6"/>
    </row>
    <row r="72" spans="1:13" x14ac:dyDescent="0.25">
      <c r="A72" s="6">
        <v>71</v>
      </c>
      <c r="B72" s="6" t="s">
        <v>348</v>
      </c>
      <c r="C72" s="6" t="s">
        <v>349</v>
      </c>
      <c r="D72" s="6" t="s">
        <v>323</v>
      </c>
      <c r="E72" s="6" t="s">
        <v>252</v>
      </c>
      <c r="F72" s="6" t="s">
        <v>350</v>
      </c>
      <c r="G72" s="7">
        <v>4241</v>
      </c>
      <c r="H72" s="8" t="s">
        <v>351</v>
      </c>
      <c r="I72" s="6" t="s">
        <v>352</v>
      </c>
      <c r="J72" s="7">
        <v>210</v>
      </c>
      <c r="K72" s="6">
        <v>8</v>
      </c>
      <c r="L72" s="6" t="str">
        <f t="shared" si="2"/>
        <v>Upper-mid (3-5k)</v>
      </c>
      <c r="M72" s="6"/>
    </row>
    <row r="73" spans="1:13" x14ac:dyDescent="0.25">
      <c r="A73" s="6">
        <v>72</v>
      </c>
      <c r="B73" s="6" t="s">
        <v>353</v>
      </c>
      <c r="C73" s="6" t="s">
        <v>354</v>
      </c>
      <c r="D73" s="6" t="s">
        <v>70</v>
      </c>
      <c r="E73" s="6" t="s">
        <v>120</v>
      </c>
      <c r="F73" s="6" t="s">
        <v>93</v>
      </c>
      <c r="G73" s="7">
        <v>4200</v>
      </c>
      <c r="H73" s="8" t="s">
        <v>355</v>
      </c>
      <c r="I73" s="6" t="s">
        <v>356</v>
      </c>
      <c r="J73" s="7">
        <v>1300</v>
      </c>
      <c r="K73" s="6">
        <v>10</v>
      </c>
      <c r="L73" s="6" t="str">
        <f t="shared" si="2"/>
        <v>Upper-mid (3-5k)</v>
      </c>
      <c r="M73" s="6" t="s">
        <v>357</v>
      </c>
    </row>
    <row r="74" spans="1:13" x14ac:dyDescent="0.25">
      <c r="A74" s="6">
        <v>73</v>
      </c>
      <c r="B74" s="6" t="s">
        <v>358</v>
      </c>
      <c r="C74" s="6" t="s">
        <v>169</v>
      </c>
      <c r="D74" s="6" t="s">
        <v>70</v>
      </c>
      <c r="E74" s="6" t="s">
        <v>120</v>
      </c>
      <c r="F74" s="6" t="s">
        <v>78</v>
      </c>
      <c r="G74" s="7">
        <v>4200</v>
      </c>
      <c r="H74" s="8" t="s">
        <v>359</v>
      </c>
      <c r="I74" s="6" t="s">
        <v>360</v>
      </c>
      <c r="J74" s="7">
        <v>1300</v>
      </c>
      <c r="K74" s="6">
        <v>25</v>
      </c>
      <c r="L74" s="6" t="str">
        <f t="shared" si="2"/>
        <v>Upper-mid (3-5k)</v>
      </c>
      <c r="M74" s="6"/>
    </row>
    <row r="75" spans="1:13" x14ac:dyDescent="0.25">
      <c r="A75" s="6">
        <v>74</v>
      </c>
      <c r="B75" s="6" t="s">
        <v>361</v>
      </c>
      <c r="C75" s="6" t="s">
        <v>338</v>
      </c>
      <c r="D75" s="6" t="s">
        <v>362</v>
      </c>
      <c r="E75" s="6" t="s">
        <v>71</v>
      </c>
      <c r="F75" s="6" t="s">
        <v>93</v>
      </c>
      <c r="G75" s="7">
        <v>4149</v>
      </c>
      <c r="H75" s="8" t="s">
        <v>363</v>
      </c>
      <c r="I75" s="6" t="s">
        <v>364</v>
      </c>
      <c r="J75" s="7">
        <v>18100</v>
      </c>
      <c r="K75" s="6">
        <v>29</v>
      </c>
      <c r="L75" s="6" t="str">
        <f t="shared" si="2"/>
        <v>Upper-mid (3-5k)</v>
      </c>
      <c r="M75" s="6"/>
    </row>
    <row r="76" spans="1:13" x14ac:dyDescent="0.25">
      <c r="A76" s="6">
        <v>75</v>
      </c>
      <c r="B76" s="6" t="s">
        <v>365</v>
      </c>
      <c r="C76" s="6" t="s">
        <v>112</v>
      </c>
      <c r="D76" s="6" t="s">
        <v>187</v>
      </c>
      <c r="E76" s="6" t="s">
        <v>71</v>
      </c>
      <c r="F76" s="6" t="s">
        <v>93</v>
      </c>
      <c r="G76" s="7">
        <v>4140</v>
      </c>
      <c r="H76" s="8" t="s">
        <v>366</v>
      </c>
      <c r="I76" s="6" t="s">
        <v>273</v>
      </c>
      <c r="J76" s="7">
        <v>1300</v>
      </c>
      <c r="K76" s="6">
        <v>16</v>
      </c>
      <c r="L76" s="6" t="str">
        <f t="shared" si="2"/>
        <v>Upper-mid (3-5k)</v>
      </c>
      <c r="M76" s="6"/>
    </row>
    <row r="77" spans="1:13" x14ac:dyDescent="0.25">
      <c r="A77" s="6">
        <v>76</v>
      </c>
      <c r="B77" s="6" t="s">
        <v>367</v>
      </c>
      <c r="C77" s="6" t="s">
        <v>368</v>
      </c>
      <c r="D77" s="6" t="s">
        <v>369</v>
      </c>
      <c r="E77" s="6" t="s">
        <v>71</v>
      </c>
      <c r="F77" s="6" t="s">
        <v>54</v>
      </c>
      <c r="G77" s="7">
        <v>4070</v>
      </c>
      <c r="H77" s="8" t="s">
        <v>370</v>
      </c>
      <c r="I77" s="6" t="s">
        <v>364</v>
      </c>
      <c r="J77" s="7">
        <v>18100</v>
      </c>
      <c r="K77" s="6">
        <v>29</v>
      </c>
      <c r="L77" s="6" t="str">
        <f t="shared" si="2"/>
        <v>Upper-mid (3-5k)</v>
      </c>
      <c r="M77" s="6"/>
    </row>
    <row r="78" spans="1:13" x14ac:dyDescent="0.25">
      <c r="A78" s="6">
        <v>77</v>
      </c>
      <c r="B78" s="6" t="s">
        <v>371</v>
      </c>
      <c r="C78" s="6" t="s">
        <v>292</v>
      </c>
      <c r="D78" s="6" t="s">
        <v>329</v>
      </c>
      <c r="E78" s="6" t="s">
        <v>294</v>
      </c>
      <c r="F78" s="6" t="s">
        <v>54</v>
      </c>
      <c r="G78" s="7">
        <v>4063</v>
      </c>
      <c r="H78" s="8" t="s">
        <v>372</v>
      </c>
      <c r="I78" s="6" t="s">
        <v>331</v>
      </c>
      <c r="J78" s="7">
        <v>590</v>
      </c>
      <c r="K78" s="6">
        <v>19</v>
      </c>
      <c r="L78" s="6" t="str">
        <f t="shared" si="2"/>
        <v>Upper-mid (3-5k)</v>
      </c>
      <c r="M78" s="6"/>
    </row>
    <row r="79" spans="1:13" x14ac:dyDescent="0.25">
      <c r="A79" s="6">
        <v>78</v>
      </c>
      <c r="B79" s="6" t="s">
        <v>373</v>
      </c>
      <c r="C79" s="6" t="s">
        <v>374</v>
      </c>
      <c r="D79" s="6" t="s">
        <v>194</v>
      </c>
      <c r="E79" s="6" t="s">
        <v>375</v>
      </c>
      <c r="F79" s="6" t="s">
        <v>93</v>
      </c>
      <c r="G79" s="7">
        <v>3900</v>
      </c>
      <c r="H79" s="8" t="s">
        <v>376</v>
      </c>
      <c r="I79" s="6" t="s">
        <v>377</v>
      </c>
      <c r="J79" s="7">
        <v>590</v>
      </c>
      <c r="K79" s="6">
        <v>19</v>
      </c>
      <c r="L79" s="6" t="str">
        <f t="shared" si="2"/>
        <v>Upper-mid (3-5k)</v>
      </c>
      <c r="M79" s="6"/>
    </row>
    <row r="80" spans="1:13" s="27" customFormat="1" x14ac:dyDescent="0.25">
      <c r="A80" s="24">
        <v>79</v>
      </c>
      <c r="B80" s="24" t="s">
        <v>378</v>
      </c>
      <c r="C80" s="24" t="s">
        <v>349</v>
      </c>
      <c r="D80" s="24" t="s">
        <v>379</v>
      </c>
      <c r="E80" s="24" t="s">
        <v>252</v>
      </c>
      <c r="F80" s="24" t="s">
        <v>350</v>
      </c>
      <c r="G80" s="25">
        <v>3806</v>
      </c>
      <c r="H80" s="26" t="s">
        <v>380</v>
      </c>
      <c r="I80" s="24" t="s">
        <v>381</v>
      </c>
      <c r="J80" s="25">
        <v>4400</v>
      </c>
      <c r="K80" s="24">
        <v>14</v>
      </c>
      <c r="L80" s="24" t="str">
        <f t="shared" si="2"/>
        <v>Upper-mid (3-5k)</v>
      </c>
      <c r="M80" s="24" t="s">
        <v>382</v>
      </c>
    </row>
    <row r="81" spans="1:13" x14ac:dyDescent="0.25">
      <c r="A81" s="6">
        <v>80</v>
      </c>
      <c r="B81" s="6" t="s">
        <v>383</v>
      </c>
      <c r="C81" s="6" t="s">
        <v>322</v>
      </c>
      <c r="D81" s="6" t="s">
        <v>251</v>
      </c>
      <c r="E81" s="6" t="s">
        <v>252</v>
      </c>
      <c r="F81" s="6" t="s">
        <v>324</v>
      </c>
      <c r="G81" s="7">
        <v>3800</v>
      </c>
      <c r="H81" s="8" t="s">
        <v>384</v>
      </c>
      <c r="I81" s="6" t="s">
        <v>385</v>
      </c>
      <c r="J81" s="7">
        <v>260</v>
      </c>
      <c r="K81" s="6">
        <v>33</v>
      </c>
      <c r="L81" s="6" t="str">
        <f t="shared" si="2"/>
        <v>Upper-mid (3-5k)</v>
      </c>
      <c r="M81" s="6"/>
    </row>
    <row r="82" spans="1:13" x14ac:dyDescent="0.25">
      <c r="A82" s="6">
        <v>81</v>
      </c>
      <c r="B82" s="6" t="s">
        <v>386</v>
      </c>
      <c r="C82" s="6" t="s">
        <v>112</v>
      </c>
      <c r="D82" s="6" t="s">
        <v>387</v>
      </c>
      <c r="E82" s="6" t="s">
        <v>71</v>
      </c>
      <c r="F82" s="6" t="s">
        <v>93</v>
      </c>
      <c r="G82" s="7">
        <v>3600</v>
      </c>
      <c r="H82" s="8" t="s">
        <v>388</v>
      </c>
      <c r="I82" s="6" t="s">
        <v>273</v>
      </c>
      <c r="J82" s="7">
        <v>1300</v>
      </c>
      <c r="K82" s="6">
        <v>16</v>
      </c>
      <c r="L82" s="6" t="str">
        <f t="shared" si="2"/>
        <v>Upper-mid (3-5k)</v>
      </c>
      <c r="M82" s="6"/>
    </row>
    <row r="83" spans="1:13" x14ac:dyDescent="0.25">
      <c r="A83" s="6">
        <v>82</v>
      </c>
      <c r="B83" s="6" t="s">
        <v>389</v>
      </c>
      <c r="C83" s="6" t="s">
        <v>298</v>
      </c>
      <c r="D83" s="6" t="s">
        <v>293</v>
      </c>
      <c r="E83" s="6" t="s">
        <v>71</v>
      </c>
      <c r="F83" s="6" t="s">
        <v>93</v>
      </c>
      <c r="G83" s="7">
        <v>3599</v>
      </c>
      <c r="H83" s="8" t="s">
        <v>390</v>
      </c>
      <c r="I83" s="6" t="s">
        <v>391</v>
      </c>
      <c r="J83" s="7">
        <v>1900</v>
      </c>
      <c r="K83" s="6">
        <v>37</v>
      </c>
      <c r="L83" s="6" t="str">
        <f t="shared" si="2"/>
        <v>Upper-mid (3-5k)</v>
      </c>
      <c r="M83" s="6"/>
    </row>
    <row r="84" spans="1:13" s="27" customFormat="1" x14ac:dyDescent="0.25">
      <c r="A84" s="24">
        <v>83</v>
      </c>
      <c r="B84" s="24" t="s">
        <v>392</v>
      </c>
      <c r="C84" s="24" t="s">
        <v>393</v>
      </c>
      <c r="D84" s="24" t="s">
        <v>394</v>
      </c>
      <c r="E84" s="24" t="s">
        <v>252</v>
      </c>
      <c r="F84" s="24" t="s">
        <v>54</v>
      </c>
      <c r="G84" s="25">
        <v>3490</v>
      </c>
      <c r="H84" s="26" t="s">
        <v>395</v>
      </c>
      <c r="I84" s="24" t="s">
        <v>396</v>
      </c>
      <c r="J84" s="25">
        <v>4400</v>
      </c>
      <c r="K84" s="24">
        <v>33</v>
      </c>
      <c r="L84" s="24" t="str">
        <f t="shared" si="2"/>
        <v>Upper-mid (3-5k)</v>
      </c>
      <c r="M84" s="24"/>
    </row>
    <row r="85" spans="1:13" s="27" customFormat="1" x14ac:dyDescent="0.25">
      <c r="A85" s="24">
        <v>84</v>
      </c>
      <c r="B85" s="24" t="s">
        <v>397</v>
      </c>
      <c r="C85" s="24" t="s">
        <v>393</v>
      </c>
      <c r="D85" s="24" t="s">
        <v>394</v>
      </c>
      <c r="E85" s="24" t="s">
        <v>252</v>
      </c>
      <c r="F85" s="24" t="s">
        <v>54</v>
      </c>
      <c r="G85" s="25">
        <v>3490</v>
      </c>
      <c r="H85" s="26" t="s">
        <v>398</v>
      </c>
      <c r="I85" s="24" t="s">
        <v>396</v>
      </c>
      <c r="J85" s="25">
        <v>4400</v>
      </c>
      <c r="K85" s="24">
        <v>33</v>
      </c>
      <c r="L85" s="24" t="str">
        <f t="shared" si="2"/>
        <v>Upper-mid (3-5k)</v>
      </c>
      <c r="M85" s="24"/>
    </row>
    <row r="86" spans="1:13" x14ac:dyDescent="0.25">
      <c r="A86" s="6">
        <v>85</v>
      </c>
      <c r="B86" s="6" t="s">
        <v>399</v>
      </c>
      <c r="C86" s="6" t="s">
        <v>400</v>
      </c>
      <c r="D86" s="6" t="s">
        <v>299</v>
      </c>
      <c r="E86" s="6" t="s">
        <v>59</v>
      </c>
      <c r="F86" s="6" t="s">
        <v>54</v>
      </c>
      <c r="G86" s="7">
        <v>3320</v>
      </c>
      <c r="H86" s="8" t="s">
        <v>401</v>
      </c>
      <c r="I86" s="6" t="s">
        <v>402</v>
      </c>
      <c r="J86" s="7">
        <v>1600</v>
      </c>
      <c r="K86" s="6">
        <v>25</v>
      </c>
      <c r="L86" s="6" t="str">
        <f t="shared" si="2"/>
        <v>Upper-mid (3-5k)</v>
      </c>
      <c r="M86" s="6"/>
    </row>
    <row r="87" spans="1:13" x14ac:dyDescent="0.25">
      <c r="A87" s="6">
        <v>86</v>
      </c>
      <c r="B87" s="6" t="s">
        <v>403</v>
      </c>
      <c r="C87" s="6" t="s">
        <v>368</v>
      </c>
      <c r="D87" s="6" t="s">
        <v>329</v>
      </c>
      <c r="E87" s="6" t="s">
        <v>71</v>
      </c>
      <c r="F87" s="6" t="s">
        <v>54</v>
      </c>
      <c r="G87" s="7">
        <v>3260</v>
      </c>
      <c r="H87" s="8" t="s">
        <v>404</v>
      </c>
      <c r="I87" s="6" t="s">
        <v>331</v>
      </c>
      <c r="J87" s="7">
        <v>590</v>
      </c>
      <c r="K87" s="6">
        <v>19</v>
      </c>
      <c r="L87" s="6" t="str">
        <f t="shared" si="2"/>
        <v>Upper-mid (3-5k)</v>
      </c>
      <c r="M87" s="6"/>
    </row>
    <row r="88" spans="1:13" x14ac:dyDescent="0.25">
      <c r="A88" s="6">
        <v>87</v>
      </c>
      <c r="B88" s="6" t="s">
        <v>405</v>
      </c>
      <c r="C88" s="6" t="s">
        <v>112</v>
      </c>
      <c r="D88" s="6" t="s">
        <v>113</v>
      </c>
      <c r="E88" s="6" t="s">
        <v>71</v>
      </c>
      <c r="F88" s="6" t="s">
        <v>93</v>
      </c>
      <c r="G88" s="7">
        <v>3240</v>
      </c>
      <c r="H88" s="8" t="s">
        <v>406</v>
      </c>
      <c r="I88" s="6" t="s">
        <v>196</v>
      </c>
      <c r="J88" s="7">
        <v>4400</v>
      </c>
      <c r="K88" s="6">
        <v>12</v>
      </c>
      <c r="L88" s="6" t="str">
        <f t="shared" si="2"/>
        <v>Upper-mid (3-5k)</v>
      </c>
      <c r="M88" s="6" t="s">
        <v>407</v>
      </c>
    </row>
    <row r="89" spans="1:13" x14ac:dyDescent="0.25">
      <c r="A89" s="6">
        <v>88</v>
      </c>
      <c r="B89" s="6" t="s">
        <v>408</v>
      </c>
      <c r="C89" s="6" t="s">
        <v>409</v>
      </c>
      <c r="D89" s="6" t="s">
        <v>410</v>
      </c>
      <c r="E89" s="6" t="s">
        <v>53</v>
      </c>
      <c r="F89" s="6" t="s">
        <v>54</v>
      </c>
      <c r="G89" s="7">
        <v>3231</v>
      </c>
      <c r="H89" s="8" t="s">
        <v>411</v>
      </c>
      <c r="I89" s="6" t="s">
        <v>412</v>
      </c>
      <c r="J89" s="7">
        <v>260</v>
      </c>
      <c r="K89" s="6">
        <v>15</v>
      </c>
      <c r="L89" s="6" t="str">
        <f t="shared" si="2"/>
        <v>Upper-mid (3-5k)</v>
      </c>
      <c r="M89" s="6" t="s">
        <v>413</v>
      </c>
    </row>
    <row r="90" spans="1:13" x14ac:dyDescent="0.25">
      <c r="A90" s="6">
        <v>89</v>
      </c>
      <c r="B90" s="6" t="s">
        <v>414</v>
      </c>
      <c r="C90" s="6" t="s">
        <v>415</v>
      </c>
      <c r="D90" s="6" t="s">
        <v>70</v>
      </c>
      <c r="E90" s="6" t="s">
        <v>120</v>
      </c>
      <c r="F90" s="6" t="s">
        <v>93</v>
      </c>
      <c r="G90" s="7">
        <v>3200</v>
      </c>
      <c r="H90" s="8" t="s">
        <v>416</v>
      </c>
      <c r="I90" s="6" t="s">
        <v>177</v>
      </c>
      <c r="J90" s="7">
        <v>3600</v>
      </c>
      <c r="K90" s="6">
        <v>13</v>
      </c>
      <c r="L90" s="6" t="str">
        <f t="shared" si="2"/>
        <v>Upper-mid (3-5k)</v>
      </c>
      <c r="M90" s="6" t="s">
        <v>417</v>
      </c>
    </row>
    <row r="91" spans="1:13" x14ac:dyDescent="0.25">
      <c r="A91" s="6">
        <v>90</v>
      </c>
      <c r="B91" s="6" t="s">
        <v>418</v>
      </c>
      <c r="C91" s="6" t="s">
        <v>419</v>
      </c>
      <c r="D91" s="6" t="s">
        <v>420</v>
      </c>
      <c r="E91" s="6" t="s">
        <v>421</v>
      </c>
      <c r="F91" s="6" t="s">
        <v>54</v>
      </c>
      <c r="G91" s="7">
        <v>3100</v>
      </c>
      <c r="H91" s="8" t="s">
        <v>422</v>
      </c>
      <c r="I91" s="6" t="s">
        <v>423</v>
      </c>
      <c r="J91" s="7">
        <v>2400</v>
      </c>
      <c r="K91" s="6">
        <v>24</v>
      </c>
      <c r="L91" s="6" t="str">
        <f t="shared" si="2"/>
        <v>Upper-mid (3-5k)</v>
      </c>
      <c r="M91" s="6"/>
    </row>
    <row r="92" spans="1:13" x14ac:dyDescent="0.25">
      <c r="A92" s="6">
        <v>91</v>
      </c>
      <c r="B92" s="6" t="s">
        <v>424</v>
      </c>
      <c r="C92" s="6" t="s">
        <v>298</v>
      </c>
      <c r="D92" s="6" t="s">
        <v>342</v>
      </c>
      <c r="E92" s="6" t="s">
        <v>71</v>
      </c>
      <c r="F92" s="6" t="s">
        <v>54</v>
      </c>
      <c r="G92" s="7">
        <v>3039</v>
      </c>
      <c r="H92" s="8" t="s">
        <v>425</v>
      </c>
      <c r="I92" s="6" t="s">
        <v>301</v>
      </c>
      <c r="J92" s="7">
        <v>6600</v>
      </c>
      <c r="K92" s="6">
        <v>31</v>
      </c>
      <c r="L92" s="6" t="str">
        <f t="shared" si="2"/>
        <v>Upper-mid (3-5k)</v>
      </c>
      <c r="M92" s="6"/>
    </row>
    <row r="93" spans="1:13" x14ac:dyDescent="0.25">
      <c r="A93" s="6">
        <v>92</v>
      </c>
      <c r="B93" s="6" t="s">
        <v>426</v>
      </c>
      <c r="C93" s="6" t="s">
        <v>298</v>
      </c>
      <c r="D93" s="6" t="s">
        <v>339</v>
      </c>
      <c r="E93" s="6" t="s">
        <v>71</v>
      </c>
      <c r="F93" s="6" t="s">
        <v>54</v>
      </c>
      <c r="G93" s="7">
        <v>3039</v>
      </c>
      <c r="H93" s="8" t="s">
        <v>427</v>
      </c>
      <c r="I93" s="6" t="s">
        <v>391</v>
      </c>
      <c r="J93" s="7">
        <v>1900</v>
      </c>
      <c r="K93" s="6">
        <v>37</v>
      </c>
      <c r="L93" s="6" t="str">
        <f t="shared" si="2"/>
        <v>Upper-mid (3-5k)</v>
      </c>
      <c r="M93" s="6"/>
    </row>
    <row r="94" spans="1:13" x14ac:dyDescent="0.25">
      <c r="A94" s="6">
        <v>93</v>
      </c>
      <c r="B94" s="6" t="s">
        <v>428</v>
      </c>
      <c r="C94" s="6" t="s">
        <v>429</v>
      </c>
      <c r="D94" s="6" t="s">
        <v>430</v>
      </c>
      <c r="E94" s="6" t="s">
        <v>53</v>
      </c>
      <c r="F94" s="6" t="s">
        <v>93</v>
      </c>
      <c r="G94" s="7">
        <v>3000</v>
      </c>
      <c r="H94" s="8" t="s">
        <v>431</v>
      </c>
      <c r="I94" s="6" t="s">
        <v>432</v>
      </c>
      <c r="J94" s="7">
        <v>2400</v>
      </c>
      <c r="K94" s="6">
        <v>13</v>
      </c>
      <c r="L94" s="6" t="str">
        <f t="shared" si="2"/>
        <v>Upper-mid (3-5k)</v>
      </c>
      <c r="M94" s="6"/>
    </row>
    <row r="95" spans="1:13" s="27" customFormat="1" x14ac:dyDescent="0.25">
      <c r="A95" s="24">
        <v>94</v>
      </c>
      <c r="B95" s="24" t="s">
        <v>433</v>
      </c>
      <c r="C95" s="24" t="s">
        <v>434</v>
      </c>
      <c r="D95" s="24" t="s">
        <v>293</v>
      </c>
      <c r="E95" s="24" t="s">
        <v>252</v>
      </c>
      <c r="F95" s="24" t="s">
        <v>54</v>
      </c>
      <c r="G95" s="25">
        <v>3000</v>
      </c>
      <c r="H95" s="26" t="s">
        <v>435</v>
      </c>
      <c r="I95" s="24" t="s">
        <v>436</v>
      </c>
      <c r="J95" s="25">
        <v>1000</v>
      </c>
      <c r="K95" s="24">
        <v>22</v>
      </c>
      <c r="L95" s="24" t="str">
        <f t="shared" si="2"/>
        <v>Upper-mid (3-5k)</v>
      </c>
      <c r="M95" s="24" t="s">
        <v>437</v>
      </c>
    </row>
    <row r="96" spans="1:13" s="27" customFormat="1" x14ac:dyDescent="0.25">
      <c r="A96" s="24">
        <v>95</v>
      </c>
      <c r="B96" s="24" t="s">
        <v>438</v>
      </c>
      <c r="C96" s="24" t="s">
        <v>349</v>
      </c>
      <c r="D96" s="24" t="s">
        <v>439</v>
      </c>
      <c r="E96" s="24" t="s">
        <v>252</v>
      </c>
      <c r="F96" s="24" t="s">
        <v>350</v>
      </c>
      <c r="G96" s="25">
        <v>2991</v>
      </c>
      <c r="H96" s="26" t="s">
        <v>440</v>
      </c>
      <c r="I96" s="24" t="s">
        <v>441</v>
      </c>
      <c r="J96" s="25">
        <v>2900</v>
      </c>
      <c r="K96" s="24">
        <v>19</v>
      </c>
      <c r="L96" s="24" t="str">
        <f t="shared" si="2"/>
        <v>Entry-premium (2-3k)</v>
      </c>
      <c r="M96" s="24" t="s">
        <v>442</v>
      </c>
    </row>
    <row r="97" spans="1:13" s="27" customFormat="1" x14ac:dyDescent="0.25">
      <c r="A97" s="24">
        <v>96</v>
      </c>
      <c r="B97" s="24" t="s">
        <v>443</v>
      </c>
      <c r="C97" s="24" t="s">
        <v>393</v>
      </c>
      <c r="D97" s="24" t="s">
        <v>444</v>
      </c>
      <c r="E97" s="24" t="s">
        <v>252</v>
      </c>
      <c r="F97" s="24" t="s">
        <v>54</v>
      </c>
      <c r="G97" s="25">
        <v>2990</v>
      </c>
      <c r="H97" s="26" t="s">
        <v>445</v>
      </c>
      <c r="I97" s="24" t="s">
        <v>396</v>
      </c>
      <c r="J97" s="25">
        <v>4400</v>
      </c>
      <c r="K97" s="24">
        <v>33</v>
      </c>
      <c r="L97" s="24" t="str">
        <f t="shared" si="2"/>
        <v>Entry-premium (2-3k)</v>
      </c>
      <c r="M97" s="24" t="s">
        <v>446</v>
      </c>
    </row>
    <row r="98" spans="1:13" s="27" customFormat="1" x14ac:dyDescent="0.25">
      <c r="A98" s="24">
        <v>97</v>
      </c>
      <c r="B98" s="24" t="s">
        <v>447</v>
      </c>
      <c r="C98" s="24" t="s">
        <v>393</v>
      </c>
      <c r="D98" s="24" t="s">
        <v>444</v>
      </c>
      <c r="E98" s="24" t="s">
        <v>252</v>
      </c>
      <c r="F98" s="24" t="s">
        <v>54</v>
      </c>
      <c r="G98" s="25">
        <v>2990</v>
      </c>
      <c r="H98" s="26" t="s">
        <v>448</v>
      </c>
      <c r="I98" s="24" t="s">
        <v>396</v>
      </c>
      <c r="J98" s="25">
        <v>4400</v>
      </c>
      <c r="K98" s="24">
        <v>33</v>
      </c>
      <c r="L98" s="24" t="str">
        <f t="shared" ref="L98:L134" si="3">IF(G98&gt;=10000,"Luxury (10k+)",IF(G98&gt;=5000,"Premium (5-10k)",IF(G98&gt;=3000,"Upper-mid (3-5k)","Entry-premium (2-3k)")))</f>
        <v>Entry-premium (2-3k)</v>
      </c>
      <c r="M98" s="24"/>
    </row>
    <row r="99" spans="1:13" s="27" customFormat="1" x14ac:dyDescent="0.25">
      <c r="A99" s="24">
        <v>98</v>
      </c>
      <c r="B99" s="24" t="s">
        <v>449</v>
      </c>
      <c r="C99" s="24" t="s">
        <v>393</v>
      </c>
      <c r="D99" s="24" t="s">
        <v>444</v>
      </c>
      <c r="E99" s="24" t="s">
        <v>252</v>
      </c>
      <c r="F99" s="24" t="s">
        <v>54</v>
      </c>
      <c r="G99" s="25">
        <v>2990</v>
      </c>
      <c r="H99" s="26" t="s">
        <v>450</v>
      </c>
      <c r="I99" s="24" t="s">
        <v>396</v>
      </c>
      <c r="J99" s="25">
        <v>4400</v>
      </c>
      <c r="K99" s="24">
        <v>33</v>
      </c>
      <c r="L99" s="24" t="str">
        <f t="shared" si="3"/>
        <v>Entry-premium (2-3k)</v>
      </c>
      <c r="M99" s="24"/>
    </row>
    <row r="100" spans="1:13" s="27" customFormat="1" x14ac:dyDescent="0.25">
      <c r="A100" s="24">
        <v>99</v>
      </c>
      <c r="B100" s="24" t="s">
        <v>451</v>
      </c>
      <c r="C100" s="24" t="s">
        <v>393</v>
      </c>
      <c r="D100" s="24" t="s">
        <v>444</v>
      </c>
      <c r="E100" s="24" t="s">
        <v>252</v>
      </c>
      <c r="F100" s="24" t="s">
        <v>54</v>
      </c>
      <c r="G100" s="25">
        <v>2990</v>
      </c>
      <c r="H100" s="26" t="s">
        <v>452</v>
      </c>
      <c r="I100" s="24" t="s">
        <v>396</v>
      </c>
      <c r="J100" s="25">
        <v>4400</v>
      </c>
      <c r="K100" s="24">
        <v>33</v>
      </c>
      <c r="L100" s="24" t="str">
        <f t="shared" si="3"/>
        <v>Entry-premium (2-3k)</v>
      </c>
      <c r="M100" s="24"/>
    </row>
    <row r="101" spans="1:13" x14ac:dyDescent="0.25">
      <c r="A101" s="6">
        <v>100</v>
      </c>
      <c r="B101" s="6" t="s">
        <v>453</v>
      </c>
      <c r="C101" s="6" t="s">
        <v>454</v>
      </c>
      <c r="D101" s="6" t="s">
        <v>455</v>
      </c>
      <c r="E101" s="6" t="s">
        <v>84</v>
      </c>
      <c r="F101" s="6" t="s">
        <v>78</v>
      </c>
      <c r="G101" s="7">
        <v>2950</v>
      </c>
      <c r="H101" s="8" t="s">
        <v>456</v>
      </c>
      <c r="I101" s="6" t="s">
        <v>457</v>
      </c>
      <c r="J101" s="7">
        <v>880</v>
      </c>
      <c r="K101" s="6">
        <v>16</v>
      </c>
      <c r="L101" s="6" t="str">
        <f t="shared" si="3"/>
        <v>Entry-premium (2-3k)</v>
      </c>
      <c r="M101" s="6"/>
    </row>
    <row r="102" spans="1:13" s="27" customFormat="1" x14ac:dyDescent="0.25">
      <c r="A102" s="24">
        <v>101</v>
      </c>
      <c r="B102" s="24" t="s">
        <v>458</v>
      </c>
      <c r="C102" s="24" t="s">
        <v>250</v>
      </c>
      <c r="D102" s="24" t="s">
        <v>113</v>
      </c>
      <c r="E102" s="24" t="s">
        <v>252</v>
      </c>
      <c r="F102" s="24" t="s">
        <v>253</v>
      </c>
      <c r="G102" s="25">
        <v>2900</v>
      </c>
      <c r="H102" s="26" t="s">
        <v>459</v>
      </c>
      <c r="I102" s="24" t="s">
        <v>460</v>
      </c>
      <c r="J102" s="25">
        <v>1900</v>
      </c>
      <c r="K102" s="24">
        <v>12</v>
      </c>
      <c r="L102" s="24" t="str">
        <f t="shared" si="3"/>
        <v>Entry-premium (2-3k)</v>
      </c>
      <c r="M102" s="24" t="s">
        <v>461</v>
      </c>
    </row>
    <row r="103" spans="1:13" x14ac:dyDescent="0.25">
      <c r="A103" s="6">
        <v>102</v>
      </c>
      <c r="B103" s="6" t="s">
        <v>462</v>
      </c>
      <c r="C103" s="6" t="s">
        <v>298</v>
      </c>
      <c r="D103" s="6" t="s">
        <v>299</v>
      </c>
      <c r="E103" s="6" t="s">
        <v>71</v>
      </c>
      <c r="F103" s="6" t="s">
        <v>54</v>
      </c>
      <c r="G103" s="7">
        <v>2879</v>
      </c>
      <c r="H103" s="8" t="s">
        <v>463</v>
      </c>
      <c r="I103" s="6" t="s">
        <v>464</v>
      </c>
      <c r="J103" s="7">
        <v>4400</v>
      </c>
      <c r="K103" s="6">
        <v>31</v>
      </c>
      <c r="L103" s="6" t="str">
        <f t="shared" si="3"/>
        <v>Entry-premium (2-3k)</v>
      </c>
      <c r="M103" s="6"/>
    </row>
    <row r="104" spans="1:13" x14ac:dyDescent="0.25">
      <c r="A104" s="6">
        <v>103</v>
      </c>
      <c r="B104" s="6" t="s">
        <v>465</v>
      </c>
      <c r="C104" s="6" t="s">
        <v>466</v>
      </c>
      <c r="D104" s="6" t="s">
        <v>119</v>
      </c>
      <c r="E104" s="6" t="s">
        <v>120</v>
      </c>
      <c r="F104" s="6" t="s">
        <v>93</v>
      </c>
      <c r="G104" s="7">
        <v>2850</v>
      </c>
      <c r="H104" s="8" t="s">
        <v>467</v>
      </c>
      <c r="I104" s="6" t="s">
        <v>156</v>
      </c>
      <c r="J104" s="7">
        <v>1600</v>
      </c>
      <c r="K104" s="6">
        <v>22</v>
      </c>
      <c r="L104" s="6" t="str">
        <f t="shared" si="3"/>
        <v>Entry-premium (2-3k)</v>
      </c>
      <c r="M104" s="6" t="s">
        <v>468</v>
      </c>
    </row>
    <row r="105" spans="1:13" x14ac:dyDescent="0.25">
      <c r="A105" s="6">
        <v>104</v>
      </c>
      <c r="B105" s="6" t="s">
        <v>469</v>
      </c>
      <c r="C105" s="6" t="s">
        <v>368</v>
      </c>
      <c r="D105" s="6" t="s">
        <v>470</v>
      </c>
      <c r="E105" s="6" t="s">
        <v>71</v>
      </c>
      <c r="F105" s="6" t="s">
        <v>54</v>
      </c>
      <c r="G105" s="7">
        <v>2850</v>
      </c>
      <c r="H105" s="8" t="s">
        <v>471</v>
      </c>
      <c r="I105" s="6" t="s">
        <v>472</v>
      </c>
      <c r="J105" s="7">
        <v>320</v>
      </c>
      <c r="K105" s="6">
        <v>14</v>
      </c>
      <c r="L105" s="6" t="str">
        <f t="shared" si="3"/>
        <v>Entry-premium (2-3k)</v>
      </c>
      <c r="M105" s="6"/>
    </row>
    <row r="106" spans="1:13" x14ac:dyDescent="0.25">
      <c r="A106" s="6">
        <v>105</v>
      </c>
      <c r="B106" s="6" t="s">
        <v>473</v>
      </c>
      <c r="C106" s="6" t="s">
        <v>466</v>
      </c>
      <c r="D106" s="6" t="s">
        <v>70</v>
      </c>
      <c r="E106" s="6" t="s">
        <v>120</v>
      </c>
      <c r="F106" s="6" t="s">
        <v>78</v>
      </c>
      <c r="G106" s="7">
        <v>2850</v>
      </c>
      <c r="H106" s="8" t="s">
        <v>474</v>
      </c>
      <c r="I106" s="6" t="s">
        <v>156</v>
      </c>
      <c r="J106" s="7">
        <v>1600</v>
      </c>
      <c r="K106" s="6">
        <v>22</v>
      </c>
      <c r="L106" s="6" t="str">
        <f t="shared" si="3"/>
        <v>Entry-premium (2-3k)</v>
      </c>
      <c r="M106" s="6"/>
    </row>
    <row r="107" spans="1:13" x14ac:dyDescent="0.25">
      <c r="A107" s="6">
        <v>106</v>
      </c>
      <c r="B107" s="6" t="s">
        <v>475</v>
      </c>
      <c r="C107" s="6" t="s">
        <v>434</v>
      </c>
      <c r="D107" s="6" t="s">
        <v>476</v>
      </c>
      <c r="E107" s="6" t="s">
        <v>252</v>
      </c>
      <c r="F107" s="6" t="s">
        <v>54</v>
      </c>
      <c r="G107" s="7">
        <v>2800</v>
      </c>
      <c r="H107" s="8" t="s">
        <v>477</v>
      </c>
      <c r="I107" s="6" t="s">
        <v>478</v>
      </c>
      <c r="J107" s="7">
        <v>480</v>
      </c>
      <c r="K107" s="6">
        <v>17</v>
      </c>
      <c r="L107" s="6" t="str">
        <f t="shared" si="3"/>
        <v>Entry-premium (2-3k)</v>
      </c>
      <c r="M107" s="6" t="s">
        <v>437</v>
      </c>
    </row>
    <row r="108" spans="1:13" s="27" customFormat="1" x14ac:dyDescent="0.25">
      <c r="A108" s="24">
        <v>107</v>
      </c>
      <c r="B108" s="24" t="s">
        <v>479</v>
      </c>
      <c r="C108" s="24" t="s">
        <v>250</v>
      </c>
      <c r="D108" s="24" t="s">
        <v>70</v>
      </c>
      <c r="E108" s="24" t="s">
        <v>252</v>
      </c>
      <c r="F108" s="24" t="s">
        <v>253</v>
      </c>
      <c r="G108" s="25">
        <v>2800</v>
      </c>
      <c r="H108" s="26" t="s">
        <v>480</v>
      </c>
      <c r="I108" s="24" t="s">
        <v>481</v>
      </c>
      <c r="J108" s="25">
        <v>2400</v>
      </c>
      <c r="K108" s="24">
        <v>9</v>
      </c>
      <c r="L108" s="24" t="str">
        <f t="shared" si="3"/>
        <v>Entry-premium (2-3k)</v>
      </c>
      <c r="M108" s="24"/>
    </row>
    <row r="109" spans="1:13" s="27" customFormat="1" x14ac:dyDescent="0.25">
      <c r="A109" s="24">
        <v>108</v>
      </c>
      <c r="B109" s="24" t="s">
        <v>482</v>
      </c>
      <c r="C109" s="24" t="s">
        <v>349</v>
      </c>
      <c r="D109" s="24" t="s">
        <v>483</v>
      </c>
      <c r="E109" s="24" t="s">
        <v>252</v>
      </c>
      <c r="F109" s="24" t="s">
        <v>350</v>
      </c>
      <c r="G109" s="25">
        <v>2670</v>
      </c>
      <c r="H109" s="26" t="s">
        <v>484</v>
      </c>
      <c r="I109" s="24" t="s">
        <v>481</v>
      </c>
      <c r="J109" s="25">
        <v>2400</v>
      </c>
      <c r="K109" s="24">
        <v>9</v>
      </c>
      <c r="L109" s="24" t="str">
        <f t="shared" si="3"/>
        <v>Entry-premium (2-3k)</v>
      </c>
      <c r="M109" s="24" t="s">
        <v>485</v>
      </c>
    </row>
    <row r="110" spans="1:13" x14ac:dyDescent="0.25">
      <c r="A110" s="6">
        <v>109</v>
      </c>
      <c r="B110" s="6" t="s">
        <v>486</v>
      </c>
      <c r="C110" s="6" t="s">
        <v>487</v>
      </c>
      <c r="D110" s="6" t="s">
        <v>179</v>
      </c>
      <c r="E110" s="6" t="s">
        <v>120</v>
      </c>
      <c r="F110" s="6" t="s">
        <v>54</v>
      </c>
      <c r="G110" s="7">
        <v>2600</v>
      </c>
      <c r="H110" s="8" t="s">
        <v>488</v>
      </c>
      <c r="I110" s="6" t="s">
        <v>489</v>
      </c>
      <c r="J110" s="7">
        <v>590</v>
      </c>
      <c r="K110" s="6">
        <v>13</v>
      </c>
      <c r="L110" s="6" t="str">
        <f t="shared" si="3"/>
        <v>Entry-premium (2-3k)</v>
      </c>
      <c r="M110" s="6"/>
    </row>
    <row r="111" spans="1:13" x14ac:dyDescent="0.25">
      <c r="A111" s="6">
        <v>110</v>
      </c>
      <c r="B111" s="6" t="s">
        <v>490</v>
      </c>
      <c r="C111" s="6" t="s">
        <v>349</v>
      </c>
      <c r="D111" s="6" t="s">
        <v>223</v>
      </c>
      <c r="E111" s="6" t="s">
        <v>252</v>
      </c>
      <c r="F111" s="6" t="s">
        <v>350</v>
      </c>
      <c r="G111" s="7">
        <v>2600</v>
      </c>
      <c r="H111" s="8" t="s">
        <v>491</v>
      </c>
      <c r="I111" s="6" t="s">
        <v>492</v>
      </c>
      <c r="J111" s="7">
        <v>210</v>
      </c>
      <c r="K111" s="6">
        <v>7</v>
      </c>
      <c r="L111" s="6" t="str">
        <f t="shared" si="3"/>
        <v>Entry-premium (2-3k)</v>
      </c>
      <c r="M111" s="6"/>
    </row>
    <row r="112" spans="1:13" s="27" customFormat="1" x14ac:dyDescent="0.25">
      <c r="A112" s="24">
        <v>111</v>
      </c>
      <c r="B112" s="24" t="s">
        <v>493</v>
      </c>
      <c r="C112" s="24" t="s">
        <v>250</v>
      </c>
      <c r="D112" s="24" t="s">
        <v>70</v>
      </c>
      <c r="E112" s="24" t="s">
        <v>252</v>
      </c>
      <c r="F112" s="24" t="s">
        <v>253</v>
      </c>
      <c r="G112" s="25">
        <v>2600</v>
      </c>
      <c r="H112" s="26" t="s">
        <v>494</v>
      </c>
      <c r="I112" s="24" t="s">
        <v>495</v>
      </c>
      <c r="J112" s="25">
        <v>1300</v>
      </c>
      <c r="K112" s="24">
        <v>16</v>
      </c>
      <c r="L112" s="24" t="str">
        <f t="shared" si="3"/>
        <v>Entry-premium (2-3k)</v>
      </c>
      <c r="M112" s="24"/>
    </row>
    <row r="113" spans="1:13" s="27" customFormat="1" x14ac:dyDescent="0.25">
      <c r="A113" s="24">
        <v>112</v>
      </c>
      <c r="B113" s="24" t="s">
        <v>496</v>
      </c>
      <c r="C113" s="24" t="s">
        <v>250</v>
      </c>
      <c r="D113" s="24" t="s">
        <v>210</v>
      </c>
      <c r="E113" s="24" t="s">
        <v>252</v>
      </c>
      <c r="F113" s="24" t="s">
        <v>253</v>
      </c>
      <c r="G113" s="25">
        <v>2600</v>
      </c>
      <c r="H113" s="26" t="s">
        <v>497</v>
      </c>
      <c r="I113" s="24" t="s">
        <v>498</v>
      </c>
      <c r="J113" s="25">
        <v>1000</v>
      </c>
      <c r="K113" s="24">
        <v>17</v>
      </c>
      <c r="L113" s="24" t="str">
        <f t="shared" si="3"/>
        <v>Entry-premium (2-3k)</v>
      </c>
      <c r="M113" s="24"/>
    </row>
    <row r="114" spans="1:13" x14ac:dyDescent="0.25">
      <c r="A114" s="6">
        <v>113</v>
      </c>
      <c r="B114" s="6" t="s">
        <v>499</v>
      </c>
      <c r="C114" s="6" t="s">
        <v>500</v>
      </c>
      <c r="D114" s="6" t="s">
        <v>501</v>
      </c>
      <c r="E114" s="6" t="s">
        <v>502</v>
      </c>
      <c r="F114" s="6" t="s">
        <v>54</v>
      </c>
      <c r="G114" s="7">
        <v>2599</v>
      </c>
      <c r="H114" s="8" t="s">
        <v>503</v>
      </c>
      <c r="I114" s="6" t="s">
        <v>504</v>
      </c>
      <c r="J114" s="7">
        <v>590</v>
      </c>
      <c r="K114" s="6">
        <v>21</v>
      </c>
      <c r="L114" s="6" t="str">
        <f t="shared" si="3"/>
        <v>Entry-premium (2-3k)</v>
      </c>
      <c r="M114" s="6"/>
    </row>
    <row r="115" spans="1:13" x14ac:dyDescent="0.25">
      <c r="A115" s="6">
        <v>114</v>
      </c>
      <c r="B115" s="6" t="s">
        <v>505</v>
      </c>
      <c r="C115" s="6" t="s">
        <v>169</v>
      </c>
      <c r="D115" s="6" t="s">
        <v>483</v>
      </c>
      <c r="E115" s="6" t="s">
        <v>120</v>
      </c>
      <c r="F115" s="6" t="s">
        <v>78</v>
      </c>
      <c r="G115" s="7">
        <v>2590</v>
      </c>
      <c r="H115" s="8" t="s">
        <v>506</v>
      </c>
      <c r="I115" s="6" t="s">
        <v>507</v>
      </c>
      <c r="J115" s="7">
        <v>590</v>
      </c>
      <c r="K115" s="6">
        <v>20</v>
      </c>
      <c r="L115" s="6" t="str">
        <f t="shared" si="3"/>
        <v>Entry-premium (2-3k)</v>
      </c>
      <c r="M115" s="6"/>
    </row>
    <row r="116" spans="1:13" s="27" customFormat="1" x14ac:dyDescent="0.25">
      <c r="A116" s="24">
        <v>115</v>
      </c>
      <c r="B116" s="24" t="s">
        <v>508</v>
      </c>
      <c r="C116" s="24" t="s">
        <v>250</v>
      </c>
      <c r="D116" s="24" t="s">
        <v>129</v>
      </c>
      <c r="E116" s="24" t="s">
        <v>252</v>
      </c>
      <c r="F116" s="24" t="s">
        <v>253</v>
      </c>
      <c r="G116" s="25">
        <v>2450</v>
      </c>
      <c r="H116" s="26" t="s">
        <v>509</v>
      </c>
      <c r="I116" s="24" t="s">
        <v>510</v>
      </c>
      <c r="J116" s="25">
        <v>4400</v>
      </c>
      <c r="K116" s="24">
        <v>15</v>
      </c>
      <c r="L116" s="24" t="str">
        <f t="shared" si="3"/>
        <v>Entry-premium (2-3k)</v>
      </c>
      <c r="M116" s="24" t="s">
        <v>511</v>
      </c>
    </row>
    <row r="117" spans="1:13" x14ac:dyDescent="0.25">
      <c r="A117" s="6">
        <v>116</v>
      </c>
      <c r="B117" s="6" t="s">
        <v>512</v>
      </c>
      <c r="C117" s="6" t="s">
        <v>500</v>
      </c>
      <c r="D117" s="6" t="s">
        <v>342</v>
      </c>
      <c r="E117" s="6" t="s">
        <v>502</v>
      </c>
      <c r="F117" s="6" t="s">
        <v>54</v>
      </c>
      <c r="G117" s="7">
        <v>2400</v>
      </c>
      <c r="H117" s="8" t="s">
        <v>513</v>
      </c>
      <c r="I117" s="6" t="s">
        <v>344</v>
      </c>
      <c r="J117" s="7">
        <v>480</v>
      </c>
      <c r="K117" s="6">
        <v>20</v>
      </c>
      <c r="L117" s="6" t="str">
        <f t="shared" si="3"/>
        <v>Entry-premium (2-3k)</v>
      </c>
      <c r="M117" s="6"/>
    </row>
    <row r="118" spans="1:13" s="27" customFormat="1" x14ac:dyDescent="0.25">
      <c r="A118" s="24">
        <v>117</v>
      </c>
      <c r="B118" s="24" t="s">
        <v>514</v>
      </c>
      <c r="C118" s="24" t="s">
        <v>349</v>
      </c>
      <c r="D118" s="24" t="s">
        <v>70</v>
      </c>
      <c r="E118" s="24" t="s">
        <v>252</v>
      </c>
      <c r="F118" s="24" t="s">
        <v>350</v>
      </c>
      <c r="G118" s="25">
        <v>2400</v>
      </c>
      <c r="H118" s="26" t="s">
        <v>515</v>
      </c>
      <c r="I118" s="24" t="s">
        <v>516</v>
      </c>
      <c r="J118" s="25">
        <v>4400</v>
      </c>
      <c r="K118" s="24">
        <v>8</v>
      </c>
      <c r="L118" s="24" t="str">
        <f t="shared" si="3"/>
        <v>Entry-premium (2-3k)</v>
      </c>
      <c r="M118" s="24" t="s">
        <v>517</v>
      </c>
    </row>
    <row r="119" spans="1:13" s="27" customFormat="1" x14ac:dyDescent="0.25">
      <c r="A119" s="24">
        <v>118</v>
      </c>
      <c r="B119" s="24" t="s">
        <v>518</v>
      </c>
      <c r="C119" s="24" t="s">
        <v>349</v>
      </c>
      <c r="D119" s="24" t="s">
        <v>70</v>
      </c>
      <c r="E119" s="24" t="s">
        <v>252</v>
      </c>
      <c r="F119" s="24" t="s">
        <v>350</v>
      </c>
      <c r="G119" s="25">
        <v>2400</v>
      </c>
      <c r="H119" s="26" t="s">
        <v>519</v>
      </c>
      <c r="I119" s="24" t="s">
        <v>277</v>
      </c>
      <c r="J119" s="25">
        <v>5400</v>
      </c>
      <c r="K119" s="24">
        <v>22</v>
      </c>
      <c r="L119" s="24" t="str">
        <f t="shared" si="3"/>
        <v>Entry-premium (2-3k)</v>
      </c>
      <c r="M119" s="24"/>
    </row>
    <row r="120" spans="1:13" s="27" customFormat="1" x14ac:dyDescent="0.25">
      <c r="A120" s="24">
        <v>119</v>
      </c>
      <c r="B120" s="24" t="s">
        <v>520</v>
      </c>
      <c r="C120" s="24" t="s">
        <v>250</v>
      </c>
      <c r="D120" s="24" t="s">
        <v>70</v>
      </c>
      <c r="E120" s="24" t="s">
        <v>252</v>
      </c>
      <c r="F120" s="24" t="s">
        <v>253</v>
      </c>
      <c r="G120" s="25">
        <v>2400</v>
      </c>
      <c r="H120" s="26" t="s">
        <v>521</v>
      </c>
      <c r="I120" s="24" t="s">
        <v>522</v>
      </c>
      <c r="J120" s="25">
        <v>3600</v>
      </c>
      <c r="K120" s="24">
        <v>16</v>
      </c>
      <c r="L120" s="24" t="str">
        <f t="shared" si="3"/>
        <v>Entry-premium (2-3k)</v>
      </c>
      <c r="M120" s="24"/>
    </row>
    <row r="121" spans="1:13" x14ac:dyDescent="0.25">
      <c r="A121" s="6">
        <v>120</v>
      </c>
      <c r="B121" s="6" t="s">
        <v>523</v>
      </c>
      <c r="C121" s="6" t="s">
        <v>322</v>
      </c>
      <c r="D121" s="6" t="s">
        <v>119</v>
      </c>
      <c r="E121" s="6" t="s">
        <v>252</v>
      </c>
      <c r="F121" s="6" t="s">
        <v>324</v>
      </c>
      <c r="G121" s="7">
        <v>2400</v>
      </c>
      <c r="H121" s="8" t="s">
        <v>524</v>
      </c>
      <c r="I121" s="6" t="s">
        <v>525</v>
      </c>
      <c r="J121" s="7">
        <v>320</v>
      </c>
      <c r="K121" s="6">
        <v>18</v>
      </c>
      <c r="L121" s="6" t="str">
        <f t="shared" si="3"/>
        <v>Entry-premium (2-3k)</v>
      </c>
      <c r="M121" s="6"/>
    </row>
    <row r="122" spans="1:13" s="27" customFormat="1" x14ac:dyDescent="0.25">
      <c r="A122" s="24">
        <v>121</v>
      </c>
      <c r="B122" s="24" t="s">
        <v>526</v>
      </c>
      <c r="C122" s="24" t="s">
        <v>527</v>
      </c>
      <c r="D122" s="24" t="s">
        <v>70</v>
      </c>
      <c r="E122" s="24" t="s">
        <v>252</v>
      </c>
      <c r="F122" s="24" t="s">
        <v>528</v>
      </c>
      <c r="G122" s="25">
        <v>2350</v>
      </c>
      <c r="H122" s="26" t="s">
        <v>529</v>
      </c>
      <c r="I122" s="24" t="s">
        <v>481</v>
      </c>
      <c r="J122" s="25">
        <v>2400</v>
      </c>
      <c r="K122" s="24">
        <v>9</v>
      </c>
      <c r="L122" s="24" t="str">
        <f t="shared" si="3"/>
        <v>Entry-premium (2-3k)</v>
      </c>
      <c r="M122" s="24"/>
    </row>
    <row r="123" spans="1:13" s="27" customFormat="1" x14ac:dyDescent="0.25">
      <c r="A123" s="24">
        <v>122</v>
      </c>
      <c r="B123" s="24" t="s">
        <v>530</v>
      </c>
      <c r="C123" s="24" t="s">
        <v>250</v>
      </c>
      <c r="D123" s="24" t="s">
        <v>119</v>
      </c>
      <c r="E123" s="24" t="s">
        <v>252</v>
      </c>
      <c r="F123" s="24" t="s">
        <v>253</v>
      </c>
      <c r="G123" s="25">
        <v>2350</v>
      </c>
      <c r="H123" s="26" t="s">
        <v>531</v>
      </c>
      <c r="I123" s="24" t="s">
        <v>532</v>
      </c>
      <c r="J123" s="25">
        <v>6600</v>
      </c>
      <c r="K123" s="24">
        <v>17</v>
      </c>
      <c r="L123" s="24" t="str">
        <f t="shared" si="3"/>
        <v>Entry-premium (2-3k)</v>
      </c>
      <c r="M123" s="24"/>
    </row>
    <row r="124" spans="1:13" s="27" customFormat="1" x14ac:dyDescent="0.25">
      <c r="A124" s="24">
        <v>123</v>
      </c>
      <c r="B124" s="24" t="s">
        <v>533</v>
      </c>
      <c r="C124" s="24" t="s">
        <v>322</v>
      </c>
      <c r="D124" s="24" t="s">
        <v>534</v>
      </c>
      <c r="E124" s="24" t="s">
        <v>252</v>
      </c>
      <c r="F124" s="24" t="s">
        <v>324</v>
      </c>
      <c r="G124" s="25">
        <v>2300</v>
      </c>
      <c r="H124" s="26" t="s">
        <v>535</v>
      </c>
      <c r="I124" s="24" t="s">
        <v>255</v>
      </c>
      <c r="J124" s="25">
        <v>8100</v>
      </c>
      <c r="K124" s="24">
        <v>20</v>
      </c>
      <c r="L124" s="24" t="str">
        <f t="shared" si="3"/>
        <v>Entry-premium (2-3k)</v>
      </c>
      <c r="M124" s="24"/>
    </row>
    <row r="125" spans="1:13" s="27" customFormat="1" x14ac:dyDescent="0.25">
      <c r="A125" s="24">
        <v>124</v>
      </c>
      <c r="B125" s="24" t="s">
        <v>536</v>
      </c>
      <c r="C125" s="24" t="s">
        <v>537</v>
      </c>
      <c r="D125" s="24" t="s">
        <v>70</v>
      </c>
      <c r="E125" s="24" t="s">
        <v>252</v>
      </c>
      <c r="F125" s="24" t="s">
        <v>528</v>
      </c>
      <c r="G125" s="25">
        <v>2250</v>
      </c>
      <c r="H125" s="26" t="s">
        <v>538</v>
      </c>
      <c r="I125" s="24" t="s">
        <v>255</v>
      </c>
      <c r="J125" s="25">
        <v>8100</v>
      </c>
      <c r="K125" s="24">
        <v>20</v>
      </c>
      <c r="L125" s="24" t="str">
        <f t="shared" si="3"/>
        <v>Entry-premium (2-3k)</v>
      </c>
      <c r="M125" s="24" t="s">
        <v>539</v>
      </c>
    </row>
    <row r="126" spans="1:13" s="27" customFormat="1" x14ac:dyDescent="0.25">
      <c r="A126" s="24">
        <v>125</v>
      </c>
      <c r="B126" s="24" t="s">
        <v>540</v>
      </c>
      <c r="C126" s="24" t="s">
        <v>250</v>
      </c>
      <c r="D126" s="24" t="s">
        <v>210</v>
      </c>
      <c r="E126" s="24" t="s">
        <v>252</v>
      </c>
      <c r="F126" s="24" t="s">
        <v>253</v>
      </c>
      <c r="G126" s="25">
        <v>2250</v>
      </c>
      <c r="H126" s="26" t="s">
        <v>541</v>
      </c>
      <c r="I126" s="24" t="s">
        <v>542</v>
      </c>
      <c r="J126" s="25">
        <v>3600</v>
      </c>
      <c r="K126" s="24">
        <v>25</v>
      </c>
      <c r="L126" s="24" t="str">
        <f t="shared" si="3"/>
        <v>Entry-premium (2-3k)</v>
      </c>
      <c r="M126" s="24"/>
    </row>
    <row r="127" spans="1:13" s="27" customFormat="1" x14ac:dyDescent="0.25">
      <c r="A127" s="24">
        <v>126</v>
      </c>
      <c r="B127" s="24" t="s">
        <v>543</v>
      </c>
      <c r="C127" s="24" t="s">
        <v>322</v>
      </c>
      <c r="D127" s="24" t="s">
        <v>70</v>
      </c>
      <c r="E127" s="24" t="s">
        <v>252</v>
      </c>
      <c r="F127" s="24" t="s">
        <v>324</v>
      </c>
      <c r="G127" s="25">
        <v>2250</v>
      </c>
      <c r="H127" s="26" t="s">
        <v>544</v>
      </c>
      <c r="I127" s="24" t="s">
        <v>481</v>
      </c>
      <c r="J127" s="25">
        <v>2400</v>
      </c>
      <c r="K127" s="24">
        <v>9</v>
      </c>
      <c r="L127" s="24" t="str">
        <f t="shared" si="3"/>
        <v>Entry-premium (2-3k)</v>
      </c>
      <c r="M127" s="24"/>
    </row>
    <row r="128" spans="1:13" s="27" customFormat="1" x14ac:dyDescent="0.25">
      <c r="A128" s="24">
        <v>127</v>
      </c>
      <c r="B128" s="24" t="s">
        <v>545</v>
      </c>
      <c r="C128" s="24" t="s">
        <v>349</v>
      </c>
      <c r="D128" s="24" t="s">
        <v>70</v>
      </c>
      <c r="E128" s="24" t="s">
        <v>252</v>
      </c>
      <c r="F128" s="24" t="s">
        <v>350</v>
      </c>
      <c r="G128" s="25">
        <v>2200</v>
      </c>
      <c r="H128" s="26" t="s">
        <v>546</v>
      </c>
      <c r="I128" s="24" t="s">
        <v>237</v>
      </c>
      <c r="J128" s="25">
        <v>12100</v>
      </c>
      <c r="K128" s="24">
        <v>32</v>
      </c>
      <c r="L128" s="24" t="str">
        <f t="shared" si="3"/>
        <v>Entry-premium (2-3k)</v>
      </c>
      <c r="M128" s="24" t="s">
        <v>547</v>
      </c>
    </row>
    <row r="129" spans="1:13" s="27" customFormat="1" x14ac:dyDescent="0.25">
      <c r="A129" s="24">
        <v>128</v>
      </c>
      <c r="B129" s="24" t="s">
        <v>548</v>
      </c>
      <c r="C129" s="24" t="s">
        <v>250</v>
      </c>
      <c r="D129" s="24" t="s">
        <v>549</v>
      </c>
      <c r="E129" s="24" t="s">
        <v>252</v>
      </c>
      <c r="F129" s="24" t="s">
        <v>253</v>
      </c>
      <c r="G129" s="25">
        <v>2200</v>
      </c>
      <c r="H129" s="26" t="s">
        <v>550</v>
      </c>
      <c r="I129" s="24" t="s">
        <v>551</v>
      </c>
      <c r="J129" s="25">
        <v>8100</v>
      </c>
      <c r="K129" s="24">
        <v>20</v>
      </c>
      <c r="L129" s="24" t="str">
        <f t="shared" si="3"/>
        <v>Entry-premium (2-3k)</v>
      </c>
      <c r="M129" s="24" t="s">
        <v>552</v>
      </c>
    </row>
    <row r="130" spans="1:13" s="27" customFormat="1" x14ac:dyDescent="0.25">
      <c r="A130" s="24">
        <v>129</v>
      </c>
      <c r="B130" s="24" t="s">
        <v>553</v>
      </c>
      <c r="C130" s="24" t="s">
        <v>322</v>
      </c>
      <c r="D130" s="24" t="s">
        <v>70</v>
      </c>
      <c r="E130" s="24" t="s">
        <v>252</v>
      </c>
      <c r="F130" s="24" t="s">
        <v>324</v>
      </c>
      <c r="G130" s="25">
        <v>2200</v>
      </c>
      <c r="H130" s="26" t="s">
        <v>554</v>
      </c>
      <c r="I130" s="24" t="s">
        <v>277</v>
      </c>
      <c r="J130" s="25">
        <v>5400</v>
      </c>
      <c r="K130" s="24">
        <v>22</v>
      </c>
      <c r="L130" s="24" t="str">
        <f t="shared" si="3"/>
        <v>Entry-premium (2-3k)</v>
      </c>
      <c r="M130" s="24"/>
    </row>
    <row r="131" spans="1:13" s="27" customFormat="1" x14ac:dyDescent="0.25">
      <c r="A131" s="24">
        <v>130</v>
      </c>
      <c r="B131" s="24" t="s">
        <v>555</v>
      </c>
      <c r="C131" s="24" t="s">
        <v>250</v>
      </c>
      <c r="D131" s="24" t="s">
        <v>210</v>
      </c>
      <c r="E131" s="24" t="s">
        <v>252</v>
      </c>
      <c r="F131" s="24" t="s">
        <v>253</v>
      </c>
      <c r="G131" s="25">
        <v>2100</v>
      </c>
      <c r="H131" s="26" t="s">
        <v>556</v>
      </c>
      <c r="I131" s="24" t="s">
        <v>381</v>
      </c>
      <c r="J131" s="25">
        <v>4400</v>
      </c>
      <c r="K131" s="24">
        <v>14</v>
      </c>
      <c r="L131" s="24" t="str">
        <f t="shared" si="3"/>
        <v>Entry-premium (2-3k)</v>
      </c>
      <c r="M131" s="24" t="s">
        <v>557</v>
      </c>
    </row>
    <row r="132" spans="1:13" s="27" customFormat="1" x14ac:dyDescent="0.25">
      <c r="A132" s="24">
        <v>131</v>
      </c>
      <c r="B132" s="24" t="s">
        <v>558</v>
      </c>
      <c r="C132" s="24" t="s">
        <v>322</v>
      </c>
      <c r="D132" s="24" t="s">
        <v>70</v>
      </c>
      <c r="E132" s="24" t="s">
        <v>252</v>
      </c>
      <c r="F132" s="24" t="s">
        <v>324</v>
      </c>
      <c r="G132" s="25">
        <v>2100</v>
      </c>
      <c r="H132" s="26" t="s">
        <v>559</v>
      </c>
      <c r="I132" s="24" t="s">
        <v>560</v>
      </c>
      <c r="J132" s="25">
        <v>1900</v>
      </c>
      <c r="K132" s="24">
        <v>17</v>
      </c>
      <c r="L132" s="24" t="str">
        <f t="shared" si="3"/>
        <v>Entry-premium (2-3k)</v>
      </c>
      <c r="M132" s="24"/>
    </row>
    <row r="133" spans="1:13" x14ac:dyDescent="0.25">
      <c r="A133" s="6">
        <v>132</v>
      </c>
      <c r="B133" s="6" t="s">
        <v>561</v>
      </c>
      <c r="C133" s="6" t="s">
        <v>322</v>
      </c>
      <c r="D133" s="6" t="s">
        <v>210</v>
      </c>
      <c r="E133" s="6" t="s">
        <v>252</v>
      </c>
      <c r="F133" s="6" t="s">
        <v>324</v>
      </c>
      <c r="G133" s="7">
        <v>2100</v>
      </c>
      <c r="H133" s="8" t="s">
        <v>562</v>
      </c>
      <c r="I133" s="6" t="s">
        <v>563</v>
      </c>
      <c r="J133" s="7">
        <v>880</v>
      </c>
      <c r="K133" s="6">
        <v>7</v>
      </c>
      <c r="L133" s="6" t="str">
        <f t="shared" si="3"/>
        <v>Entry-premium (2-3k)</v>
      </c>
      <c r="M133" s="6" t="s">
        <v>564</v>
      </c>
    </row>
    <row r="134" spans="1:13" s="27" customFormat="1" x14ac:dyDescent="0.25">
      <c r="A134" s="24">
        <v>133</v>
      </c>
      <c r="B134" s="24" t="s">
        <v>565</v>
      </c>
      <c r="C134" s="24" t="s">
        <v>250</v>
      </c>
      <c r="D134" s="24" t="s">
        <v>170</v>
      </c>
      <c r="E134" s="24" t="s">
        <v>252</v>
      </c>
      <c r="F134" s="24" t="s">
        <v>253</v>
      </c>
      <c r="G134" s="25">
        <v>2050</v>
      </c>
      <c r="H134" s="26" t="s">
        <v>566</v>
      </c>
      <c r="I134" s="24" t="s">
        <v>567</v>
      </c>
      <c r="J134" s="25">
        <v>5400</v>
      </c>
      <c r="K134" s="24">
        <v>17</v>
      </c>
      <c r="L134" s="24" t="str">
        <f t="shared" si="3"/>
        <v>Entry-premium (2-3k)</v>
      </c>
      <c r="M134" s="24" t="s">
        <v>568</v>
      </c>
    </row>
    <row r="136" spans="1:13" x14ac:dyDescent="0.25">
      <c r="B136" s="9" t="s">
        <v>569</v>
      </c>
      <c r="G136" s="9">
        <f>COUNT(G2:G134)</f>
        <v>133</v>
      </c>
    </row>
    <row r="137" spans="1:13" x14ac:dyDescent="0.25">
      <c r="B137" s="9" t="s">
        <v>570</v>
      </c>
      <c r="G137" s="10">
        <f>ROUND(AVERAGE(G2:G134),0)</f>
        <v>5496</v>
      </c>
    </row>
    <row r="138" spans="1:13" x14ac:dyDescent="0.25">
      <c r="B138" s="9" t="s">
        <v>571</v>
      </c>
      <c r="G138" s="10">
        <f>ROUND(MEDIAN(G2:G134),0)</f>
        <v>4423</v>
      </c>
    </row>
    <row r="139" spans="1:13" x14ac:dyDescent="0.25">
      <c r="B139" s="9" t="s">
        <v>572</v>
      </c>
      <c r="G139" s="10">
        <f>MAX(G2:G134)</f>
        <v>39258</v>
      </c>
    </row>
    <row r="140" spans="1:13" x14ac:dyDescent="0.25">
      <c r="B140" s="9" t="s">
        <v>573</v>
      </c>
      <c r="G140" s="10">
        <f>SUM(J2:J134)</f>
        <v>395556</v>
      </c>
    </row>
    <row r="142" spans="1:13" x14ac:dyDescent="0.25">
      <c r="B142" s="2" t="s">
        <v>574</v>
      </c>
    </row>
  </sheetData>
  <autoFilter ref="A1:M134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</hyperlinks>
  <pageMargins left="0.75" right="0.75" top="1" bottom="1" header="0.511811023622047" footer="0.511811023622047"/>
  <pageSetup paperSize="9" orientation="portrait" horizontalDpi="300" verticalDpi="300" r:id="rId13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2"/>
  <sheetViews>
    <sheetView zoomScaleNormal="100" workbookViewId="0">
      <pane xSplit="1" ySplit="1" topLeftCell="B254" activePane="bottomRight" state="frozen"/>
      <selection pane="topRight" activeCell="B1" sqref="B1"/>
      <selection pane="bottomLeft" activeCell="A2" sqref="A2"/>
      <selection pane="bottomRight"/>
    </sheetView>
  </sheetViews>
  <sheetFormatPr defaultColWidth="8.7109375" defaultRowHeight="15" x14ac:dyDescent="0.25"/>
  <cols>
    <col min="1" max="1" width="5" customWidth="1"/>
    <col min="2" max="2" width="46" customWidth="1"/>
    <col min="3" max="3" width="15" customWidth="1"/>
    <col min="4" max="4" width="11" customWidth="1"/>
    <col min="5" max="5" width="7" customWidth="1"/>
    <col min="6" max="6" width="11" customWidth="1"/>
    <col min="7" max="8" width="20" customWidth="1"/>
    <col min="9" max="9" width="15" customWidth="1"/>
    <col min="10" max="10" width="18" customWidth="1"/>
    <col min="11" max="11" width="14" customWidth="1"/>
  </cols>
  <sheetData>
    <row r="1" spans="1:11" ht="30" customHeight="1" x14ac:dyDescent="0.25">
      <c r="A1" s="5" t="s">
        <v>37</v>
      </c>
      <c r="B1" s="5" t="s">
        <v>575</v>
      </c>
      <c r="C1" s="5" t="s">
        <v>576</v>
      </c>
      <c r="D1" s="5" t="s">
        <v>577</v>
      </c>
      <c r="E1" s="5" t="s">
        <v>47</v>
      </c>
      <c r="F1" s="5" t="s">
        <v>578</v>
      </c>
      <c r="G1" s="5" t="s">
        <v>579</v>
      </c>
      <c r="H1" s="5" t="s">
        <v>24</v>
      </c>
      <c r="I1" s="5" t="s">
        <v>580</v>
      </c>
      <c r="J1" s="5" t="s">
        <v>581</v>
      </c>
      <c r="K1" s="5" t="s">
        <v>582</v>
      </c>
    </row>
    <row r="2" spans="1:11" x14ac:dyDescent="0.25">
      <c r="A2" s="6">
        <v>1</v>
      </c>
      <c r="B2" s="6" t="s">
        <v>583</v>
      </c>
      <c r="C2" s="6" t="s">
        <v>584</v>
      </c>
      <c r="D2" s="7">
        <v>40500</v>
      </c>
      <c r="E2" s="6">
        <v>25</v>
      </c>
      <c r="F2" s="11">
        <v>0.66</v>
      </c>
      <c r="G2" s="11">
        <v>0.33</v>
      </c>
      <c r="H2" s="6" t="s">
        <v>585</v>
      </c>
      <c r="I2" s="6" t="str">
        <f t="shared" ref="I2:I65" si="0">IF(E2&lt;=15,"Very Easy",IF(E2&lt;=25,"Easy",IF(E2&lt;=40,"Medium","Hard")))</f>
        <v>Easy</v>
      </c>
      <c r="J2" s="7">
        <f t="shared" ref="J2:J65" si="1">ROUND(D2*0.11,0)</f>
        <v>4455</v>
      </c>
      <c r="K2" s="12">
        <f t="shared" ref="K2:K65" si="2">ROUND(D2/MAX(E2,1),1)</f>
        <v>1620</v>
      </c>
    </row>
    <row r="3" spans="1:11" x14ac:dyDescent="0.25">
      <c r="A3" s="6">
        <v>2</v>
      </c>
      <c r="B3" s="6" t="s">
        <v>586</v>
      </c>
      <c r="C3" s="6" t="s">
        <v>584</v>
      </c>
      <c r="D3" s="7">
        <v>33100</v>
      </c>
      <c r="E3" s="6">
        <v>21</v>
      </c>
      <c r="F3" s="11">
        <v>0.47</v>
      </c>
      <c r="G3" s="11">
        <v>0.01</v>
      </c>
      <c r="H3" s="6" t="s">
        <v>585</v>
      </c>
      <c r="I3" s="6" t="str">
        <f t="shared" si="0"/>
        <v>Easy</v>
      </c>
      <c r="J3" s="7">
        <f t="shared" si="1"/>
        <v>3641</v>
      </c>
      <c r="K3" s="12">
        <f t="shared" si="2"/>
        <v>1576.2</v>
      </c>
    </row>
    <row r="4" spans="1:11" x14ac:dyDescent="0.25">
      <c r="A4" s="6">
        <v>3</v>
      </c>
      <c r="B4" s="6" t="s">
        <v>587</v>
      </c>
      <c r="C4" s="6" t="s">
        <v>588</v>
      </c>
      <c r="D4" s="7">
        <v>33100</v>
      </c>
      <c r="E4" s="6">
        <v>25</v>
      </c>
      <c r="F4" s="11">
        <v>0.14000000000000001</v>
      </c>
      <c r="G4" s="11">
        <v>0.23</v>
      </c>
      <c r="H4" s="6" t="s">
        <v>589</v>
      </c>
      <c r="I4" s="6" t="str">
        <f t="shared" si="0"/>
        <v>Easy</v>
      </c>
      <c r="J4" s="7">
        <f t="shared" si="1"/>
        <v>3641</v>
      </c>
      <c r="K4" s="12">
        <f t="shared" si="2"/>
        <v>1324</v>
      </c>
    </row>
    <row r="5" spans="1:11" x14ac:dyDescent="0.25">
      <c r="A5" s="6">
        <v>4</v>
      </c>
      <c r="B5" s="6" t="s">
        <v>590</v>
      </c>
      <c r="C5" s="6" t="s">
        <v>584</v>
      </c>
      <c r="D5" s="7">
        <v>27100</v>
      </c>
      <c r="E5" s="6">
        <v>15</v>
      </c>
      <c r="F5" s="11">
        <v>0.04</v>
      </c>
      <c r="G5" s="11">
        <v>0.06</v>
      </c>
      <c r="H5" s="6" t="s">
        <v>585</v>
      </c>
      <c r="I5" s="6" t="str">
        <f t="shared" si="0"/>
        <v>Very Easy</v>
      </c>
      <c r="J5" s="7">
        <f t="shared" si="1"/>
        <v>2981</v>
      </c>
      <c r="K5" s="12">
        <f t="shared" si="2"/>
        <v>1806.7</v>
      </c>
    </row>
    <row r="6" spans="1:11" x14ac:dyDescent="0.25">
      <c r="A6" s="6">
        <v>5</v>
      </c>
      <c r="B6" s="6" t="s">
        <v>591</v>
      </c>
      <c r="C6" s="6" t="s">
        <v>584</v>
      </c>
      <c r="D6" s="7">
        <v>22200</v>
      </c>
      <c r="E6" s="6">
        <v>10</v>
      </c>
      <c r="F6" s="11">
        <v>0.1</v>
      </c>
      <c r="G6" s="11">
        <v>0.06</v>
      </c>
      <c r="H6" s="6" t="s">
        <v>592</v>
      </c>
      <c r="I6" s="6" t="str">
        <f t="shared" si="0"/>
        <v>Very Easy</v>
      </c>
      <c r="J6" s="7">
        <f t="shared" si="1"/>
        <v>2442</v>
      </c>
      <c r="K6" s="12">
        <f t="shared" si="2"/>
        <v>2220</v>
      </c>
    </row>
    <row r="7" spans="1:11" x14ac:dyDescent="0.25">
      <c r="A7" s="6">
        <v>6</v>
      </c>
      <c r="B7" s="6" t="s">
        <v>593</v>
      </c>
      <c r="C7" s="6" t="s">
        <v>594</v>
      </c>
      <c r="D7" s="7">
        <v>22200</v>
      </c>
      <c r="E7" s="6">
        <v>20</v>
      </c>
      <c r="F7" s="11">
        <v>0</v>
      </c>
      <c r="G7" s="11">
        <v>0.33</v>
      </c>
      <c r="H7" s="6" t="s">
        <v>585</v>
      </c>
      <c r="I7" s="6" t="str">
        <f t="shared" si="0"/>
        <v>Easy</v>
      </c>
      <c r="J7" s="7">
        <f t="shared" si="1"/>
        <v>2442</v>
      </c>
      <c r="K7" s="12">
        <f t="shared" si="2"/>
        <v>1110</v>
      </c>
    </row>
    <row r="8" spans="1:11" x14ac:dyDescent="0.25">
      <c r="A8" s="6">
        <v>7</v>
      </c>
      <c r="B8" s="6" t="s">
        <v>595</v>
      </c>
      <c r="C8" s="6" t="s">
        <v>77</v>
      </c>
      <c r="D8" s="7">
        <v>22200</v>
      </c>
      <c r="E8" s="6">
        <v>17</v>
      </c>
      <c r="F8" s="11">
        <v>0.05</v>
      </c>
      <c r="G8" s="11">
        <v>0.02</v>
      </c>
      <c r="H8" s="6" t="s">
        <v>596</v>
      </c>
      <c r="I8" s="6" t="str">
        <f t="shared" si="0"/>
        <v>Easy</v>
      </c>
      <c r="J8" s="7">
        <f t="shared" si="1"/>
        <v>2442</v>
      </c>
      <c r="K8" s="12">
        <f t="shared" si="2"/>
        <v>1305.9000000000001</v>
      </c>
    </row>
    <row r="9" spans="1:11" x14ac:dyDescent="0.25">
      <c r="A9" s="6">
        <v>8</v>
      </c>
      <c r="B9" s="6" t="s">
        <v>364</v>
      </c>
      <c r="C9" s="6" t="s">
        <v>588</v>
      </c>
      <c r="D9" s="7">
        <v>18100</v>
      </c>
      <c r="E9" s="6">
        <v>29</v>
      </c>
      <c r="F9" s="11">
        <v>7.0000000000000007E-2</v>
      </c>
      <c r="G9" s="11">
        <v>0.12</v>
      </c>
      <c r="H9" s="6" t="s">
        <v>585</v>
      </c>
      <c r="I9" s="6" t="str">
        <f t="shared" si="0"/>
        <v>Medium</v>
      </c>
      <c r="J9" s="7">
        <f t="shared" si="1"/>
        <v>1991</v>
      </c>
      <c r="K9" s="12">
        <f t="shared" si="2"/>
        <v>624.1</v>
      </c>
    </row>
    <row r="10" spans="1:11" x14ac:dyDescent="0.25">
      <c r="A10" s="6">
        <v>9</v>
      </c>
      <c r="B10" s="6" t="s">
        <v>152</v>
      </c>
      <c r="C10" s="6" t="s">
        <v>170</v>
      </c>
      <c r="D10" s="7">
        <v>14800</v>
      </c>
      <c r="E10" s="6">
        <v>23</v>
      </c>
      <c r="F10" s="11">
        <v>0.05</v>
      </c>
      <c r="G10" s="11">
        <v>0.19</v>
      </c>
      <c r="H10" s="6" t="s">
        <v>597</v>
      </c>
      <c r="I10" s="6" t="str">
        <f t="shared" si="0"/>
        <v>Easy</v>
      </c>
      <c r="J10" s="7">
        <f t="shared" si="1"/>
        <v>1628</v>
      </c>
      <c r="K10" s="12">
        <f t="shared" si="2"/>
        <v>643.5</v>
      </c>
    </row>
    <row r="11" spans="1:11" x14ac:dyDescent="0.25">
      <c r="A11" s="6">
        <v>10</v>
      </c>
      <c r="B11" s="6" t="s">
        <v>598</v>
      </c>
      <c r="C11" s="6" t="s">
        <v>584</v>
      </c>
      <c r="D11" s="7">
        <v>14800</v>
      </c>
      <c r="E11" s="6">
        <v>26</v>
      </c>
      <c r="F11" s="11">
        <v>0.15</v>
      </c>
      <c r="G11" s="11">
        <v>0.02</v>
      </c>
      <c r="H11" s="6" t="s">
        <v>585</v>
      </c>
      <c r="I11" s="6" t="str">
        <f t="shared" si="0"/>
        <v>Medium</v>
      </c>
      <c r="J11" s="7">
        <f t="shared" si="1"/>
        <v>1628</v>
      </c>
      <c r="K11" s="12">
        <f t="shared" si="2"/>
        <v>569.20000000000005</v>
      </c>
    </row>
    <row r="12" spans="1:11" x14ac:dyDescent="0.25">
      <c r="A12" s="6">
        <v>11</v>
      </c>
      <c r="B12" s="6" t="s">
        <v>599</v>
      </c>
      <c r="C12" s="6" t="s">
        <v>584</v>
      </c>
      <c r="D12" s="7">
        <v>14800</v>
      </c>
      <c r="E12" s="6">
        <v>19</v>
      </c>
      <c r="F12" s="11">
        <v>0.04</v>
      </c>
      <c r="G12" s="11">
        <v>0.1</v>
      </c>
      <c r="H12" s="6" t="s">
        <v>585</v>
      </c>
      <c r="I12" s="6" t="str">
        <f t="shared" si="0"/>
        <v>Easy</v>
      </c>
      <c r="J12" s="7">
        <f t="shared" si="1"/>
        <v>1628</v>
      </c>
      <c r="K12" s="12">
        <f t="shared" si="2"/>
        <v>778.9</v>
      </c>
    </row>
    <row r="13" spans="1:11" x14ac:dyDescent="0.25">
      <c r="A13" s="6">
        <v>12</v>
      </c>
      <c r="B13" s="6" t="s">
        <v>600</v>
      </c>
      <c r="C13" s="6" t="s">
        <v>170</v>
      </c>
      <c r="D13" s="7">
        <v>14800</v>
      </c>
      <c r="E13" s="6">
        <v>17</v>
      </c>
      <c r="F13" s="11">
        <v>0</v>
      </c>
      <c r="G13" s="11">
        <v>0.33</v>
      </c>
      <c r="H13" s="6" t="s">
        <v>585</v>
      </c>
      <c r="I13" s="6" t="str">
        <f t="shared" si="0"/>
        <v>Easy</v>
      </c>
      <c r="J13" s="7">
        <f t="shared" si="1"/>
        <v>1628</v>
      </c>
      <c r="K13" s="12">
        <f t="shared" si="2"/>
        <v>870.6</v>
      </c>
    </row>
    <row r="14" spans="1:11" x14ac:dyDescent="0.25">
      <c r="A14" s="6">
        <v>13</v>
      </c>
      <c r="B14" s="6" t="s">
        <v>601</v>
      </c>
      <c r="C14" s="6" t="s">
        <v>594</v>
      </c>
      <c r="D14" s="7">
        <v>14800</v>
      </c>
      <c r="E14" s="6">
        <v>13</v>
      </c>
      <c r="F14" s="11">
        <v>0</v>
      </c>
      <c r="G14" s="11">
        <v>0.33</v>
      </c>
      <c r="H14" s="6" t="s">
        <v>602</v>
      </c>
      <c r="I14" s="6" t="str">
        <f t="shared" si="0"/>
        <v>Very Easy</v>
      </c>
      <c r="J14" s="7">
        <f t="shared" si="1"/>
        <v>1628</v>
      </c>
      <c r="K14" s="12">
        <f t="shared" si="2"/>
        <v>1138.5</v>
      </c>
    </row>
    <row r="15" spans="1:11" x14ac:dyDescent="0.25">
      <c r="A15" s="6">
        <v>14</v>
      </c>
      <c r="B15" s="6" t="s">
        <v>603</v>
      </c>
      <c r="C15" s="6" t="s">
        <v>594</v>
      </c>
      <c r="D15" s="7">
        <v>14800</v>
      </c>
      <c r="E15" s="6">
        <v>15</v>
      </c>
      <c r="F15" s="11">
        <v>0.31</v>
      </c>
      <c r="G15" s="11">
        <v>0.01</v>
      </c>
      <c r="H15" s="6" t="s">
        <v>585</v>
      </c>
      <c r="I15" s="6" t="str">
        <f t="shared" si="0"/>
        <v>Very Easy</v>
      </c>
      <c r="J15" s="7">
        <f t="shared" si="1"/>
        <v>1628</v>
      </c>
      <c r="K15" s="12">
        <f t="shared" si="2"/>
        <v>986.7</v>
      </c>
    </row>
    <row r="16" spans="1:11" x14ac:dyDescent="0.25">
      <c r="A16" s="6">
        <v>15</v>
      </c>
      <c r="B16" s="6" t="s">
        <v>604</v>
      </c>
      <c r="C16" s="6" t="s">
        <v>77</v>
      </c>
      <c r="D16" s="7">
        <v>14800</v>
      </c>
      <c r="E16" s="6">
        <v>13</v>
      </c>
      <c r="F16" s="11">
        <v>0.12</v>
      </c>
      <c r="G16" s="11">
        <v>0.1</v>
      </c>
      <c r="H16" s="6" t="s">
        <v>585</v>
      </c>
      <c r="I16" s="6" t="str">
        <f t="shared" si="0"/>
        <v>Very Easy</v>
      </c>
      <c r="J16" s="7">
        <f t="shared" si="1"/>
        <v>1628</v>
      </c>
      <c r="K16" s="12">
        <f t="shared" si="2"/>
        <v>1138.5</v>
      </c>
    </row>
    <row r="17" spans="1:11" x14ac:dyDescent="0.25">
      <c r="A17" s="6">
        <v>16</v>
      </c>
      <c r="B17" s="6" t="s">
        <v>237</v>
      </c>
      <c r="C17" s="6" t="s">
        <v>605</v>
      </c>
      <c r="D17" s="7">
        <v>12100</v>
      </c>
      <c r="E17" s="6">
        <v>32</v>
      </c>
      <c r="F17" s="11">
        <v>0.14000000000000001</v>
      </c>
      <c r="G17" s="11">
        <v>0.33</v>
      </c>
      <c r="H17" s="6" t="s">
        <v>585</v>
      </c>
      <c r="I17" s="6" t="str">
        <f t="shared" si="0"/>
        <v>Medium</v>
      </c>
      <c r="J17" s="7">
        <f t="shared" si="1"/>
        <v>1331</v>
      </c>
      <c r="K17" s="12">
        <f t="shared" si="2"/>
        <v>378.1</v>
      </c>
    </row>
    <row r="18" spans="1:11" x14ac:dyDescent="0.25">
      <c r="A18" s="6">
        <v>17</v>
      </c>
      <c r="B18" s="6" t="s">
        <v>241</v>
      </c>
      <c r="C18" s="6" t="s">
        <v>605</v>
      </c>
      <c r="D18" s="7">
        <v>12100</v>
      </c>
      <c r="E18" s="6">
        <v>40</v>
      </c>
      <c r="F18" s="11">
        <v>0.17</v>
      </c>
      <c r="G18" s="11">
        <v>0.28999999999999998</v>
      </c>
      <c r="H18" s="6" t="s">
        <v>585</v>
      </c>
      <c r="I18" s="6" t="str">
        <f t="shared" si="0"/>
        <v>Medium</v>
      </c>
      <c r="J18" s="7">
        <f t="shared" si="1"/>
        <v>1331</v>
      </c>
      <c r="K18" s="12">
        <f t="shared" si="2"/>
        <v>302.5</v>
      </c>
    </row>
    <row r="19" spans="1:11" x14ac:dyDescent="0.25">
      <c r="A19" s="6">
        <v>18</v>
      </c>
      <c r="B19" s="6" t="s">
        <v>606</v>
      </c>
      <c r="C19" s="6" t="s">
        <v>210</v>
      </c>
      <c r="D19" s="7">
        <v>12100</v>
      </c>
      <c r="E19" s="6">
        <v>20</v>
      </c>
      <c r="F19" s="11">
        <v>0.08</v>
      </c>
      <c r="G19" s="11">
        <v>7.0000000000000007E-2</v>
      </c>
      <c r="H19" s="6" t="s">
        <v>585</v>
      </c>
      <c r="I19" s="6" t="str">
        <f t="shared" si="0"/>
        <v>Easy</v>
      </c>
      <c r="J19" s="7">
        <f t="shared" si="1"/>
        <v>1331</v>
      </c>
      <c r="K19" s="12">
        <f t="shared" si="2"/>
        <v>605</v>
      </c>
    </row>
    <row r="20" spans="1:11" x14ac:dyDescent="0.25">
      <c r="A20" s="6">
        <v>19</v>
      </c>
      <c r="B20" s="6" t="s">
        <v>607</v>
      </c>
      <c r="C20" s="6" t="s">
        <v>584</v>
      </c>
      <c r="D20" s="7">
        <v>12100</v>
      </c>
      <c r="E20" s="6">
        <v>15</v>
      </c>
      <c r="F20" s="11">
        <v>0.05</v>
      </c>
      <c r="G20" s="11">
        <v>0.03</v>
      </c>
      <c r="H20" s="6" t="s">
        <v>592</v>
      </c>
      <c r="I20" s="6" t="str">
        <f t="shared" si="0"/>
        <v>Very Easy</v>
      </c>
      <c r="J20" s="7">
        <f t="shared" si="1"/>
        <v>1331</v>
      </c>
      <c r="K20" s="12">
        <f t="shared" si="2"/>
        <v>806.7</v>
      </c>
    </row>
    <row r="21" spans="1:11" x14ac:dyDescent="0.25">
      <c r="A21" s="6">
        <v>20</v>
      </c>
      <c r="B21" s="6" t="s">
        <v>608</v>
      </c>
      <c r="C21" s="6" t="s">
        <v>584</v>
      </c>
      <c r="D21" s="7">
        <v>12100</v>
      </c>
      <c r="E21" s="6">
        <v>14</v>
      </c>
      <c r="F21" s="11">
        <v>0.22</v>
      </c>
      <c r="G21" s="11">
        <v>0.33</v>
      </c>
      <c r="H21" s="6" t="s">
        <v>592</v>
      </c>
      <c r="I21" s="6" t="str">
        <f t="shared" si="0"/>
        <v>Very Easy</v>
      </c>
      <c r="J21" s="7">
        <f t="shared" si="1"/>
        <v>1331</v>
      </c>
      <c r="K21" s="12">
        <f t="shared" si="2"/>
        <v>864.3</v>
      </c>
    </row>
    <row r="22" spans="1:11" x14ac:dyDescent="0.25">
      <c r="A22" s="6">
        <v>21</v>
      </c>
      <c r="B22" s="6" t="s">
        <v>326</v>
      </c>
      <c r="C22" s="6" t="s">
        <v>584</v>
      </c>
      <c r="D22" s="7">
        <v>12100</v>
      </c>
      <c r="E22" s="6">
        <v>21</v>
      </c>
      <c r="F22" s="11">
        <v>0.14000000000000001</v>
      </c>
      <c r="G22" s="11">
        <v>0.11</v>
      </c>
      <c r="H22" s="6" t="s">
        <v>585</v>
      </c>
      <c r="I22" s="6" t="str">
        <f t="shared" si="0"/>
        <v>Easy</v>
      </c>
      <c r="J22" s="7">
        <f t="shared" si="1"/>
        <v>1331</v>
      </c>
      <c r="K22" s="12">
        <f t="shared" si="2"/>
        <v>576.20000000000005</v>
      </c>
    </row>
    <row r="23" spans="1:11" x14ac:dyDescent="0.25">
      <c r="A23" s="6">
        <v>22</v>
      </c>
      <c r="B23" s="6" t="s">
        <v>609</v>
      </c>
      <c r="C23" s="6" t="s">
        <v>77</v>
      </c>
      <c r="D23" s="7">
        <v>12100</v>
      </c>
      <c r="E23" s="6">
        <v>37</v>
      </c>
      <c r="F23" s="11">
        <v>0.05</v>
      </c>
      <c r="G23" s="11">
        <v>0.17</v>
      </c>
      <c r="H23" s="6" t="s">
        <v>585</v>
      </c>
      <c r="I23" s="6" t="str">
        <f t="shared" si="0"/>
        <v>Medium</v>
      </c>
      <c r="J23" s="7">
        <f t="shared" si="1"/>
        <v>1331</v>
      </c>
      <c r="K23" s="12">
        <f t="shared" si="2"/>
        <v>327</v>
      </c>
    </row>
    <row r="24" spans="1:11" x14ac:dyDescent="0.25">
      <c r="A24" s="6">
        <v>23</v>
      </c>
      <c r="B24" s="6" t="s">
        <v>610</v>
      </c>
      <c r="C24" s="6" t="s">
        <v>77</v>
      </c>
      <c r="D24" s="7">
        <v>12100</v>
      </c>
      <c r="E24" s="6">
        <v>38</v>
      </c>
      <c r="F24" s="11">
        <v>0.14000000000000001</v>
      </c>
      <c r="G24" s="11">
        <v>0.13</v>
      </c>
      <c r="H24" s="6" t="s">
        <v>585</v>
      </c>
      <c r="I24" s="6" t="str">
        <f t="shared" si="0"/>
        <v>Medium</v>
      </c>
      <c r="J24" s="7">
        <f t="shared" si="1"/>
        <v>1331</v>
      </c>
      <c r="K24" s="12">
        <f t="shared" si="2"/>
        <v>318.39999999999998</v>
      </c>
    </row>
    <row r="25" spans="1:11" x14ac:dyDescent="0.25">
      <c r="A25" s="6">
        <v>24</v>
      </c>
      <c r="B25" s="6" t="s">
        <v>611</v>
      </c>
      <c r="C25" s="6" t="s">
        <v>210</v>
      </c>
      <c r="D25" s="7">
        <v>9900</v>
      </c>
      <c r="E25" s="6">
        <v>33</v>
      </c>
      <c r="F25" s="11">
        <v>0.18</v>
      </c>
      <c r="G25" s="11">
        <v>7.0000000000000007E-2</v>
      </c>
      <c r="H25" s="6" t="s">
        <v>585</v>
      </c>
      <c r="I25" s="6" t="str">
        <f t="shared" si="0"/>
        <v>Medium</v>
      </c>
      <c r="J25" s="7">
        <f t="shared" si="1"/>
        <v>1089</v>
      </c>
      <c r="K25" s="12">
        <f t="shared" si="2"/>
        <v>300</v>
      </c>
    </row>
    <row r="26" spans="1:11" x14ac:dyDescent="0.25">
      <c r="A26" s="6">
        <v>25</v>
      </c>
      <c r="B26" s="6" t="s">
        <v>612</v>
      </c>
      <c r="C26" s="6" t="s">
        <v>170</v>
      </c>
      <c r="D26" s="7">
        <v>9900</v>
      </c>
      <c r="E26" s="6">
        <v>38</v>
      </c>
      <c r="F26" s="11">
        <v>0.15</v>
      </c>
      <c r="G26" s="11">
        <v>0.12</v>
      </c>
      <c r="H26" s="6" t="s">
        <v>585</v>
      </c>
      <c r="I26" s="6" t="str">
        <f t="shared" si="0"/>
        <v>Medium</v>
      </c>
      <c r="J26" s="7">
        <f t="shared" si="1"/>
        <v>1089</v>
      </c>
      <c r="K26" s="12">
        <f t="shared" si="2"/>
        <v>260.5</v>
      </c>
    </row>
    <row r="27" spans="1:11" x14ac:dyDescent="0.25">
      <c r="A27" s="6">
        <v>26</v>
      </c>
      <c r="B27" s="6" t="s">
        <v>613</v>
      </c>
      <c r="C27" s="6" t="s">
        <v>584</v>
      </c>
      <c r="D27" s="7">
        <v>9900</v>
      </c>
      <c r="E27" s="6">
        <v>10</v>
      </c>
      <c r="F27" s="11">
        <v>0.13</v>
      </c>
      <c r="G27" s="11">
        <v>0.09</v>
      </c>
      <c r="H27" s="6" t="s">
        <v>585</v>
      </c>
      <c r="I27" s="6" t="str">
        <f t="shared" si="0"/>
        <v>Very Easy</v>
      </c>
      <c r="J27" s="7">
        <f t="shared" si="1"/>
        <v>1089</v>
      </c>
      <c r="K27" s="12">
        <f t="shared" si="2"/>
        <v>990</v>
      </c>
    </row>
    <row r="28" spans="1:11" x14ac:dyDescent="0.25">
      <c r="A28" s="6">
        <v>27</v>
      </c>
      <c r="B28" s="6" t="s">
        <v>162</v>
      </c>
      <c r="C28" s="6" t="s">
        <v>605</v>
      </c>
      <c r="D28" s="7">
        <v>8100</v>
      </c>
      <c r="E28" s="6">
        <v>29</v>
      </c>
      <c r="F28" s="11">
        <v>0.1</v>
      </c>
      <c r="G28" s="11">
        <v>0.25</v>
      </c>
      <c r="H28" s="6" t="s">
        <v>585</v>
      </c>
      <c r="I28" s="6" t="str">
        <f t="shared" si="0"/>
        <v>Medium</v>
      </c>
      <c r="J28" s="7">
        <f t="shared" si="1"/>
        <v>891</v>
      </c>
      <c r="K28" s="12">
        <f t="shared" si="2"/>
        <v>279.3</v>
      </c>
    </row>
    <row r="29" spans="1:11" x14ac:dyDescent="0.25">
      <c r="A29" s="6">
        <v>28</v>
      </c>
      <c r="B29" s="6" t="s">
        <v>614</v>
      </c>
      <c r="C29" s="6" t="s">
        <v>210</v>
      </c>
      <c r="D29" s="7">
        <v>8100</v>
      </c>
      <c r="E29" s="6">
        <v>10</v>
      </c>
      <c r="F29" s="11">
        <v>0.13</v>
      </c>
      <c r="G29" s="11">
        <v>0.11</v>
      </c>
      <c r="H29" s="6" t="s">
        <v>585</v>
      </c>
      <c r="I29" s="6" t="str">
        <f t="shared" si="0"/>
        <v>Very Easy</v>
      </c>
      <c r="J29" s="7">
        <f t="shared" si="1"/>
        <v>891</v>
      </c>
      <c r="K29" s="12">
        <f t="shared" si="2"/>
        <v>810</v>
      </c>
    </row>
    <row r="30" spans="1:11" x14ac:dyDescent="0.25">
      <c r="A30" s="6">
        <v>29</v>
      </c>
      <c r="B30" s="6" t="s">
        <v>615</v>
      </c>
      <c r="C30" s="6" t="s">
        <v>584</v>
      </c>
      <c r="D30" s="7">
        <v>8100</v>
      </c>
      <c r="E30" s="6">
        <v>20</v>
      </c>
      <c r="F30" s="11">
        <v>7.0000000000000007E-2</v>
      </c>
      <c r="G30" s="11">
        <v>0.02</v>
      </c>
      <c r="H30" s="6" t="s">
        <v>602</v>
      </c>
      <c r="I30" s="6" t="str">
        <f t="shared" si="0"/>
        <v>Easy</v>
      </c>
      <c r="J30" s="7">
        <f t="shared" si="1"/>
        <v>891</v>
      </c>
      <c r="K30" s="12">
        <f t="shared" si="2"/>
        <v>405</v>
      </c>
    </row>
    <row r="31" spans="1:11" x14ac:dyDescent="0.25">
      <c r="A31" s="6">
        <v>30</v>
      </c>
      <c r="B31" s="6" t="s">
        <v>255</v>
      </c>
      <c r="C31" s="6" t="s">
        <v>584</v>
      </c>
      <c r="D31" s="7">
        <v>8100</v>
      </c>
      <c r="E31" s="6">
        <v>20</v>
      </c>
      <c r="F31" s="11">
        <v>0.12</v>
      </c>
      <c r="G31" s="11">
        <v>0.27</v>
      </c>
      <c r="H31" s="6" t="s">
        <v>616</v>
      </c>
      <c r="I31" s="6" t="str">
        <f t="shared" si="0"/>
        <v>Easy</v>
      </c>
      <c r="J31" s="7">
        <f t="shared" si="1"/>
        <v>891</v>
      </c>
      <c r="K31" s="12">
        <f t="shared" si="2"/>
        <v>405</v>
      </c>
    </row>
    <row r="32" spans="1:11" x14ac:dyDescent="0.25">
      <c r="A32" s="6">
        <v>31</v>
      </c>
      <c r="B32" s="6" t="s">
        <v>617</v>
      </c>
      <c r="C32" s="6" t="s">
        <v>584</v>
      </c>
      <c r="D32" s="7">
        <v>8100</v>
      </c>
      <c r="E32" s="6">
        <v>25</v>
      </c>
      <c r="F32" s="11">
        <v>0.05</v>
      </c>
      <c r="G32" s="11">
        <v>0.03</v>
      </c>
      <c r="H32" s="6" t="s">
        <v>616</v>
      </c>
      <c r="I32" s="6" t="str">
        <f t="shared" si="0"/>
        <v>Easy</v>
      </c>
      <c r="J32" s="7">
        <f t="shared" si="1"/>
        <v>891</v>
      </c>
      <c r="K32" s="12">
        <f t="shared" si="2"/>
        <v>324</v>
      </c>
    </row>
    <row r="33" spans="1:11" x14ac:dyDescent="0.25">
      <c r="A33" s="6">
        <v>32</v>
      </c>
      <c r="B33" s="6" t="s">
        <v>618</v>
      </c>
      <c r="C33" s="6" t="s">
        <v>584</v>
      </c>
      <c r="D33" s="7">
        <v>8100</v>
      </c>
      <c r="E33" s="6">
        <v>14</v>
      </c>
      <c r="F33" s="11">
        <v>0.11</v>
      </c>
      <c r="G33" s="11">
        <v>0.15</v>
      </c>
      <c r="H33" s="6" t="s">
        <v>602</v>
      </c>
      <c r="I33" s="6" t="str">
        <f t="shared" si="0"/>
        <v>Very Easy</v>
      </c>
      <c r="J33" s="7">
        <f t="shared" si="1"/>
        <v>891</v>
      </c>
      <c r="K33" s="12">
        <f t="shared" si="2"/>
        <v>578.6</v>
      </c>
    </row>
    <row r="34" spans="1:11" x14ac:dyDescent="0.25">
      <c r="A34" s="6">
        <v>33</v>
      </c>
      <c r="B34" s="6" t="s">
        <v>551</v>
      </c>
      <c r="C34" s="6" t="s">
        <v>584</v>
      </c>
      <c r="D34" s="7">
        <v>8100</v>
      </c>
      <c r="E34" s="6">
        <v>20</v>
      </c>
      <c r="F34" s="11">
        <v>0.1</v>
      </c>
      <c r="G34" s="11">
        <v>0.13</v>
      </c>
      <c r="H34" s="6" t="s">
        <v>602</v>
      </c>
      <c r="I34" s="6" t="str">
        <f t="shared" si="0"/>
        <v>Easy</v>
      </c>
      <c r="J34" s="7">
        <f t="shared" si="1"/>
        <v>891</v>
      </c>
      <c r="K34" s="12">
        <f t="shared" si="2"/>
        <v>405</v>
      </c>
    </row>
    <row r="35" spans="1:11" x14ac:dyDescent="0.25">
      <c r="A35" s="6">
        <v>34</v>
      </c>
      <c r="B35" s="6" t="s">
        <v>619</v>
      </c>
      <c r="C35" s="6" t="s">
        <v>584</v>
      </c>
      <c r="D35" s="7">
        <v>8100</v>
      </c>
      <c r="E35" s="6">
        <v>20</v>
      </c>
      <c r="F35" s="11">
        <v>0.09</v>
      </c>
      <c r="G35" s="11">
        <v>0.2</v>
      </c>
      <c r="H35" s="6" t="s">
        <v>585</v>
      </c>
      <c r="I35" s="6" t="str">
        <f t="shared" si="0"/>
        <v>Easy</v>
      </c>
      <c r="J35" s="7">
        <f t="shared" si="1"/>
        <v>891</v>
      </c>
      <c r="K35" s="12">
        <f t="shared" si="2"/>
        <v>405</v>
      </c>
    </row>
    <row r="36" spans="1:11" x14ac:dyDescent="0.25">
      <c r="A36" s="6">
        <v>35</v>
      </c>
      <c r="B36" s="6" t="s">
        <v>620</v>
      </c>
      <c r="C36" s="6" t="s">
        <v>170</v>
      </c>
      <c r="D36" s="7">
        <v>8100</v>
      </c>
      <c r="E36" s="6">
        <v>31</v>
      </c>
      <c r="F36" s="11">
        <v>0.06</v>
      </c>
      <c r="G36" s="11">
        <v>0.09</v>
      </c>
      <c r="H36" s="6" t="s">
        <v>585</v>
      </c>
      <c r="I36" s="6" t="str">
        <f t="shared" si="0"/>
        <v>Medium</v>
      </c>
      <c r="J36" s="7">
        <f t="shared" si="1"/>
        <v>891</v>
      </c>
      <c r="K36" s="12">
        <f t="shared" si="2"/>
        <v>261.3</v>
      </c>
    </row>
    <row r="37" spans="1:11" x14ac:dyDescent="0.25">
      <c r="A37" s="6">
        <v>36</v>
      </c>
      <c r="B37" s="6" t="s">
        <v>621</v>
      </c>
      <c r="C37" s="6" t="s">
        <v>77</v>
      </c>
      <c r="D37" s="7">
        <v>8100</v>
      </c>
      <c r="E37" s="6">
        <v>14</v>
      </c>
      <c r="F37" s="11">
        <v>0.03</v>
      </c>
      <c r="G37" s="11">
        <v>0.04</v>
      </c>
      <c r="H37" s="6" t="s">
        <v>585</v>
      </c>
      <c r="I37" s="6" t="str">
        <f t="shared" si="0"/>
        <v>Very Easy</v>
      </c>
      <c r="J37" s="7">
        <f t="shared" si="1"/>
        <v>891</v>
      </c>
      <c r="K37" s="12">
        <f t="shared" si="2"/>
        <v>578.6</v>
      </c>
    </row>
    <row r="38" spans="1:11" x14ac:dyDescent="0.25">
      <c r="A38" s="6">
        <v>37</v>
      </c>
      <c r="B38" s="6" t="s">
        <v>622</v>
      </c>
      <c r="C38" s="6" t="s">
        <v>77</v>
      </c>
      <c r="D38" s="7">
        <v>8100</v>
      </c>
      <c r="E38" s="6">
        <v>10</v>
      </c>
      <c r="F38" s="11">
        <v>0.08</v>
      </c>
      <c r="G38" s="11">
        <v>0.03</v>
      </c>
      <c r="H38" s="6" t="s">
        <v>602</v>
      </c>
      <c r="I38" s="6" t="str">
        <f t="shared" si="0"/>
        <v>Very Easy</v>
      </c>
      <c r="J38" s="7">
        <f t="shared" si="1"/>
        <v>891</v>
      </c>
      <c r="K38" s="12">
        <f t="shared" si="2"/>
        <v>810</v>
      </c>
    </row>
    <row r="39" spans="1:11" x14ac:dyDescent="0.25">
      <c r="A39" s="6">
        <v>38</v>
      </c>
      <c r="B39" s="6" t="s">
        <v>623</v>
      </c>
      <c r="C39" s="6" t="s">
        <v>624</v>
      </c>
      <c r="D39" s="7">
        <v>8100</v>
      </c>
      <c r="E39" s="6">
        <v>24</v>
      </c>
      <c r="F39" s="11">
        <v>0.02</v>
      </c>
      <c r="G39" s="11">
        <v>0.39</v>
      </c>
      <c r="H39" s="6" t="s">
        <v>596</v>
      </c>
      <c r="I39" s="6" t="str">
        <f t="shared" si="0"/>
        <v>Easy</v>
      </c>
      <c r="J39" s="7">
        <f t="shared" si="1"/>
        <v>891</v>
      </c>
      <c r="K39" s="12">
        <f t="shared" si="2"/>
        <v>337.5</v>
      </c>
    </row>
    <row r="40" spans="1:11" x14ac:dyDescent="0.25">
      <c r="A40" s="6">
        <v>39</v>
      </c>
      <c r="B40" s="6" t="s">
        <v>625</v>
      </c>
      <c r="C40" s="6" t="s">
        <v>605</v>
      </c>
      <c r="D40" s="7">
        <v>6600</v>
      </c>
      <c r="E40" s="6">
        <v>30</v>
      </c>
      <c r="F40" s="11">
        <v>0.16</v>
      </c>
      <c r="G40" s="11">
        <v>0.12</v>
      </c>
      <c r="H40" s="6" t="s">
        <v>585</v>
      </c>
      <c r="I40" s="6" t="str">
        <f t="shared" si="0"/>
        <v>Medium</v>
      </c>
      <c r="J40" s="7">
        <f t="shared" si="1"/>
        <v>726</v>
      </c>
      <c r="K40" s="12">
        <f t="shared" si="2"/>
        <v>220</v>
      </c>
    </row>
    <row r="41" spans="1:11" x14ac:dyDescent="0.25">
      <c r="A41" s="6">
        <v>40</v>
      </c>
      <c r="B41" s="6" t="s">
        <v>626</v>
      </c>
      <c r="C41" s="6" t="s">
        <v>210</v>
      </c>
      <c r="D41" s="7">
        <v>6600</v>
      </c>
      <c r="E41" s="6">
        <v>18</v>
      </c>
      <c r="F41" s="11">
        <v>0.12</v>
      </c>
      <c r="G41" s="11">
        <v>0.18</v>
      </c>
      <c r="H41" s="6" t="s">
        <v>585</v>
      </c>
      <c r="I41" s="6" t="str">
        <f t="shared" si="0"/>
        <v>Easy</v>
      </c>
      <c r="J41" s="7">
        <f t="shared" si="1"/>
        <v>726</v>
      </c>
      <c r="K41" s="12">
        <f t="shared" si="2"/>
        <v>366.7</v>
      </c>
    </row>
    <row r="42" spans="1:11" x14ac:dyDescent="0.25">
      <c r="A42" s="6">
        <v>41</v>
      </c>
      <c r="B42" s="6" t="s">
        <v>140</v>
      </c>
      <c r="C42" s="6" t="s">
        <v>170</v>
      </c>
      <c r="D42" s="7">
        <v>6600</v>
      </c>
      <c r="E42" s="6">
        <v>12</v>
      </c>
      <c r="F42" s="11">
        <v>0.04</v>
      </c>
      <c r="G42" s="11">
        <v>0.15</v>
      </c>
      <c r="H42" s="6" t="s">
        <v>602</v>
      </c>
      <c r="I42" s="6" t="str">
        <f t="shared" si="0"/>
        <v>Very Easy</v>
      </c>
      <c r="J42" s="7">
        <f t="shared" si="1"/>
        <v>726</v>
      </c>
      <c r="K42" s="12">
        <f t="shared" si="2"/>
        <v>550</v>
      </c>
    </row>
    <row r="43" spans="1:11" x14ac:dyDescent="0.25">
      <c r="A43" s="6">
        <v>42</v>
      </c>
      <c r="B43" s="6" t="s">
        <v>627</v>
      </c>
      <c r="C43" s="6" t="s">
        <v>170</v>
      </c>
      <c r="D43" s="7">
        <v>6600</v>
      </c>
      <c r="E43" s="6">
        <v>16</v>
      </c>
      <c r="F43" s="11">
        <v>0.19</v>
      </c>
      <c r="G43" s="11">
        <v>0.22</v>
      </c>
      <c r="H43" s="6" t="s">
        <v>585</v>
      </c>
      <c r="I43" s="6" t="str">
        <f t="shared" si="0"/>
        <v>Easy</v>
      </c>
      <c r="J43" s="7">
        <f t="shared" si="1"/>
        <v>726</v>
      </c>
      <c r="K43" s="12">
        <f t="shared" si="2"/>
        <v>412.5</v>
      </c>
    </row>
    <row r="44" spans="1:11" x14ac:dyDescent="0.25">
      <c r="A44" s="6">
        <v>43</v>
      </c>
      <c r="B44" s="6" t="s">
        <v>628</v>
      </c>
      <c r="C44" s="6" t="s">
        <v>584</v>
      </c>
      <c r="D44" s="7">
        <v>6600</v>
      </c>
      <c r="E44" s="6">
        <v>21</v>
      </c>
      <c r="F44" s="11">
        <v>0.13</v>
      </c>
      <c r="G44" s="11">
        <v>0.04</v>
      </c>
      <c r="H44" s="6" t="s">
        <v>585</v>
      </c>
      <c r="I44" s="6" t="str">
        <f t="shared" si="0"/>
        <v>Easy</v>
      </c>
      <c r="J44" s="7">
        <f t="shared" si="1"/>
        <v>726</v>
      </c>
      <c r="K44" s="12">
        <f t="shared" si="2"/>
        <v>314.3</v>
      </c>
    </row>
    <row r="45" spans="1:11" x14ac:dyDescent="0.25">
      <c r="A45" s="6">
        <v>44</v>
      </c>
      <c r="B45" s="6" t="s">
        <v>629</v>
      </c>
      <c r="C45" s="6" t="s">
        <v>594</v>
      </c>
      <c r="D45" s="7">
        <v>6600</v>
      </c>
      <c r="E45" s="6">
        <v>37</v>
      </c>
      <c r="F45" s="11">
        <v>0.14000000000000001</v>
      </c>
      <c r="G45" s="11">
        <v>0.03</v>
      </c>
      <c r="H45" s="6" t="s">
        <v>585</v>
      </c>
      <c r="I45" s="6" t="str">
        <f t="shared" si="0"/>
        <v>Medium</v>
      </c>
      <c r="J45" s="7">
        <f t="shared" si="1"/>
        <v>726</v>
      </c>
      <c r="K45" s="12">
        <f t="shared" si="2"/>
        <v>178.4</v>
      </c>
    </row>
    <row r="46" spans="1:11" x14ac:dyDescent="0.25">
      <c r="A46" s="6">
        <v>45</v>
      </c>
      <c r="B46" s="6" t="s">
        <v>630</v>
      </c>
      <c r="C46" s="6" t="s">
        <v>584</v>
      </c>
      <c r="D46" s="7">
        <v>6600</v>
      </c>
      <c r="E46" s="6">
        <v>12</v>
      </c>
      <c r="F46" s="11">
        <v>0.04</v>
      </c>
      <c r="G46" s="11">
        <v>0.04</v>
      </c>
      <c r="H46" s="6" t="s">
        <v>602</v>
      </c>
      <c r="I46" s="6" t="str">
        <f t="shared" si="0"/>
        <v>Very Easy</v>
      </c>
      <c r="J46" s="7">
        <f t="shared" si="1"/>
        <v>726</v>
      </c>
      <c r="K46" s="12">
        <f t="shared" si="2"/>
        <v>550</v>
      </c>
    </row>
    <row r="47" spans="1:11" x14ac:dyDescent="0.25">
      <c r="A47" s="6">
        <v>46</v>
      </c>
      <c r="B47" s="6" t="s">
        <v>631</v>
      </c>
      <c r="C47" s="6" t="s">
        <v>584</v>
      </c>
      <c r="D47" s="7">
        <v>6600</v>
      </c>
      <c r="E47" s="6">
        <v>14</v>
      </c>
      <c r="F47" s="11">
        <v>0.13</v>
      </c>
      <c r="G47" s="11">
        <v>0.09</v>
      </c>
      <c r="H47" s="6" t="s">
        <v>592</v>
      </c>
      <c r="I47" s="6" t="str">
        <f t="shared" si="0"/>
        <v>Very Easy</v>
      </c>
      <c r="J47" s="7">
        <f t="shared" si="1"/>
        <v>726</v>
      </c>
      <c r="K47" s="12">
        <f t="shared" si="2"/>
        <v>471.4</v>
      </c>
    </row>
    <row r="48" spans="1:11" x14ac:dyDescent="0.25">
      <c r="A48" s="6">
        <v>47</v>
      </c>
      <c r="B48" s="6" t="s">
        <v>632</v>
      </c>
      <c r="C48" s="6" t="s">
        <v>584</v>
      </c>
      <c r="D48" s="7">
        <v>6600</v>
      </c>
      <c r="E48" s="6">
        <v>14</v>
      </c>
      <c r="F48" s="11">
        <v>0.21</v>
      </c>
      <c r="G48" s="11">
        <v>0.13</v>
      </c>
      <c r="H48" s="6" t="s">
        <v>585</v>
      </c>
      <c r="I48" s="6" t="str">
        <f t="shared" si="0"/>
        <v>Very Easy</v>
      </c>
      <c r="J48" s="7">
        <f t="shared" si="1"/>
        <v>726</v>
      </c>
      <c r="K48" s="12">
        <f t="shared" si="2"/>
        <v>471.4</v>
      </c>
    </row>
    <row r="49" spans="1:11" x14ac:dyDescent="0.25">
      <c r="A49" s="6">
        <v>48</v>
      </c>
      <c r="B49" s="6" t="s">
        <v>633</v>
      </c>
      <c r="C49" s="6" t="s">
        <v>77</v>
      </c>
      <c r="D49" s="7">
        <v>6600</v>
      </c>
      <c r="E49" s="6">
        <v>23</v>
      </c>
      <c r="F49" s="11">
        <v>0.11</v>
      </c>
      <c r="G49" s="11">
        <v>0.17</v>
      </c>
      <c r="H49" s="6" t="s">
        <v>592</v>
      </c>
      <c r="I49" s="6" t="str">
        <f t="shared" si="0"/>
        <v>Easy</v>
      </c>
      <c r="J49" s="7">
        <f t="shared" si="1"/>
        <v>726</v>
      </c>
      <c r="K49" s="12">
        <f t="shared" si="2"/>
        <v>287</v>
      </c>
    </row>
    <row r="50" spans="1:11" x14ac:dyDescent="0.25">
      <c r="A50" s="6">
        <v>49</v>
      </c>
      <c r="B50" s="6" t="s">
        <v>109</v>
      </c>
      <c r="C50" s="6" t="s">
        <v>77</v>
      </c>
      <c r="D50" s="7">
        <v>6600</v>
      </c>
      <c r="E50" s="6">
        <v>13</v>
      </c>
      <c r="F50" s="11">
        <v>0.03</v>
      </c>
      <c r="G50" s="11">
        <v>0.14000000000000001</v>
      </c>
      <c r="H50" s="6" t="s">
        <v>602</v>
      </c>
      <c r="I50" s="6" t="str">
        <f t="shared" si="0"/>
        <v>Very Easy</v>
      </c>
      <c r="J50" s="7">
        <f t="shared" si="1"/>
        <v>726</v>
      </c>
      <c r="K50" s="12">
        <f t="shared" si="2"/>
        <v>507.7</v>
      </c>
    </row>
    <row r="51" spans="1:11" x14ac:dyDescent="0.25">
      <c r="A51" s="6">
        <v>50</v>
      </c>
      <c r="B51" s="6" t="s">
        <v>634</v>
      </c>
      <c r="C51" s="6" t="s">
        <v>77</v>
      </c>
      <c r="D51" s="7">
        <v>6600</v>
      </c>
      <c r="E51" s="6">
        <v>24</v>
      </c>
      <c r="F51" s="11">
        <v>0.08</v>
      </c>
      <c r="G51" s="11">
        <v>0.02</v>
      </c>
      <c r="H51" s="6" t="s">
        <v>585</v>
      </c>
      <c r="I51" s="6" t="str">
        <f t="shared" si="0"/>
        <v>Easy</v>
      </c>
      <c r="J51" s="7">
        <f t="shared" si="1"/>
        <v>726</v>
      </c>
      <c r="K51" s="12">
        <f t="shared" si="2"/>
        <v>275</v>
      </c>
    </row>
    <row r="52" spans="1:11" x14ac:dyDescent="0.25">
      <c r="A52" s="6">
        <v>51</v>
      </c>
      <c r="B52" s="6" t="s">
        <v>635</v>
      </c>
      <c r="C52" s="6" t="s">
        <v>77</v>
      </c>
      <c r="D52" s="7">
        <v>6600</v>
      </c>
      <c r="E52" s="6">
        <v>20</v>
      </c>
      <c r="F52" s="11">
        <v>0.22</v>
      </c>
      <c r="G52" s="11">
        <v>0.23</v>
      </c>
      <c r="H52" s="6" t="s">
        <v>602</v>
      </c>
      <c r="I52" s="6" t="str">
        <f t="shared" si="0"/>
        <v>Easy</v>
      </c>
      <c r="J52" s="7">
        <f t="shared" si="1"/>
        <v>726</v>
      </c>
      <c r="K52" s="12">
        <f t="shared" si="2"/>
        <v>330</v>
      </c>
    </row>
    <row r="53" spans="1:11" x14ac:dyDescent="0.25">
      <c r="A53" s="6">
        <v>52</v>
      </c>
      <c r="B53" s="6" t="s">
        <v>532</v>
      </c>
      <c r="C53" s="6" t="s">
        <v>77</v>
      </c>
      <c r="D53" s="7">
        <v>6600</v>
      </c>
      <c r="E53" s="6">
        <v>17</v>
      </c>
      <c r="F53" s="11">
        <v>0.13</v>
      </c>
      <c r="G53" s="11">
        <v>0.19</v>
      </c>
      <c r="H53" s="6" t="s">
        <v>585</v>
      </c>
      <c r="I53" s="6" t="str">
        <f t="shared" si="0"/>
        <v>Easy</v>
      </c>
      <c r="J53" s="7">
        <f t="shared" si="1"/>
        <v>726</v>
      </c>
      <c r="K53" s="12">
        <f t="shared" si="2"/>
        <v>388.2</v>
      </c>
    </row>
    <row r="54" spans="1:11" x14ac:dyDescent="0.25">
      <c r="A54" s="6">
        <v>53</v>
      </c>
      <c r="B54" s="6" t="s">
        <v>636</v>
      </c>
      <c r="C54" s="6" t="s">
        <v>77</v>
      </c>
      <c r="D54" s="7">
        <v>6600</v>
      </c>
      <c r="E54" s="6">
        <v>23</v>
      </c>
      <c r="F54" s="11">
        <v>0.14000000000000001</v>
      </c>
      <c r="G54" s="11">
        <v>0.34</v>
      </c>
      <c r="H54" s="6" t="s">
        <v>585</v>
      </c>
      <c r="I54" s="6" t="str">
        <f t="shared" si="0"/>
        <v>Easy</v>
      </c>
      <c r="J54" s="7">
        <f t="shared" si="1"/>
        <v>726</v>
      </c>
      <c r="K54" s="12">
        <f t="shared" si="2"/>
        <v>287</v>
      </c>
    </row>
    <row r="55" spans="1:11" x14ac:dyDescent="0.25">
      <c r="A55" s="6">
        <v>54</v>
      </c>
      <c r="B55" s="6" t="s">
        <v>637</v>
      </c>
      <c r="C55" s="6" t="s">
        <v>624</v>
      </c>
      <c r="D55" s="7">
        <v>6600</v>
      </c>
      <c r="E55" s="6">
        <v>36</v>
      </c>
      <c r="F55" s="11">
        <v>0.05</v>
      </c>
      <c r="G55" s="11">
        <v>0.06</v>
      </c>
      <c r="H55" s="6" t="s">
        <v>585</v>
      </c>
      <c r="I55" s="6" t="str">
        <f t="shared" si="0"/>
        <v>Medium</v>
      </c>
      <c r="J55" s="7">
        <f t="shared" si="1"/>
        <v>726</v>
      </c>
      <c r="K55" s="12">
        <f t="shared" si="2"/>
        <v>183.3</v>
      </c>
    </row>
    <row r="56" spans="1:11" x14ac:dyDescent="0.25">
      <c r="A56" s="6">
        <v>55</v>
      </c>
      <c r="B56" s="6" t="s">
        <v>638</v>
      </c>
      <c r="C56" s="6" t="s">
        <v>639</v>
      </c>
      <c r="D56" s="7">
        <v>6600</v>
      </c>
      <c r="E56" s="6">
        <v>19</v>
      </c>
      <c r="F56" s="11">
        <v>0.19</v>
      </c>
      <c r="G56" s="11">
        <v>0.21</v>
      </c>
      <c r="H56" s="6" t="s">
        <v>596</v>
      </c>
      <c r="I56" s="6" t="str">
        <f t="shared" si="0"/>
        <v>Easy</v>
      </c>
      <c r="J56" s="7">
        <f t="shared" si="1"/>
        <v>726</v>
      </c>
      <c r="K56" s="12">
        <f t="shared" si="2"/>
        <v>347.4</v>
      </c>
    </row>
    <row r="57" spans="1:11" x14ac:dyDescent="0.25">
      <c r="A57" s="6">
        <v>56</v>
      </c>
      <c r="B57" s="6" t="s">
        <v>301</v>
      </c>
      <c r="C57" s="6" t="s">
        <v>639</v>
      </c>
      <c r="D57" s="7">
        <v>6600</v>
      </c>
      <c r="E57" s="6">
        <v>31</v>
      </c>
      <c r="F57" s="11">
        <v>0.03</v>
      </c>
      <c r="G57" s="11">
        <v>0.28000000000000003</v>
      </c>
      <c r="H57" s="6" t="s">
        <v>596</v>
      </c>
      <c r="I57" s="6" t="str">
        <f t="shared" si="0"/>
        <v>Medium</v>
      </c>
      <c r="J57" s="7">
        <f t="shared" si="1"/>
        <v>726</v>
      </c>
      <c r="K57" s="12">
        <f t="shared" si="2"/>
        <v>212.9</v>
      </c>
    </row>
    <row r="58" spans="1:11" x14ac:dyDescent="0.25">
      <c r="A58" s="6">
        <v>57</v>
      </c>
      <c r="B58" s="6" t="s">
        <v>640</v>
      </c>
      <c r="C58" s="6" t="s">
        <v>639</v>
      </c>
      <c r="D58" s="7">
        <v>6600</v>
      </c>
      <c r="E58" s="6">
        <v>14</v>
      </c>
      <c r="F58" s="11">
        <v>0.03</v>
      </c>
      <c r="G58" s="11">
        <v>0.33</v>
      </c>
      <c r="H58" s="6" t="s">
        <v>596</v>
      </c>
      <c r="I58" s="6" t="str">
        <f t="shared" si="0"/>
        <v>Very Easy</v>
      </c>
      <c r="J58" s="7">
        <f t="shared" si="1"/>
        <v>726</v>
      </c>
      <c r="K58" s="12">
        <f t="shared" si="2"/>
        <v>471.4</v>
      </c>
    </row>
    <row r="59" spans="1:11" x14ac:dyDescent="0.25">
      <c r="A59" s="6">
        <v>58</v>
      </c>
      <c r="B59" s="6" t="s">
        <v>641</v>
      </c>
      <c r="C59" s="6" t="s">
        <v>639</v>
      </c>
      <c r="D59" s="7">
        <v>6600</v>
      </c>
      <c r="E59" s="6">
        <v>12</v>
      </c>
      <c r="F59" s="11">
        <v>0.02</v>
      </c>
      <c r="G59" s="11">
        <v>0.1</v>
      </c>
      <c r="H59" s="6" t="s">
        <v>602</v>
      </c>
      <c r="I59" s="6" t="str">
        <f t="shared" si="0"/>
        <v>Very Easy</v>
      </c>
      <c r="J59" s="7">
        <f t="shared" si="1"/>
        <v>726</v>
      </c>
      <c r="K59" s="12">
        <f t="shared" si="2"/>
        <v>550</v>
      </c>
    </row>
    <row r="60" spans="1:11" x14ac:dyDescent="0.25">
      <c r="A60" s="6">
        <v>59</v>
      </c>
      <c r="B60" s="6" t="s">
        <v>642</v>
      </c>
      <c r="C60" s="6" t="s">
        <v>40</v>
      </c>
      <c r="D60" s="7">
        <v>6600</v>
      </c>
      <c r="E60" s="6">
        <v>19</v>
      </c>
      <c r="F60" s="11">
        <v>0.13</v>
      </c>
      <c r="G60" s="11">
        <v>0.09</v>
      </c>
      <c r="H60" s="6" t="s">
        <v>589</v>
      </c>
      <c r="I60" s="6" t="str">
        <f t="shared" si="0"/>
        <v>Easy</v>
      </c>
      <c r="J60" s="7">
        <f t="shared" si="1"/>
        <v>726</v>
      </c>
      <c r="K60" s="12">
        <f t="shared" si="2"/>
        <v>347.4</v>
      </c>
    </row>
    <row r="61" spans="1:11" x14ac:dyDescent="0.25">
      <c r="A61" s="6">
        <v>60</v>
      </c>
      <c r="B61" s="6" t="s">
        <v>277</v>
      </c>
      <c r="C61" s="6" t="s">
        <v>605</v>
      </c>
      <c r="D61" s="7">
        <v>5400</v>
      </c>
      <c r="E61" s="6">
        <v>22</v>
      </c>
      <c r="F61" s="11">
        <v>0.12</v>
      </c>
      <c r="G61" s="11">
        <v>0.15</v>
      </c>
      <c r="H61" s="6" t="s">
        <v>585</v>
      </c>
      <c r="I61" s="6" t="str">
        <f t="shared" si="0"/>
        <v>Easy</v>
      </c>
      <c r="J61" s="7">
        <f t="shared" si="1"/>
        <v>594</v>
      </c>
      <c r="K61" s="12">
        <f t="shared" si="2"/>
        <v>245.5</v>
      </c>
    </row>
    <row r="62" spans="1:11" x14ac:dyDescent="0.25">
      <c r="A62" s="6">
        <v>61</v>
      </c>
      <c r="B62" s="6" t="s">
        <v>643</v>
      </c>
      <c r="C62" s="6" t="s">
        <v>644</v>
      </c>
      <c r="D62" s="7">
        <v>5400</v>
      </c>
      <c r="E62" s="6">
        <v>19</v>
      </c>
      <c r="F62" s="11">
        <v>0.04</v>
      </c>
      <c r="G62" s="11">
        <v>0.06</v>
      </c>
      <c r="H62" s="6" t="s">
        <v>585</v>
      </c>
      <c r="I62" s="6" t="str">
        <f t="shared" si="0"/>
        <v>Easy</v>
      </c>
      <c r="J62" s="7">
        <f t="shared" si="1"/>
        <v>594</v>
      </c>
      <c r="K62" s="12">
        <f t="shared" si="2"/>
        <v>284.2</v>
      </c>
    </row>
    <row r="63" spans="1:11" x14ac:dyDescent="0.25">
      <c r="A63" s="6">
        <v>62</v>
      </c>
      <c r="B63" s="6" t="s">
        <v>645</v>
      </c>
      <c r="C63" s="6" t="s">
        <v>170</v>
      </c>
      <c r="D63" s="7">
        <v>5400</v>
      </c>
      <c r="E63" s="6">
        <v>25</v>
      </c>
      <c r="F63" s="11">
        <v>7.0000000000000007E-2</v>
      </c>
      <c r="G63" s="11">
        <v>0.14000000000000001</v>
      </c>
      <c r="H63" s="6" t="s">
        <v>596</v>
      </c>
      <c r="I63" s="6" t="str">
        <f t="shared" si="0"/>
        <v>Easy</v>
      </c>
      <c r="J63" s="7">
        <f t="shared" si="1"/>
        <v>594</v>
      </c>
      <c r="K63" s="12">
        <f t="shared" si="2"/>
        <v>216</v>
      </c>
    </row>
    <row r="64" spans="1:11" x14ac:dyDescent="0.25">
      <c r="A64" s="6">
        <v>63</v>
      </c>
      <c r="B64" s="6" t="s">
        <v>646</v>
      </c>
      <c r="C64" s="6" t="s">
        <v>170</v>
      </c>
      <c r="D64" s="7">
        <v>5400</v>
      </c>
      <c r="E64" s="6">
        <v>20</v>
      </c>
      <c r="F64" s="11">
        <v>0.13</v>
      </c>
      <c r="G64" s="11">
        <v>0.12</v>
      </c>
      <c r="H64" s="6" t="s">
        <v>602</v>
      </c>
      <c r="I64" s="6" t="str">
        <f t="shared" si="0"/>
        <v>Easy</v>
      </c>
      <c r="J64" s="7">
        <f t="shared" si="1"/>
        <v>594</v>
      </c>
      <c r="K64" s="12">
        <f t="shared" si="2"/>
        <v>270</v>
      </c>
    </row>
    <row r="65" spans="1:11" x14ac:dyDescent="0.25">
      <c r="A65" s="6">
        <v>64</v>
      </c>
      <c r="B65" s="6" t="s">
        <v>567</v>
      </c>
      <c r="C65" s="6" t="s">
        <v>170</v>
      </c>
      <c r="D65" s="7">
        <v>5400</v>
      </c>
      <c r="E65" s="6">
        <v>17</v>
      </c>
      <c r="F65" s="11">
        <v>0.18</v>
      </c>
      <c r="G65" s="11">
        <v>0.17</v>
      </c>
      <c r="H65" s="6" t="s">
        <v>585</v>
      </c>
      <c r="I65" s="6" t="str">
        <f t="shared" si="0"/>
        <v>Easy</v>
      </c>
      <c r="J65" s="7">
        <f t="shared" si="1"/>
        <v>594</v>
      </c>
      <c r="K65" s="12">
        <f t="shared" si="2"/>
        <v>317.60000000000002</v>
      </c>
    </row>
    <row r="66" spans="1:11" x14ac:dyDescent="0.25">
      <c r="A66" s="6">
        <v>65</v>
      </c>
      <c r="B66" s="6" t="s">
        <v>647</v>
      </c>
      <c r="C66" s="6" t="s">
        <v>648</v>
      </c>
      <c r="D66" s="7">
        <v>5400</v>
      </c>
      <c r="E66" s="6">
        <v>25</v>
      </c>
      <c r="F66" s="11">
        <v>0.08</v>
      </c>
      <c r="G66" s="11">
        <v>0.05</v>
      </c>
      <c r="H66" s="6" t="s">
        <v>585</v>
      </c>
      <c r="I66" s="6" t="str">
        <f t="shared" ref="I66:I129" si="3">IF(E66&lt;=15,"Very Easy",IF(E66&lt;=25,"Easy",IF(E66&lt;=40,"Medium","Hard")))</f>
        <v>Easy</v>
      </c>
      <c r="J66" s="7">
        <f t="shared" ref="J66:J129" si="4">ROUND(D66*0.11,0)</f>
        <v>594</v>
      </c>
      <c r="K66" s="12">
        <f t="shared" ref="K66:K129" si="5">ROUND(D66/MAX(E66,1),1)</f>
        <v>216</v>
      </c>
    </row>
    <row r="67" spans="1:11" x14ac:dyDescent="0.25">
      <c r="A67" s="6">
        <v>66</v>
      </c>
      <c r="B67" s="6" t="s">
        <v>649</v>
      </c>
      <c r="C67" s="6" t="s">
        <v>77</v>
      </c>
      <c r="D67" s="7">
        <v>5400</v>
      </c>
      <c r="E67" s="6">
        <v>19</v>
      </c>
      <c r="F67" s="11">
        <v>0.09</v>
      </c>
      <c r="G67" s="11">
        <v>0.06</v>
      </c>
      <c r="H67" s="6" t="s">
        <v>585</v>
      </c>
      <c r="I67" s="6" t="str">
        <f t="shared" si="3"/>
        <v>Easy</v>
      </c>
      <c r="J67" s="7">
        <f t="shared" si="4"/>
        <v>594</v>
      </c>
      <c r="K67" s="12">
        <f t="shared" si="5"/>
        <v>284.2</v>
      </c>
    </row>
    <row r="68" spans="1:11" x14ac:dyDescent="0.25">
      <c r="A68" s="6">
        <v>67</v>
      </c>
      <c r="B68" s="6" t="s">
        <v>650</v>
      </c>
      <c r="C68" s="6" t="s">
        <v>77</v>
      </c>
      <c r="D68" s="7">
        <v>5400</v>
      </c>
      <c r="E68" s="6">
        <v>13</v>
      </c>
      <c r="F68" s="11">
        <v>0.13</v>
      </c>
      <c r="G68" s="11">
        <v>0.09</v>
      </c>
      <c r="H68" s="6" t="s">
        <v>651</v>
      </c>
      <c r="I68" s="6" t="str">
        <f t="shared" si="3"/>
        <v>Very Easy</v>
      </c>
      <c r="J68" s="7">
        <f t="shared" si="4"/>
        <v>594</v>
      </c>
      <c r="K68" s="12">
        <f t="shared" si="5"/>
        <v>415.4</v>
      </c>
    </row>
    <row r="69" spans="1:11" x14ac:dyDescent="0.25">
      <c r="A69" s="6">
        <v>68</v>
      </c>
      <c r="B69" s="6" t="s">
        <v>652</v>
      </c>
      <c r="C69" s="6" t="s">
        <v>77</v>
      </c>
      <c r="D69" s="7">
        <v>5400</v>
      </c>
      <c r="E69" s="6">
        <v>25</v>
      </c>
      <c r="F69" s="11">
        <v>0.04</v>
      </c>
      <c r="G69" s="11">
        <v>0.08</v>
      </c>
      <c r="H69" s="6" t="s">
        <v>585</v>
      </c>
      <c r="I69" s="6" t="str">
        <f t="shared" si="3"/>
        <v>Easy</v>
      </c>
      <c r="J69" s="7">
        <f t="shared" si="4"/>
        <v>594</v>
      </c>
      <c r="K69" s="12">
        <f t="shared" si="5"/>
        <v>216</v>
      </c>
    </row>
    <row r="70" spans="1:11" x14ac:dyDescent="0.25">
      <c r="A70" s="6">
        <v>69</v>
      </c>
      <c r="B70" s="6" t="s">
        <v>653</v>
      </c>
      <c r="C70" s="6" t="s">
        <v>588</v>
      </c>
      <c r="D70" s="7">
        <v>5400</v>
      </c>
      <c r="E70" s="6">
        <v>25</v>
      </c>
      <c r="F70" s="11">
        <v>0</v>
      </c>
      <c r="G70" s="11">
        <v>0.01</v>
      </c>
      <c r="H70" s="6" t="s">
        <v>585</v>
      </c>
      <c r="I70" s="6" t="str">
        <f t="shared" si="3"/>
        <v>Easy</v>
      </c>
      <c r="J70" s="7">
        <f t="shared" si="4"/>
        <v>594</v>
      </c>
      <c r="K70" s="12">
        <f t="shared" si="5"/>
        <v>216</v>
      </c>
    </row>
    <row r="71" spans="1:11" x14ac:dyDescent="0.25">
      <c r="A71" s="6">
        <v>70</v>
      </c>
      <c r="B71" s="6" t="s">
        <v>510</v>
      </c>
      <c r="C71" s="6" t="s">
        <v>644</v>
      </c>
      <c r="D71" s="7">
        <v>4400</v>
      </c>
      <c r="E71" s="6">
        <v>15</v>
      </c>
      <c r="F71" s="11">
        <v>0.13</v>
      </c>
      <c r="G71" s="11">
        <v>0.24</v>
      </c>
      <c r="H71" s="6" t="s">
        <v>602</v>
      </c>
      <c r="I71" s="6" t="str">
        <f t="shared" si="3"/>
        <v>Very Easy</v>
      </c>
      <c r="J71" s="7">
        <f t="shared" si="4"/>
        <v>484</v>
      </c>
      <c r="K71" s="12">
        <f t="shared" si="5"/>
        <v>293.3</v>
      </c>
    </row>
    <row r="72" spans="1:11" x14ac:dyDescent="0.25">
      <c r="A72" s="6">
        <v>71</v>
      </c>
      <c r="B72" s="6" t="s">
        <v>654</v>
      </c>
      <c r="C72" s="6" t="s">
        <v>605</v>
      </c>
      <c r="D72" s="7">
        <v>4400</v>
      </c>
      <c r="E72" s="6">
        <v>31</v>
      </c>
      <c r="F72" s="11">
        <v>0.05</v>
      </c>
      <c r="G72" s="11">
        <v>0.35</v>
      </c>
      <c r="H72" s="6" t="s">
        <v>585</v>
      </c>
      <c r="I72" s="6" t="str">
        <f t="shared" si="3"/>
        <v>Medium</v>
      </c>
      <c r="J72" s="7">
        <f t="shared" si="4"/>
        <v>484</v>
      </c>
      <c r="K72" s="12">
        <f t="shared" si="5"/>
        <v>141.9</v>
      </c>
    </row>
    <row r="73" spans="1:11" x14ac:dyDescent="0.25">
      <c r="A73" s="6">
        <v>72</v>
      </c>
      <c r="B73" s="6" t="s">
        <v>196</v>
      </c>
      <c r="C73" s="6" t="s">
        <v>644</v>
      </c>
      <c r="D73" s="7">
        <v>4400</v>
      </c>
      <c r="E73" s="6">
        <v>12</v>
      </c>
      <c r="F73" s="11">
        <v>0.16</v>
      </c>
      <c r="G73" s="11">
        <v>0.19</v>
      </c>
      <c r="H73" s="6" t="s">
        <v>592</v>
      </c>
      <c r="I73" s="6" t="str">
        <f t="shared" si="3"/>
        <v>Very Easy</v>
      </c>
      <c r="J73" s="7">
        <f t="shared" si="4"/>
        <v>484</v>
      </c>
      <c r="K73" s="12">
        <f t="shared" si="5"/>
        <v>366.7</v>
      </c>
    </row>
    <row r="74" spans="1:11" x14ac:dyDescent="0.25">
      <c r="A74" s="6">
        <v>73</v>
      </c>
      <c r="B74" s="6" t="s">
        <v>127</v>
      </c>
      <c r="C74" s="6" t="s">
        <v>644</v>
      </c>
      <c r="D74" s="7">
        <v>4400</v>
      </c>
      <c r="E74" s="6">
        <v>21</v>
      </c>
      <c r="F74" s="11">
        <v>7.0000000000000007E-2</v>
      </c>
      <c r="G74" s="11">
        <v>0.09</v>
      </c>
      <c r="H74" s="6" t="s">
        <v>585</v>
      </c>
      <c r="I74" s="6" t="str">
        <f t="shared" si="3"/>
        <v>Easy</v>
      </c>
      <c r="J74" s="7">
        <f t="shared" si="4"/>
        <v>484</v>
      </c>
      <c r="K74" s="12">
        <f t="shared" si="5"/>
        <v>209.5</v>
      </c>
    </row>
    <row r="75" spans="1:11" x14ac:dyDescent="0.25">
      <c r="A75" s="6">
        <v>74</v>
      </c>
      <c r="B75" s="6" t="s">
        <v>655</v>
      </c>
      <c r="C75" s="6" t="s">
        <v>605</v>
      </c>
      <c r="D75" s="7">
        <v>4400</v>
      </c>
      <c r="E75" s="6">
        <v>15</v>
      </c>
      <c r="F75" s="11">
        <v>0.04</v>
      </c>
      <c r="G75" s="11">
        <v>0.22</v>
      </c>
      <c r="H75" s="6" t="s">
        <v>602</v>
      </c>
      <c r="I75" s="6" t="str">
        <f t="shared" si="3"/>
        <v>Very Easy</v>
      </c>
      <c r="J75" s="7">
        <f t="shared" si="4"/>
        <v>484</v>
      </c>
      <c r="K75" s="12">
        <f t="shared" si="5"/>
        <v>293.3</v>
      </c>
    </row>
    <row r="76" spans="1:11" x14ac:dyDescent="0.25">
      <c r="A76" s="6">
        <v>75</v>
      </c>
      <c r="B76" s="6" t="s">
        <v>656</v>
      </c>
      <c r="C76" s="6" t="s">
        <v>605</v>
      </c>
      <c r="D76" s="7">
        <v>4400</v>
      </c>
      <c r="E76" s="6">
        <v>16</v>
      </c>
      <c r="F76" s="11">
        <v>0.13</v>
      </c>
      <c r="G76" s="11">
        <v>0.35</v>
      </c>
      <c r="H76" s="6" t="s">
        <v>585</v>
      </c>
      <c r="I76" s="6" t="str">
        <f t="shared" si="3"/>
        <v>Easy</v>
      </c>
      <c r="J76" s="7">
        <f t="shared" si="4"/>
        <v>484</v>
      </c>
      <c r="K76" s="12">
        <f t="shared" si="5"/>
        <v>275</v>
      </c>
    </row>
    <row r="77" spans="1:11" x14ac:dyDescent="0.25">
      <c r="A77" s="6">
        <v>76</v>
      </c>
      <c r="B77" s="6" t="s">
        <v>657</v>
      </c>
      <c r="C77" s="6" t="s">
        <v>605</v>
      </c>
      <c r="D77" s="7">
        <v>4400</v>
      </c>
      <c r="E77" s="6">
        <v>38</v>
      </c>
      <c r="F77" s="11">
        <v>0.08</v>
      </c>
      <c r="G77" s="11">
        <v>0.46</v>
      </c>
      <c r="H77" s="6" t="s">
        <v>596</v>
      </c>
      <c r="I77" s="6" t="str">
        <f t="shared" si="3"/>
        <v>Medium</v>
      </c>
      <c r="J77" s="7">
        <f t="shared" si="4"/>
        <v>484</v>
      </c>
      <c r="K77" s="12">
        <f t="shared" si="5"/>
        <v>115.8</v>
      </c>
    </row>
    <row r="78" spans="1:11" x14ac:dyDescent="0.25">
      <c r="A78" s="6">
        <v>77</v>
      </c>
      <c r="B78" s="6" t="s">
        <v>516</v>
      </c>
      <c r="C78" s="6" t="s">
        <v>605</v>
      </c>
      <c r="D78" s="7">
        <v>4400</v>
      </c>
      <c r="E78" s="6">
        <v>8</v>
      </c>
      <c r="F78" s="11">
        <v>0.08</v>
      </c>
      <c r="G78" s="11">
        <v>0.2</v>
      </c>
      <c r="H78" s="6" t="s">
        <v>592</v>
      </c>
      <c r="I78" s="6" t="str">
        <f t="shared" si="3"/>
        <v>Very Easy</v>
      </c>
      <c r="J78" s="7">
        <f t="shared" si="4"/>
        <v>484</v>
      </c>
      <c r="K78" s="12">
        <f t="shared" si="5"/>
        <v>550</v>
      </c>
    </row>
    <row r="79" spans="1:11" x14ac:dyDescent="0.25">
      <c r="A79" s="6">
        <v>78</v>
      </c>
      <c r="B79" s="6" t="s">
        <v>381</v>
      </c>
      <c r="C79" s="6" t="s">
        <v>210</v>
      </c>
      <c r="D79" s="7">
        <v>4400</v>
      </c>
      <c r="E79" s="6">
        <v>14</v>
      </c>
      <c r="F79" s="11">
        <v>0.11</v>
      </c>
      <c r="G79" s="11">
        <v>0.28999999999999998</v>
      </c>
      <c r="H79" s="6" t="s">
        <v>592</v>
      </c>
      <c r="I79" s="6" t="str">
        <f t="shared" si="3"/>
        <v>Very Easy</v>
      </c>
      <c r="J79" s="7">
        <f t="shared" si="4"/>
        <v>484</v>
      </c>
      <c r="K79" s="12">
        <f t="shared" si="5"/>
        <v>314.3</v>
      </c>
    </row>
    <row r="80" spans="1:11" x14ac:dyDescent="0.25">
      <c r="A80" s="6">
        <v>79</v>
      </c>
      <c r="B80" s="6" t="s">
        <v>172</v>
      </c>
      <c r="C80" s="6" t="s">
        <v>170</v>
      </c>
      <c r="D80" s="7">
        <v>4400</v>
      </c>
      <c r="E80" s="6">
        <v>24</v>
      </c>
      <c r="F80" s="11">
        <v>0.12</v>
      </c>
      <c r="G80" s="11">
        <v>0.08</v>
      </c>
      <c r="H80" s="6" t="s">
        <v>616</v>
      </c>
      <c r="I80" s="6" t="str">
        <f t="shared" si="3"/>
        <v>Easy</v>
      </c>
      <c r="J80" s="7">
        <f t="shared" si="4"/>
        <v>484</v>
      </c>
      <c r="K80" s="12">
        <f t="shared" si="5"/>
        <v>183.3</v>
      </c>
    </row>
    <row r="81" spans="1:11" x14ac:dyDescent="0.25">
      <c r="A81" s="6">
        <v>80</v>
      </c>
      <c r="B81" s="6" t="s">
        <v>658</v>
      </c>
      <c r="C81" s="6" t="s">
        <v>170</v>
      </c>
      <c r="D81" s="7">
        <v>4400</v>
      </c>
      <c r="E81" s="6">
        <v>16</v>
      </c>
      <c r="F81" s="11">
        <v>0.04</v>
      </c>
      <c r="G81" s="11">
        <v>0.06</v>
      </c>
      <c r="H81" s="6" t="s">
        <v>585</v>
      </c>
      <c r="I81" s="6" t="str">
        <f t="shared" si="3"/>
        <v>Easy</v>
      </c>
      <c r="J81" s="7">
        <f t="shared" si="4"/>
        <v>484</v>
      </c>
      <c r="K81" s="12">
        <f t="shared" si="5"/>
        <v>275</v>
      </c>
    </row>
    <row r="82" spans="1:11" x14ac:dyDescent="0.25">
      <c r="A82" s="6">
        <v>81</v>
      </c>
      <c r="B82" s="6" t="s">
        <v>659</v>
      </c>
      <c r="C82" s="6" t="s">
        <v>77</v>
      </c>
      <c r="D82" s="7">
        <v>4400</v>
      </c>
      <c r="E82" s="6">
        <v>17</v>
      </c>
      <c r="F82" s="11">
        <v>0.09</v>
      </c>
      <c r="G82" s="11">
        <v>0.04</v>
      </c>
      <c r="H82" s="6" t="s">
        <v>585</v>
      </c>
      <c r="I82" s="6" t="str">
        <f t="shared" si="3"/>
        <v>Easy</v>
      </c>
      <c r="J82" s="7">
        <f t="shared" si="4"/>
        <v>484</v>
      </c>
      <c r="K82" s="12">
        <f t="shared" si="5"/>
        <v>258.8</v>
      </c>
    </row>
    <row r="83" spans="1:11" x14ac:dyDescent="0.25">
      <c r="A83" s="6">
        <v>82</v>
      </c>
      <c r="B83" s="6" t="s">
        <v>660</v>
      </c>
      <c r="C83" s="6" t="s">
        <v>77</v>
      </c>
      <c r="D83" s="7">
        <v>4400</v>
      </c>
      <c r="E83" s="6">
        <v>8</v>
      </c>
      <c r="F83" s="11">
        <v>0.05</v>
      </c>
      <c r="G83" s="11">
        <v>0.12</v>
      </c>
      <c r="H83" s="6" t="s">
        <v>585</v>
      </c>
      <c r="I83" s="6" t="str">
        <f t="shared" si="3"/>
        <v>Very Easy</v>
      </c>
      <c r="J83" s="7">
        <f t="shared" si="4"/>
        <v>484</v>
      </c>
      <c r="K83" s="12">
        <f t="shared" si="5"/>
        <v>550</v>
      </c>
    </row>
    <row r="84" spans="1:11" x14ac:dyDescent="0.25">
      <c r="A84" s="6">
        <v>83</v>
      </c>
      <c r="B84" s="6" t="s">
        <v>661</v>
      </c>
      <c r="C84" s="6" t="s">
        <v>77</v>
      </c>
      <c r="D84" s="7">
        <v>4400</v>
      </c>
      <c r="E84" s="6">
        <v>22</v>
      </c>
      <c r="F84" s="11">
        <v>0.05</v>
      </c>
      <c r="G84" s="11">
        <v>0.1</v>
      </c>
      <c r="H84" s="6" t="s">
        <v>585</v>
      </c>
      <c r="I84" s="6" t="str">
        <f t="shared" si="3"/>
        <v>Easy</v>
      </c>
      <c r="J84" s="7">
        <f t="shared" si="4"/>
        <v>484</v>
      </c>
      <c r="K84" s="12">
        <f t="shared" si="5"/>
        <v>200</v>
      </c>
    </row>
    <row r="85" spans="1:11" x14ac:dyDescent="0.25">
      <c r="A85" s="6">
        <v>84</v>
      </c>
      <c r="B85" s="6" t="s">
        <v>662</v>
      </c>
      <c r="C85" s="6" t="s">
        <v>77</v>
      </c>
      <c r="D85" s="7">
        <v>4400</v>
      </c>
      <c r="E85" s="6">
        <v>26</v>
      </c>
      <c r="F85" s="11">
        <v>0.11</v>
      </c>
      <c r="G85" s="11">
        <v>0.12</v>
      </c>
      <c r="H85" s="6" t="s">
        <v>616</v>
      </c>
      <c r="I85" s="6" t="str">
        <f t="shared" si="3"/>
        <v>Medium</v>
      </c>
      <c r="J85" s="7">
        <f t="shared" si="4"/>
        <v>484</v>
      </c>
      <c r="K85" s="12">
        <f t="shared" si="5"/>
        <v>169.2</v>
      </c>
    </row>
    <row r="86" spans="1:11" x14ac:dyDescent="0.25">
      <c r="A86" s="6">
        <v>85</v>
      </c>
      <c r="B86" s="6" t="s">
        <v>663</v>
      </c>
      <c r="C86" s="6" t="s">
        <v>77</v>
      </c>
      <c r="D86" s="7">
        <v>4400</v>
      </c>
      <c r="E86" s="6">
        <v>13</v>
      </c>
      <c r="F86" s="11">
        <v>0.08</v>
      </c>
      <c r="G86" s="11">
        <v>0.1</v>
      </c>
      <c r="H86" s="6" t="s">
        <v>602</v>
      </c>
      <c r="I86" s="6" t="str">
        <f t="shared" si="3"/>
        <v>Very Easy</v>
      </c>
      <c r="J86" s="7">
        <f t="shared" si="4"/>
        <v>484</v>
      </c>
      <c r="K86" s="12">
        <f t="shared" si="5"/>
        <v>338.5</v>
      </c>
    </row>
    <row r="87" spans="1:11" x14ac:dyDescent="0.25">
      <c r="A87" s="6">
        <v>86</v>
      </c>
      <c r="B87" s="6" t="s">
        <v>664</v>
      </c>
      <c r="C87" s="6" t="s">
        <v>77</v>
      </c>
      <c r="D87" s="7">
        <v>4400</v>
      </c>
      <c r="E87" s="6">
        <v>9</v>
      </c>
      <c r="F87" s="11">
        <v>0.04</v>
      </c>
      <c r="G87" s="11">
        <v>0.03</v>
      </c>
      <c r="H87" s="6" t="s">
        <v>585</v>
      </c>
      <c r="I87" s="6" t="str">
        <f t="shared" si="3"/>
        <v>Very Easy</v>
      </c>
      <c r="J87" s="7">
        <f t="shared" si="4"/>
        <v>484</v>
      </c>
      <c r="K87" s="12">
        <f t="shared" si="5"/>
        <v>488.9</v>
      </c>
    </row>
    <row r="88" spans="1:11" x14ac:dyDescent="0.25">
      <c r="A88" s="6">
        <v>87</v>
      </c>
      <c r="B88" s="6" t="s">
        <v>665</v>
      </c>
      <c r="C88" s="6" t="s">
        <v>77</v>
      </c>
      <c r="D88" s="7">
        <v>4400</v>
      </c>
      <c r="E88" s="6">
        <v>13</v>
      </c>
      <c r="F88" s="11">
        <v>0.2</v>
      </c>
      <c r="G88" s="11">
        <v>0.15</v>
      </c>
      <c r="H88" s="6" t="s">
        <v>585</v>
      </c>
      <c r="I88" s="6" t="str">
        <f t="shared" si="3"/>
        <v>Very Easy</v>
      </c>
      <c r="J88" s="7">
        <f t="shared" si="4"/>
        <v>484</v>
      </c>
      <c r="K88" s="12">
        <f t="shared" si="5"/>
        <v>338.5</v>
      </c>
    </row>
    <row r="89" spans="1:11" x14ac:dyDescent="0.25">
      <c r="A89" s="6">
        <v>88</v>
      </c>
      <c r="B89" s="6" t="s">
        <v>666</v>
      </c>
      <c r="C89" s="6" t="s">
        <v>639</v>
      </c>
      <c r="D89" s="7">
        <v>4400</v>
      </c>
      <c r="E89" s="6">
        <v>13</v>
      </c>
      <c r="F89" s="11">
        <v>0.04</v>
      </c>
      <c r="G89" s="11">
        <v>0.03</v>
      </c>
      <c r="H89" s="6" t="s">
        <v>585</v>
      </c>
      <c r="I89" s="6" t="str">
        <f t="shared" si="3"/>
        <v>Very Easy</v>
      </c>
      <c r="J89" s="7">
        <f t="shared" si="4"/>
        <v>484</v>
      </c>
      <c r="K89" s="12">
        <f t="shared" si="5"/>
        <v>338.5</v>
      </c>
    </row>
    <row r="90" spans="1:11" x14ac:dyDescent="0.25">
      <c r="A90" s="6">
        <v>89</v>
      </c>
      <c r="B90" s="6" t="s">
        <v>464</v>
      </c>
      <c r="C90" s="6" t="s">
        <v>639</v>
      </c>
      <c r="D90" s="7">
        <v>4400</v>
      </c>
      <c r="E90" s="6">
        <v>31</v>
      </c>
      <c r="F90" s="11">
        <v>0.02</v>
      </c>
      <c r="G90" s="11">
        <v>0.21</v>
      </c>
      <c r="H90" s="6" t="s">
        <v>585</v>
      </c>
      <c r="I90" s="6" t="str">
        <f t="shared" si="3"/>
        <v>Medium</v>
      </c>
      <c r="J90" s="7">
        <f t="shared" si="4"/>
        <v>484</v>
      </c>
      <c r="K90" s="12">
        <f t="shared" si="5"/>
        <v>141.9</v>
      </c>
    </row>
    <row r="91" spans="1:11" x14ac:dyDescent="0.25">
      <c r="A91" s="6">
        <v>90</v>
      </c>
      <c r="B91" s="6" t="s">
        <v>667</v>
      </c>
      <c r="C91" s="6" t="s">
        <v>639</v>
      </c>
      <c r="D91" s="7">
        <v>4400</v>
      </c>
      <c r="E91" s="6">
        <v>17</v>
      </c>
      <c r="F91" s="11">
        <v>0.13</v>
      </c>
      <c r="G91" s="11">
        <v>0.03</v>
      </c>
      <c r="H91" s="6" t="s">
        <v>668</v>
      </c>
      <c r="I91" s="6" t="str">
        <f t="shared" si="3"/>
        <v>Easy</v>
      </c>
      <c r="J91" s="7">
        <f t="shared" si="4"/>
        <v>484</v>
      </c>
      <c r="K91" s="12">
        <f t="shared" si="5"/>
        <v>258.8</v>
      </c>
    </row>
    <row r="92" spans="1:11" x14ac:dyDescent="0.25">
      <c r="A92" s="6">
        <v>91</v>
      </c>
      <c r="B92" s="6" t="s">
        <v>669</v>
      </c>
      <c r="C92" s="6" t="s">
        <v>588</v>
      </c>
      <c r="D92" s="7">
        <v>4400</v>
      </c>
      <c r="E92" s="6">
        <v>25</v>
      </c>
      <c r="F92" s="11">
        <v>7.0000000000000007E-2</v>
      </c>
      <c r="G92" s="11">
        <v>7.0000000000000007E-2</v>
      </c>
      <c r="H92" s="6" t="s">
        <v>616</v>
      </c>
      <c r="I92" s="6" t="str">
        <f t="shared" si="3"/>
        <v>Easy</v>
      </c>
      <c r="J92" s="7">
        <f t="shared" si="4"/>
        <v>484</v>
      </c>
      <c r="K92" s="12">
        <f t="shared" si="5"/>
        <v>176</v>
      </c>
    </row>
    <row r="93" spans="1:11" x14ac:dyDescent="0.25">
      <c r="A93" s="6">
        <v>92</v>
      </c>
      <c r="B93" s="6" t="s">
        <v>396</v>
      </c>
      <c r="C93" s="6" t="s">
        <v>588</v>
      </c>
      <c r="D93" s="7">
        <v>4400</v>
      </c>
      <c r="E93" s="6">
        <v>33</v>
      </c>
      <c r="F93" s="11">
        <v>0.21</v>
      </c>
      <c r="G93" s="11">
        <v>0.02</v>
      </c>
      <c r="H93" s="6" t="s">
        <v>589</v>
      </c>
      <c r="I93" s="6" t="str">
        <f t="shared" si="3"/>
        <v>Medium</v>
      </c>
      <c r="J93" s="7">
        <f t="shared" si="4"/>
        <v>484</v>
      </c>
      <c r="K93" s="12">
        <f t="shared" si="5"/>
        <v>133.30000000000001</v>
      </c>
    </row>
    <row r="94" spans="1:11" x14ac:dyDescent="0.25">
      <c r="A94" s="6">
        <v>93</v>
      </c>
      <c r="B94" s="6" t="s">
        <v>670</v>
      </c>
      <c r="C94" s="6" t="s">
        <v>40</v>
      </c>
      <c r="D94" s="7">
        <v>4400</v>
      </c>
      <c r="E94" s="6">
        <v>38</v>
      </c>
      <c r="F94" s="11">
        <v>0.14000000000000001</v>
      </c>
      <c r="G94" s="11">
        <v>0.32</v>
      </c>
      <c r="H94" s="6" t="s">
        <v>592</v>
      </c>
      <c r="I94" s="6" t="str">
        <f t="shared" si="3"/>
        <v>Medium</v>
      </c>
      <c r="J94" s="7">
        <f t="shared" si="4"/>
        <v>484</v>
      </c>
      <c r="K94" s="12">
        <f t="shared" si="5"/>
        <v>115.8</v>
      </c>
    </row>
    <row r="95" spans="1:11" x14ac:dyDescent="0.25">
      <c r="A95" s="6">
        <v>94</v>
      </c>
      <c r="B95" s="6" t="s">
        <v>177</v>
      </c>
      <c r="C95" s="6" t="s">
        <v>605</v>
      </c>
      <c r="D95" s="7">
        <v>3600</v>
      </c>
      <c r="E95" s="6">
        <v>13</v>
      </c>
      <c r="F95" s="11">
        <v>0.04</v>
      </c>
      <c r="G95" s="11">
        <v>0.25</v>
      </c>
      <c r="H95" s="6" t="s">
        <v>585</v>
      </c>
      <c r="I95" s="6" t="str">
        <f t="shared" si="3"/>
        <v>Very Easy</v>
      </c>
      <c r="J95" s="7">
        <f t="shared" si="4"/>
        <v>396</v>
      </c>
      <c r="K95" s="12">
        <f t="shared" si="5"/>
        <v>276.89999999999998</v>
      </c>
    </row>
    <row r="96" spans="1:11" x14ac:dyDescent="0.25">
      <c r="A96" s="6">
        <v>95</v>
      </c>
      <c r="B96" s="6" t="s">
        <v>185</v>
      </c>
      <c r="C96" s="6" t="s">
        <v>644</v>
      </c>
      <c r="D96" s="7">
        <v>3600</v>
      </c>
      <c r="E96" s="6">
        <v>11</v>
      </c>
      <c r="F96" s="11">
        <v>0.17</v>
      </c>
      <c r="G96" s="11">
        <v>0.19</v>
      </c>
      <c r="H96" s="6" t="s">
        <v>585</v>
      </c>
      <c r="I96" s="6" t="str">
        <f t="shared" si="3"/>
        <v>Very Easy</v>
      </c>
      <c r="J96" s="7">
        <f t="shared" si="4"/>
        <v>396</v>
      </c>
      <c r="K96" s="12">
        <f t="shared" si="5"/>
        <v>327.3</v>
      </c>
    </row>
    <row r="97" spans="1:11" x14ac:dyDescent="0.25">
      <c r="A97" s="6">
        <v>96</v>
      </c>
      <c r="B97" s="6" t="s">
        <v>522</v>
      </c>
      <c r="C97" s="6" t="s">
        <v>605</v>
      </c>
      <c r="D97" s="7">
        <v>3600</v>
      </c>
      <c r="E97" s="6">
        <v>16</v>
      </c>
      <c r="F97" s="11">
        <v>0.04</v>
      </c>
      <c r="G97" s="11">
        <v>0.15</v>
      </c>
      <c r="H97" s="6" t="s">
        <v>592</v>
      </c>
      <c r="I97" s="6" t="str">
        <f t="shared" si="3"/>
        <v>Easy</v>
      </c>
      <c r="J97" s="7">
        <f t="shared" si="4"/>
        <v>396</v>
      </c>
      <c r="K97" s="12">
        <f t="shared" si="5"/>
        <v>225</v>
      </c>
    </row>
    <row r="98" spans="1:11" x14ac:dyDescent="0.25">
      <c r="A98" s="6">
        <v>97</v>
      </c>
      <c r="B98" s="6" t="s">
        <v>671</v>
      </c>
      <c r="C98" s="6" t="s">
        <v>605</v>
      </c>
      <c r="D98" s="7">
        <v>3600</v>
      </c>
      <c r="E98" s="6">
        <v>19</v>
      </c>
      <c r="F98" s="11">
        <v>0.06</v>
      </c>
      <c r="G98" s="11">
        <v>0.5</v>
      </c>
      <c r="H98" s="6" t="s">
        <v>585</v>
      </c>
      <c r="I98" s="6" t="str">
        <f t="shared" si="3"/>
        <v>Easy</v>
      </c>
      <c r="J98" s="7">
        <f t="shared" si="4"/>
        <v>396</v>
      </c>
      <c r="K98" s="12">
        <f t="shared" si="5"/>
        <v>189.5</v>
      </c>
    </row>
    <row r="99" spans="1:11" x14ac:dyDescent="0.25">
      <c r="A99" s="6">
        <v>98</v>
      </c>
      <c r="B99" s="6" t="s">
        <v>672</v>
      </c>
      <c r="C99" s="6" t="s">
        <v>210</v>
      </c>
      <c r="D99" s="7">
        <v>3600</v>
      </c>
      <c r="E99" s="6">
        <v>15</v>
      </c>
      <c r="F99" s="11">
        <v>0.08</v>
      </c>
      <c r="G99" s="11">
        <v>0.3</v>
      </c>
      <c r="H99" s="6" t="s">
        <v>585</v>
      </c>
      <c r="I99" s="6" t="str">
        <f t="shared" si="3"/>
        <v>Very Easy</v>
      </c>
      <c r="J99" s="7">
        <f t="shared" si="4"/>
        <v>396</v>
      </c>
      <c r="K99" s="12">
        <f t="shared" si="5"/>
        <v>240</v>
      </c>
    </row>
    <row r="100" spans="1:11" x14ac:dyDescent="0.25">
      <c r="A100" s="6">
        <v>99</v>
      </c>
      <c r="B100" s="6" t="s">
        <v>542</v>
      </c>
      <c r="C100" s="6" t="s">
        <v>210</v>
      </c>
      <c r="D100" s="7">
        <v>3600</v>
      </c>
      <c r="E100" s="6">
        <v>25</v>
      </c>
      <c r="F100" s="11">
        <v>0.1</v>
      </c>
      <c r="G100" s="11">
        <v>0.16</v>
      </c>
      <c r="H100" s="6" t="s">
        <v>616</v>
      </c>
      <c r="I100" s="6" t="str">
        <f t="shared" si="3"/>
        <v>Easy</v>
      </c>
      <c r="J100" s="7">
        <f t="shared" si="4"/>
        <v>396</v>
      </c>
      <c r="K100" s="12">
        <f t="shared" si="5"/>
        <v>144</v>
      </c>
    </row>
    <row r="101" spans="1:11" x14ac:dyDescent="0.25">
      <c r="A101" s="6">
        <v>100</v>
      </c>
      <c r="B101" s="6" t="s">
        <v>673</v>
      </c>
      <c r="C101" s="6" t="s">
        <v>170</v>
      </c>
      <c r="D101" s="7">
        <v>3600</v>
      </c>
      <c r="E101" s="6">
        <v>20</v>
      </c>
      <c r="F101" s="11">
        <v>0.12</v>
      </c>
      <c r="G101" s="11">
        <v>0.25</v>
      </c>
      <c r="H101" s="6" t="s">
        <v>592</v>
      </c>
      <c r="I101" s="6" t="str">
        <f t="shared" si="3"/>
        <v>Easy</v>
      </c>
      <c r="J101" s="7">
        <f t="shared" si="4"/>
        <v>396</v>
      </c>
      <c r="K101" s="12">
        <f t="shared" si="5"/>
        <v>180</v>
      </c>
    </row>
    <row r="102" spans="1:11" x14ac:dyDescent="0.25">
      <c r="A102" s="6">
        <v>101</v>
      </c>
      <c r="B102" s="6" t="s">
        <v>674</v>
      </c>
      <c r="C102" s="6" t="s">
        <v>170</v>
      </c>
      <c r="D102" s="7">
        <v>3600</v>
      </c>
      <c r="E102" s="6">
        <v>12</v>
      </c>
      <c r="F102" s="11">
        <v>0.03</v>
      </c>
      <c r="G102" s="11">
        <v>0.05</v>
      </c>
      <c r="H102" s="6" t="s">
        <v>585</v>
      </c>
      <c r="I102" s="6" t="str">
        <f t="shared" si="3"/>
        <v>Very Easy</v>
      </c>
      <c r="J102" s="7">
        <f t="shared" si="4"/>
        <v>396</v>
      </c>
      <c r="K102" s="12">
        <f t="shared" si="5"/>
        <v>300</v>
      </c>
    </row>
    <row r="103" spans="1:11" x14ac:dyDescent="0.25">
      <c r="A103" s="6">
        <v>102</v>
      </c>
      <c r="B103" s="6" t="s">
        <v>675</v>
      </c>
      <c r="C103" s="6" t="s">
        <v>170</v>
      </c>
      <c r="D103" s="7">
        <v>3600</v>
      </c>
      <c r="E103" s="6">
        <v>14</v>
      </c>
      <c r="F103" s="11">
        <v>0.05</v>
      </c>
      <c r="G103" s="11">
        <v>0.06</v>
      </c>
      <c r="H103" s="6" t="s">
        <v>602</v>
      </c>
      <c r="I103" s="6" t="str">
        <f t="shared" si="3"/>
        <v>Very Easy</v>
      </c>
      <c r="J103" s="7">
        <f t="shared" si="4"/>
        <v>396</v>
      </c>
      <c r="K103" s="12">
        <f t="shared" si="5"/>
        <v>257.10000000000002</v>
      </c>
    </row>
    <row r="104" spans="1:11" x14ac:dyDescent="0.25">
      <c r="A104" s="6">
        <v>103</v>
      </c>
      <c r="B104" s="6" t="s">
        <v>676</v>
      </c>
      <c r="C104" s="6" t="s">
        <v>77</v>
      </c>
      <c r="D104" s="7">
        <v>3600</v>
      </c>
      <c r="E104" s="6">
        <v>12</v>
      </c>
      <c r="F104" s="11">
        <v>0.13</v>
      </c>
      <c r="G104" s="11">
        <v>0.11</v>
      </c>
      <c r="H104" s="6" t="s">
        <v>585</v>
      </c>
      <c r="I104" s="6" t="str">
        <f t="shared" si="3"/>
        <v>Very Easy</v>
      </c>
      <c r="J104" s="7">
        <f t="shared" si="4"/>
        <v>396</v>
      </c>
      <c r="K104" s="12">
        <f t="shared" si="5"/>
        <v>300</v>
      </c>
    </row>
    <row r="105" spans="1:11" x14ac:dyDescent="0.25">
      <c r="A105" s="6">
        <v>104</v>
      </c>
      <c r="B105" s="6" t="s">
        <v>677</v>
      </c>
      <c r="C105" s="6" t="s">
        <v>77</v>
      </c>
      <c r="D105" s="7">
        <v>3600</v>
      </c>
      <c r="E105" s="6">
        <v>26</v>
      </c>
      <c r="F105" s="11">
        <v>0.14000000000000001</v>
      </c>
      <c r="G105" s="11">
        <v>0.09</v>
      </c>
      <c r="H105" s="6" t="s">
        <v>585</v>
      </c>
      <c r="I105" s="6" t="str">
        <f t="shared" si="3"/>
        <v>Medium</v>
      </c>
      <c r="J105" s="7">
        <f t="shared" si="4"/>
        <v>396</v>
      </c>
      <c r="K105" s="12">
        <f t="shared" si="5"/>
        <v>138.5</v>
      </c>
    </row>
    <row r="106" spans="1:11" x14ac:dyDescent="0.25">
      <c r="A106" s="6">
        <v>105</v>
      </c>
      <c r="B106" s="6" t="s">
        <v>678</v>
      </c>
      <c r="C106" s="6" t="s">
        <v>77</v>
      </c>
      <c r="D106" s="7">
        <v>3600</v>
      </c>
      <c r="E106" s="6">
        <v>14</v>
      </c>
      <c r="F106" s="11">
        <v>0.11</v>
      </c>
      <c r="G106" s="11">
        <v>0.15</v>
      </c>
      <c r="H106" s="6" t="s">
        <v>592</v>
      </c>
      <c r="I106" s="6" t="str">
        <f t="shared" si="3"/>
        <v>Very Easy</v>
      </c>
      <c r="J106" s="7">
        <f t="shared" si="4"/>
        <v>396</v>
      </c>
      <c r="K106" s="12">
        <f t="shared" si="5"/>
        <v>257.10000000000002</v>
      </c>
    </row>
    <row r="107" spans="1:11" x14ac:dyDescent="0.25">
      <c r="A107" s="6">
        <v>106</v>
      </c>
      <c r="B107" s="6" t="s">
        <v>679</v>
      </c>
      <c r="C107" s="6" t="s">
        <v>77</v>
      </c>
      <c r="D107" s="7">
        <v>3600</v>
      </c>
      <c r="E107" s="6">
        <v>19</v>
      </c>
      <c r="F107" s="11">
        <v>0.11</v>
      </c>
      <c r="G107" s="11">
        <v>0.17</v>
      </c>
      <c r="H107" s="6" t="s">
        <v>592</v>
      </c>
      <c r="I107" s="6" t="str">
        <f t="shared" si="3"/>
        <v>Easy</v>
      </c>
      <c r="J107" s="7">
        <f t="shared" si="4"/>
        <v>396</v>
      </c>
      <c r="K107" s="12">
        <f t="shared" si="5"/>
        <v>189.5</v>
      </c>
    </row>
    <row r="108" spans="1:11" x14ac:dyDescent="0.25">
      <c r="A108" s="6">
        <v>107</v>
      </c>
      <c r="B108" s="6" t="s">
        <v>680</v>
      </c>
      <c r="C108" s="6" t="s">
        <v>77</v>
      </c>
      <c r="D108" s="7">
        <v>3600</v>
      </c>
      <c r="E108" s="6">
        <v>13</v>
      </c>
      <c r="F108" s="11">
        <v>0.02</v>
      </c>
      <c r="G108" s="11">
        <v>0.02</v>
      </c>
      <c r="H108" s="6" t="s">
        <v>592</v>
      </c>
      <c r="I108" s="6" t="str">
        <f t="shared" si="3"/>
        <v>Very Easy</v>
      </c>
      <c r="J108" s="7">
        <f t="shared" si="4"/>
        <v>396</v>
      </c>
      <c r="K108" s="12">
        <f t="shared" si="5"/>
        <v>276.89999999999998</v>
      </c>
    </row>
    <row r="109" spans="1:11" x14ac:dyDescent="0.25">
      <c r="A109" s="6">
        <v>108</v>
      </c>
      <c r="B109" s="6" t="s">
        <v>681</v>
      </c>
      <c r="C109" s="6" t="s">
        <v>77</v>
      </c>
      <c r="D109" s="7">
        <v>3600</v>
      </c>
      <c r="E109" s="6">
        <v>19</v>
      </c>
      <c r="F109" s="11">
        <v>0.04</v>
      </c>
      <c r="G109" s="11">
        <v>0.2</v>
      </c>
      <c r="H109" s="6" t="s">
        <v>589</v>
      </c>
      <c r="I109" s="6" t="str">
        <f t="shared" si="3"/>
        <v>Easy</v>
      </c>
      <c r="J109" s="7">
        <f t="shared" si="4"/>
        <v>396</v>
      </c>
      <c r="K109" s="12">
        <f t="shared" si="5"/>
        <v>189.5</v>
      </c>
    </row>
    <row r="110" spans="1:11" x14ac:dyDescent="0.25">
      <c r="A110" s="6">
        <v>109</v>
      </c>
      <c r="B110" s="6" t="s">
        <v>682</v>
      </c>
      <c r="C110" s="6" t="s">
        <v>77</v>
      </c>
      <c r="D110" s="7">
        <v>3600</v>
      </c>
      <c r="E110" s="6">
        <v>17</v>
      </c>
      <c r="F110" s="11">
        <v>0.08</v>
      </c>
      <c r="G110" s="11">
        <v>0.19</v>
      </c>
      <c r="H110" s="6" t="s">
        <v>596</v>
      </c>
      <c r="I110" s="6" t="str">
        <f t="shared" si="3"/>
        <v>Easy</v>
      </c>
      <c r="J110" s="7">
        <f t="shared" si="4"/>
        <v>396</v>
      </c>
      <c r="K110" s="12">
        <f t="shared" si="5"/>
        <v>211.8</v>
      </c>
    </row>
    <row r="111" spans="1:11" x14ac:dyDescent="0.25">
      <c r="A111" s="6">
        <v>110</v>
      </c>
      <c r="B111" s="6" t="s">
        <v>80</v>
      </c>
      <c r="C111" s="6" t="s">
        <v>77</v>
      </c>
      <c r="D111" s="7">
        <v>3600</v>
      </c>
      <c r="E111" s="6">
        <v>17</v>
      </c>
      <c r="F111" s="11">
        <v>0.12</v>
      </c>
      <c r="G111" s="11">
        <v>0.14000000000000001</v>
      </c>
      <c r="H111" s="6" t="s">
        <v>585</v>
      </c>
      <c r="I111" s="6" t="str">
        <f t="shared" si="3"/>
        <v>Easy</v>
      </c>
      <c r="J111" s="7">
        <f t="shared" si="4"/>
        <v>396</v>
      </c>
      <c r="K111" s="12">
        <f t="shared" si="5"/>
        <v>211.8</v>
      </c>
    </row>
    <row r="112" spans="1:11" x14ac:dyDescent="0.25">
      <c r="A112" s="6">
        <v>111</v>
      </c>
      <c r="B112" s="6" t="s">
        <v>683</v>
      </c>
      <c r="C112" s="6" t="s">
        <v>77</v>
      </c>
      <c r="D112" s="7">
        <v>3600</v>
      </c>
      <c r="E112" s="6">
        <v>16</v>
      </c>
      <c r="F112" s="11">
        <v>0.12</v>
      </c>
      <c r="G112" s="11">
        <v>0.09</v>
      </c>
      <c r="H112" s="6" t="s">
        <v>585</v>
      </c>
      <c r="I112" s="6" t="str">
        <f t="shared" si="3"/>
        <v>Easy</v>
      </c>
      <c r="J112" s="7">
        <f t="shared" si="4"/>
        <v>396</v>
      </c>
      <c r="K112" s="12">
        <f t="shared" si="5"/>
        <v>225</v>
      </c>
    </row>
    <row r="113" spans="1:11" x14ac:dyDescent="0.25">
      <c r="A113" s="6">
        <v>112</v>
      </c>
      <c r="B113" s="6" t="s">
        <v>684</v>
      </c>
      <c r="C113" s="6" t="s">
        <v>685</v>
      </c>
      <c r="D113" s="7">
        <v>3600</v>
      </c>
      <c r="E113" s="6">
        <v>13</v>
      </c>
      <c r="F113" s="11">
        <v>0.17</v>
      </c>
      <c r="G113" s="11">
        <v>0.26</v>
      </c>
      <c r="H113" s="6" t="s">
        <v>585</v>
      </c>
      <c r="I113" s="6" t="str">
        <f t="shared" si="3"/>
        <v>Very Easy</v>
      </c>
      <c r="J113" s="7">
        <f t="shared" si="4"/>
        <v>396</v>
      </c>
      <c r="K113" s="12">
        <f t="shared" si="5"/>
        <v>276.89999999999998</v>
      </c>
    </row>
    <row r="114" spans="1:11" x14ac:dyDescent="0.25">
      <c r="A114" s="6">
        <v>113</v>
      </c>
      <c r="B114" s="6" t="s">
        <v>686</v>
      </c>
      <c r="C114" s="6" t="s">
        <v>588</v>
      </c>
      <c r="D114" s="7">
        <v>3600</v>
      </c>
      <c r="E114" s="6">
        <v>20</v>
      </c>
      <c r="F114" s="11">
        <v>0.02</v>
      </c>
      <c r="G114" s="11">
        <v>0.28999999999999998</v>
      </c>
      <c r="H114" s="6" t="s">
        <v>589</v>
      </c>
      <c r="I114" s="6" t="str">
        <f t="shared" si="3"/>
        <v>Easy</v>
      </c>
      <c r="J114" s="7">
        <f t="shared" si="4"/>
        <v>396</v>
      </c>
      <c r="K114" s="12">
        <f t="shared" si="5"/>
        <v>180</v>
      </c>
    </row>
    <row r="115" spans="1:11" x14ac:dyDescent="0.25">
      <c r="A115" s="6">
        <v>114</v>
      </c>
      <c r="B115" s="6" t="s">
        <v>687</v>
      </c>
      <c r="C115" s="6" t="s">
        <v>639</v>
      </c>
      <c r="D115" s="7">
        <v>3600</v>
      </c>
      <c r="E115" s="6">
        <v>12</v>
      </c>
      <c r="F115" s="11">
        <v>0.02</v>
      </c>
      <c r="G115" s="11">
        <v>0.1</v>
      </c>
      <c r="H115" s="6" t="s">
        <v>602</v>
      </c>
      <c r="I115" s="6" t="str">
        <f t="shared" si="3"/>
        <v>Very Easy</v>
      </c>
      <c r="J115" s="7">
        <f t="shared" si="4"/>
        <v>396</v>
      </c>
      <c r="K115" s="12">
        <f t="shared" si="5"/>
        <v>300</v>
      </c>
    </row>
    <row r="116" spans="1:11" x14ac:dyDescent="0.25">
      <c r="A116" s="6">
        <v>115</v>
      </c>
      <c r="B116" s="6" t="s">
        <v>688</v>
      </c>
      <c r="C116" s="6" t="s">
        <v>639</v>
      </c>
      <c r="D116" s="7">
        <v>3600</v>
      </c>
      <c r="E116" s="6">
        <v>25</v>
      </c>
      <c r="F116" s="11">
        <v>0.03</v>
      </c>
      <c r="G116" s="11">
        <v>0.1</v>
      </c>
      <c r="H116" s="6" t="s">
        <v>585</v>
      </c>
      <c r="I116" s="6" t="str">
        <f t="shared" si="3"/>
        <v>Easy</v>
      </c>
      <c r="J116" s="7">
        <f t="shared" si="4"/>
        <v>396</v>
      </c>
      <c r="K116" s="12">
        <f t="shared" si="5"/>
        <v>144</v>
      </c>
    </row>
    <row r="117" spans="1:11" x14ac:dyDescent="0.25">
      <c r="A117" s="6">
        <v>116</v>
      </c>
      <c r="B117" s="6" t="s">
        <v>689</v>
      </c>
      <c r="C117" s="6" t="s">
        <v>639</v>
      </c>
      <c r="D117" s="7">
        <v>3600</v>
      </c>
      <c r="E117" s="6">
        <v>17</v>
      </c>
      <c r="F117" s="11">
        <v>0.02</v>
      </c>
      <c r="G117" s="11">
        <v>7.0000000000000007E-2</v>
      </c>
      <c r="H117" s="6" t="s">
        <v>602</v>
      </c>
      <c r="I117" s="6" t="str">
        <f t="shared" si="3"/>
        <v>Easy</v>
      </c>
      <c r="J117" s="7">
        <f t="shared" si="4"/>
        <v>396</v>
      </c>
      <c r="K117" s="12">
        <f t="shared" si="5"/>
        <v>211.8</v>
      </c>
    </row>
    <row r="118" spans="1:11" x14ac:dyDescent="0.25">
      <c r="A118" s="6">
        <v>117</v>
      </c>
      <c r="B118" s="6" t="s">
        <v>690</v>
      </c>
      <c r="C118" s="6" t="s">
        <v>639</v>
      </c>
      <c r="D118" s="7">
        <v>3600</v>
      </c>
      <c r="E118" s="6">
        <v>17</v>
      </c>
      <c r="F118" s="11">
        <v>0.08</v>
      </c>
      <c r="G118" s="11">
        <v>0.16</v>
      </c>
      <c r="H118" s="6" t="s">
        <v>596</v>
      </c>
      <c r="I118" s="6" t="str">
        <f t="shared" si="3"/>
        <v>Easy</v>
      </c>
      <c r="J118" s="7">
        <f t="shared" si="4"/>
        <v>396</v>
      </c>
      <c r="K118" s="12">
        <f t="shared" si="5"/>
        <v>211.8</v>
      </c>
    </row>
    <row r="119" spans="1:11" x14ac:dyDescent="0.25">
      <c r="A119" s="6">
        <v>118</v>
      </c>
      <c r="B119" s="6" t="s">
        <v>691</v>
      </c>
      <c r="C119" s="6" t="s">
        <v>639</v>
      </c>
      <c r="D119" s="7">
        <v>3600</v>
      </c>
      <c r="E119" s="6">
        <v>17</v>
      </c>
      <c r="F119" s="11">
        <v>0.01</v>
      </c>
      <c r="G119" s="11">
        <v>0.22</v>
      </c>
      <c r="H119" s="6" t="s">
        <v>602</v>
      </c>
      <c r="I119" s="6" t="str">
        <f t="shared" si="3"/>
        <v>Easy</v>
      </c>
      <c r="J119" s="7">
        <f t="shared" si="4"/>
        <v>396</v>
      </c>
      <c r="K119" s="12">
        <f t="shared" si="5"/>
        <v>211.8</v>
      </c>
    </row>
    <row r="120" spans="1:11" x14ac:dyDescent="0.25">
      <c r="A120" s="6">
        <v>119</v>
      </c>
      <c r="B120" s="6" t="s">
        <v>692</v>
      </c>
      <c r="C120" s="6" t="s">
        <v>588</v>
      </c>
      <c r="D120" s="7">
        <v>3600</v>
      </c>
      <c r="E120" s="6">
        <v>30</v>
      </c>
      <c r="F120" s="11">
        <v>0.03</v>
      </c>
      <c r="G120" s="11">
        <v>0.22</v>
      </c>
      <c r="H120" s="6" t="s">
        <v>585</v>
      </c>
      <c r="I120" s="6" t="str">
        <f t="shared" si="3"/>
        <v>Medium</v>
      </c>
      <c r="J120" s="7">
        <f t="shared" si="4"/>
        <v>396</v>
      </c>
      <c r="K120" s="12">
        <f t="shared" si="5"/>
        <v>120</v>
      </c>
    </row>
    <row r="121" spans="1:11" x14ac:dyDescent="0.25">
      <c r="A121" s="6">
        <v>120</v>
      </c>
      <c r="B121" s="6" t="s">
        <v>693</v>
      </c>
      <c r="C121" s="6" t="s">
        <v>40</v>
      </c>
      <c r="D121" s="7">
        <v>3600</v>
      </c>
      <c r="E121" s="6">
        <v>26</v>
      </c>
      <c r="F121" s="11">
        <v>0.08</v>
      </c>
      <c r="G121" s="11">
        <v>0.18</v>
      </c>
      <c r="H121" s="6" t="s">
        <v>651</v>
      </c>
      <c r="I121" s="6" t="str">
        <f t="shared" si="3"/>
        <v>Medium</v>
      </c>
      <c r="J121" s="7">
        <f t="shared" si="4"/>
        <v>396</v>
      </c>
      <c r="K121" s="12">
        <f t="shared" si="5"/>
        <v>138.5</v>
      </c>
    </row>
    <row r="122" spans="1:11" x14ac:dyDescent="0.25">
      <c r="A122" s="6">
        <v>121</v>
      </c>
      <c r="B122" s="6" t="s">
        <v>694</v>
      </c>
      <c r="C122" s="6" t="s">
        <v>605</v>
      </c>
      <c r="D122" s="7">
        <v>2900</v>
      </c>
      <c r="E122" s="6">
        <v>7</v>
      </c>
      <c r="F122" s="11">
        <v>0.13</v>
      </c>
      <c r="G122" s="11">
        <v>0.41</v>
      </c>
      <c r="H122" s="6" t="s">
        <v>585</v>
      </c>
      <c r="I122" s="6" t="str">
        <f t="shared" si="3"/>
        <v>Very Easy</v>
      </c>
      <c r="J122" s="7">
        <f t="shared" si="4"/>
        <v>319</v>
      </c>
      <c r="K122" s="12">
        <f t="shared" si="5"/>
        <v>414.3</v>
      </c>
    </row>
    <row r="123" spans="1:11" x14ac:dyDescent="0.25">
      <c r="A123" s="6">
        <v>122</v>
      </c>
      <c r="B123" s="6" t="s">
        <v>695</v>
      </c>
      <c r="C123" s="6" t="s">
        <v>605</v>
      </c>
      <c r="D123" s="7">
        <v>2900</v>
      </c>
      <c r="E123" s="6">
        <v>13</v>
      </c>
      <c r="F123" s="11">
        <v>0.06</v>
      </c>
      <c r="G123" s="11">
        <v>0.2</v>
      </c>
      <c r="H123" s="6" t="s">
        <v>585</v>
      </c>
      <c r="I123" s="6" t="str">
        <f t="shared" si="3"/>
        <v>Very Easy</v>
      </c>
      <c r="J123" s="7">
        <f t="shared" si="4"/>
        <v>319</v>
      </c>
      <c r="K123" s="12">
        <f t="shared" si="5"/>
        <v>223.1</v>
      </c>
    </row>
    <row r="124" spans="1:11" x14ac:dyDescent="0.25">
      <c r="A124" s="6">
        <v>123</v>
      </c>
      <c r="B124" s="6" t="s">
        <v>696</v>
      </c>
      <c r="C124" s="6" t="s">
        <v>644</v>
      </c>
      <c r="D124" s="7">
        <v>2900</v>
      </c>
      <c r="E124" s="6">
        <v>11</v>
      </c>
      <c r="F124" s="11">
        <v>7.0000000000000007E-2</v>
      </c>
      <c r="G124" s="11">
        <v>0.03</v>
      </c>
      <c r="H124" s="6" t="s">
        <v>592</v>
      </c>
      <c r="I124" s="6" t="str">
        <f t="shared" si="3"/>
        <v>Very Easy</v>
      </c>
      <c r="J124" s="7">
        <f t="shared" si="4"/>
        <v>319</v>
      </c>
      <c r="K124" s="12">
        <f t="shared" si="5"/>
        <v>263.60000000000002</v>
      </c>
    </row>
    <row r="125" spans="1:11" x14ac:dyDescent="0.25">
      <c r="A125" s="6">
        <v>124</v>
      </c>
      <c r="B125" s="6" t="s">
        <v>697</v>
      </c>
      <c r="C125" s="6" t="s">
        <v>605</v>
      </c>
      <c r="D125" s="7">
        <v>2900</v>
      </c>
      <c r="E125" s="6">
        <v>8</v>
      </c>
      <c r="F125" s="11">
        <v>0.04</v>
      </c>
      <c r="G125" s="11">
        <v>0.2</v>
      </c>
      <c r="H125" s="6" t="s">
        <v>602</v>
      </c>
      <c r="I125" s="6" t="str">
        <f t="shared" si="3"/>
        <v>Very Easy</v>
      </c>
      <c r="J125" s="7">
        <f t="shared" si="4"/>
        <v>319</v>
      </c>
      <c r="K125" s="12">
        <f t="shared" si="5"/>
        <v>362.5</v>
      </c>
    </row>
    <row r="126" spans="1:11" x14ac:dyDescent="0.25">
      <c r="A126" s="6">
        <v>125</v>
      </c>
      <c r="B126" s="6" t="s">
        <v>698</v>
      </c>
      <c r="C126" s="6" t="s">
        <v>210</v>
      </c>
      <c r="D126" s="7">
        <v>2900</v>
      </c>
      <c r="E126" s="6">
        <v>18</v>
      </c>
      <c r="F126" s="11">
        <v>0.06</v>
      </c>
      <c r="G126" s="11">
        <v>0.12</v>
      </c>
      <c r="H126" s="6" t="s">
        <v>585</v>
      </c>
      <c r="I126" s="6" t="str">
        <f t="shared" si="3"/>
        <v>Easy</v>
      </c>
      <c r="J126" s="7">
        <f t="shared" si="4"/>
        <v>319</v>
      </c>
      <c r="K126" s="12">
        <f t="shared" si="5"/>
        <v>161.1</v>
      </c>
    </row>
    <row r="127" spans="1:11" x14ac:dyDescent="0.25">
      <c r="A127" s="6">
        <v>126</v>
      </c>
      <c r="B127" s="6" t="s">
        <v>699</v>
      </c>
      <c r="C127" s="6" t="s">
        <v>170</v>
      </c>
      <c r="D127" s="7">
        <v>2900</v>
      </c>
      <c r="E127" s="6">
        <v>18</v>
      </c>
      <c r="F127" s="11">
        <v>0.15</v>
      </c>
      <c r="G127" s="11">
        <v>0.03</v>
      </c>
      <c r="H127" s="6" t="s">
        <v>585</v>
      </c>
      <c r="I127" s="6" t="str">
        <f t="shared" si="3"/>
        <v>Easy</v>
      </c>
      <c r="J127" s="7">
        <f t="shared" si="4"/>
        <v>319</v>
      </c>
      <c r="K127" s="12">
        <f t="shared" si="5"/>
        <v>161.1</v>
      </c>
    </row>
    <row r="128" spans="1:11" x14ac:dyDescent="0.25">
      <c r="A128" s="6">
        <v>127</v>
      </c>
      <c r="B128" s="6" t="s">
        <v>700</v>
      </c>
      <c r="C128" s="6" t="s">
        <v>170</v>
      </c>
      <c r="D128" s="7">
        <v>2900</v>
      </c>
      <c r="E128" s="6">
        <v>21</v>
      </c>
      <c r="F128" s="11">
        <v>7.0000000000000007E-2</v>
      </c>
      <c r="G128" s="11">
        <v>0.13</v>
      </c>
      <c r="H128" s="6" t="s">
        <v>585</v>
      </c>
      <c r="I128" s="6" t="str">
        <f t="shared" si="3"/>
        <v>Easy</v>
      </c>
      <c r="J128" s="7">
        <f t="shared" si="4"/>
        <v>319</v>
      </c>
      <c r="K128" s="12">
        <f t="shared" si="5"/>
        <v>138.1</v>
      </c>
    </row>
    <row r="129" spans="1:11" x14ac:dyDescent="0.25">
      <c r="A129" s="6">
        <v>128</v>
      </c>
      <c r="B129" s="6" t="s">
        <v>701</v>
      </c>
      <c r="C129" s="6" t="s">
        <v>77</v>
      </c>
      <c r="D129" s="7">
        <v>2900</v>
      </c>
      <c r="E129" s="6">
        <v>11</v>
      </c>
      <c r="F129" s="11">
        <v>7.0000000000000007E-2</v>
      </c>
      <c r="G129" s="11">
        <v>0.02</v>
      </c>
      <c r="H129" s="6" t="s">
        <v>602</v>
      </c>
      <c r="I129" s="6" t="str">
        <f t="shared" si="3"/>
        <v>Very Easy</v>
      </c>
      <c r="J129" s="7">
        <f t="shared" si="4"/>
        <v>319</v>
      </c>
      <c r="K129" s="12">
        <f t="shared" si="5"/>
        <v>263.60000000000002</v>
      </c>
    </row>
    <row r="130" spans="1:11" x14ac:dyDescent="0.25">
      <c r="A130" s="6">
        <v>129</v>
      </c>
      <c r="B130" s="6" t="s">
        <v>441</v>
      </c>
      <c r="C130" s="6" t="s">
        <v>77</v>
      </c>
      <c r="D130" s="7">
        <v>2900</v>
      </c>
      <c r="E130" s="6">
        <v>19</v>
      </c>
      <c r="F130" s="11">
        <v>0.12</v>
      </c>
      <c r="G130" s="11">
        <v>0.25</v>
      </c>
      <c r="H130" s="6" t="s">
        <v>596</v>
      </c>
      <c r="I130" s="6" t="str">
        <f t="shared" ref="I130:I193" si="6">IF(E130&lt;=15,"Very Easy",IF(E130&lt;=25,"Easy",IF(E130&lt;=40,"Medium","Hard")))</f>
        <v>Easy</v>
      </c>
      <c r="J130" s="7">
        <f t="shared" ref="J130:J193" si="7">ROUND(D130*0.11,0)</f>
        <v>319</v>
      </c>
      <c r="K130" s="12">
        <f t="shared" ref="K130:K193" si="8">ROUND(D130/MAX(E130,1),1)</f>
        <v>152.6</v>
      </c>
    </row>
    <row r="131" spans="1:11" x14ac:dyDescent="0.25">
      <c r="A131" s="6">
        <v>130</v>
      </c>
      <c r="B131" s="6" t="s">
        <v>702</v>
      </c>
      <c r="C131" s="6" t="s">
        <v>77</v>
      </c>
      <c r="D131" s="7">
        <v>2900</v>
      </c>
      <c r="E131" s="6">
        <v>12</v>
      </c>
      <c r="F131" s="11">
        <v>0.03</v>
      </c>
      <c r="G131" s="11">
        <v>0.21</v>
      </c>
      <c r="H131" s="6" t="s">
        <v>585</v>
      </c>
      <c r="I131" s="6" t="str">
        <f t="shared" si="6"/>
        <v>Very Easy</v>
      </c>
      <c r="J131" s="7">
        <f t="shared" si="7"/>
        <v>319</v>
      </c>
      <c r="K131" s="12">
        <f t="shared" si="8"/>
        <v>241.7</v>
      </c>
    </row>
    <row r="132" spans="1:11" x14ac:dyDescent="0.25">
      <c r="A132" s="6">
        <v>131</v>
      </c>
      <c r="B132" s="6" t="s">
        <v>703</v>
      </c>
      <c r="C132" s="6" t="s">
        <v>77</v>
      </c>
      <c r="D132" s="7">
        <v>2900</v>
      </c>
      <c r="E132" s="6">
        <v>26</v>
      </c>
      <c r="F132" s="11">
        <v>0.13</v>
      </c>
      <c r="G132" s="11">
        <v>0.08</v>
      </c>
      <c r="H132" s="6" t="s">
        <v>585</v>
      </c>
      <c r="I132" s="6" t="str">
        <f t="shared" si="6"/>
        <v>Medium</v>
      </c>
      <c r="J132" s="7">
        <f t="shared" si="7"/>
        <v>319</v>
      </c>
      <c r="K132" s="12">
        <f t="shared" si="8"/>
        <v>111.5</v>
      </c>
    </row>
    <row r="133" spans="1:11" x14ac:dyDescent="0.25">
      <c r="A133" s="6">
        <v>132</v>
      </c>
      <c r="B133" s="6" t="s">
        <v>704</v>
      </c>
      <c r="C133" s="6" t="s">
        <v>77</v>
      </c>
      <c r="D133" s="7">
        <v>2900</v>
      </c>
      <c r="E133" s="6">
        <v>13</v>
      </c>
      <c r="F133" s="11">
        <v>0.08</v>
      </c>
      <c r="G133" s="11">
        <v>0.03</v>
      </c>
      <c r="H133" s="6" t="s">
        <v>616</v>
      </c>
      <c r="I133" s="6" t="str">
        <f t="shared" si="6"/>
        <v>Very Easy</v>
      </c>
      <c r="J133" s="7">
        <f t="shared" si="7"/>
        <v>319</v>
      </c>
      <c r="K133" s="12">
        <f t="shared" si="8"/>
        <v>223.1</v>
      </c>
    </row>
    <row r="134" spans="1:11" x14ac:dyDescent="0.25">
      <c r="A134" s="6">
        <v>133</v>
      </c>
      <c r="B134" s="6" t="s">
        <v>705</v>
      </c>
      <c r="C134" s="6" t="s">
        <v>77</v>
      </c>
      <c r="D134" s="7">
        <v>2900</v>
      </c>
      <c r="E134" s="6">
        <v>16</v>
      </c>
      <c r="F134" s="11">
        <v>0.06</v>
      </c>
      <c r="G134" s="11">
        <v>0.06</v>
      </c>
      <c r="H134" s="6" t="s">
        <v>585</v>
      </c>
      <c r="I134" s="6" t="str">
        <f t="shared" si="6"/>
        <v>Easy</v>
      </c>
      <c r="J134" s="7">
        <f t="shared" si="7"/>
        <v>319</v>
      </c>
      <c r="K134" s="12">
        <f t="shared" si="8"/>
        <v>181.3</v>
      </c>
    </row>
    <row r="135" spans="1:11" x14ac:dyDescent="0.25">
      <c r="A135" s="6">
        <v>134</v>
      </c>
      <c r="B135" s="6" t="s">
        <v>706</v>
      </c>
      <c r="C135" s="6" t="s">
        <v>77</v>
      </c>
      <c r="D135" s="7">
        <v>2900</v>
      </c>
      <c r="E135" s="6">
        <v>11</v>
      </c>
      <c r="F135" s="11">
        <v>0.09</v>
      </c>
      <c r="G135" s="11">
        <v>0.12</v>
      </c>
      <c r="H135" s="6" t="s">
        <v>602</v>
      </c>
      <c r="I135" s="6" t="str">
        <f t="shared" si="6"/>
        <v>Very Easy</v>
      </c>
      <c r="J135" s="7">
        <f t="shared" si="7"/>
        <v>319</v>
      </c>
      <c r="K135" s="12">
        <f t="shared" si="8"/>
        <v>263.60000000000002</v>
      </c>
    </row>
    <row r="136" spans="1:11" x14ac:dyDescent="0.25">
      <c r="A136" s="6">
        <v>135</v>
      </c>
      <c r="B136" s="6" t="s">
        <v>707</v>
      </c>
      <c r="C136" s="6" t="s">
        <v>77</v>
      </c>
      <c r="D136" s="7">
        <v>2900</v>
      </c>
      <c r="E136" s="6">
        <v>9</v>
      </c>
      <c r="F136" s="11">
        <v>0.14000000000000001</v>
      </c>
      <c r="G136" s="11">
        <v>0.15</v>
      </c>
      <c r="H136" s="6" t="s">
        <v>585</v>
      </c>
      <c r="I136" s="6" t="str">
        <f t="shared" si="6"/>
        <v>Very Easy</v>
      </c>
      <c r="J136" s="7">
        <f t="shared" si="7"/>
        <v>319</v>
      </c>
      <c r="K136" s="12">
        <f t="shared" si="8"/>
        <v>322.2</v>
      </c>
    </row>
    <row r="137" spans="1:11" x14ac:dyDescent="0.25">
      <c r="A137" s="6">
        <v>136</v>
      </c>
      <c r="B137" s="6" t="s">
        <v>708</v>
      </c>
      <c r="C137" s="6" t="s">
        <v>624</v>
      </c>
      <c r="D137" s="7">
        <v>2900</v>
      </c>
      <c r="E137" s="6">
        <v>16</v>
      </c>
      <c r="F137" s="11">
        <v>0.02</v>
      </c>
      <c r="G137" s="11">
        <v>0.13</v>
      </c>
      <c r="H137" s="6" t="s">
        <v>602</v>
      </c>
      <c r="I137" s="6" t="str">
        <f t="shared" si="6"/>
        <v>Easy</v>
      </c>
      <c r="J137" s="7">
        <f t="shared" si="7"/>
        <v>319</v>
      </c>
      <c r="K137" s="12">
        <f t="shared" si="8"/>
        <v>181.3</v>
      </c>
    </row>
    <row r="138" spans="1:11" x14ac:dyDescent="0.25">
      <c r="A138" s="6">
        <v>137</v>
      </c>
      <c r="B138" s="6" t="s">
        <v>709</v>
      </c>
      <c r="C138" s="6" t="s">
        <v>624</v>
      </c>
      <c r="D138" s="7">
        <v>2900</v>
      </c>
      <c r="E138" s="6">
        <v>18</v>
      </c>
      <c r="F138" s="11">
        <v>0.01</v>
      </c>
      <c r="G138" s="11">
        <v>0.33</v>
      </c>
      <c r="H138" s="6" t="s">
        <v>596</v>
      </c>
      <c r="I138" s="6" t="str">
        <f t="shared" si="6"/>
        <v>Easy</v>
      </c>
      <c r="J138" s="7">
        <f t="shared" si="7"/>
        <v>319</v>
      </c>
      <c r="K138" s="12">
        <f t="shared" si="8"/>
        <v>161.1</v>
      </c>
    </row>
    <row r="139" spans="1:11" x14ac:dyDescent="0.25">
      <c r="A139" s="6">
        <v>138</v>
      </c>
      <c r="B139" s="6" t="s">
        <v>710</v>
      </c>
      <c r="C139" s="6" t="s">
        <v>588</v>
      </c>
      <c r="D139" s="7">
        <v>2900</v>
      </c>
      <c r="E139" s="6">
        <v>33</v>
      </c>
      <c r="F139" s="11">
        <v>0.25</v>
      </c>
      <c r="G139" s="11">
        <v>0.01</v>
      </c>
      <c r="H139" s="6" t="s">
        <v>585</v>
      </c>
      <c r="I139" s="6" t="str">
        <f t="shared" si="6"/>
        <v>Medium</v>
      </c>
      <c r="J139" s="7">
        <f t="shared" si="7"/>
        <v>319</v>
      </c>
      <c r="K139" s="12">
        <f t="shared" si="8"/>
        <v>87.9</v>
      </c>
    </row>
    <row r="140" spans="1:11" x14ac:dyDescent="0.25">
      <c r="A140" s="6">
        <v>139</v>
      </c>
      <c r="B140" s="6" t="s">
        <v>711</v>
      </c>
      <c r="C140" s="6" t="s">
        <v>588</v>
      </c>
      <c r="D140" s="7">
        <v>2900</v>
      </c>
      <c r="E140" s="6">
        <v>30</v>
      </c>
      <c r="F140" s="11">
        <v>0.23</v>
      </c>
      <c r="G140" s="11">
        <v>0.33</v>
      </c>
      <c r="H140" s="6" t="s">
        <v>585</v>
      </c>
      <c r="I140" s="6" t="str">
        <f t="shared" si="6"/>
        <v>Medium</v>
      </c>
      <c r="J140" s="7">
        <f t="shared" si="7"/>
        <v>319</v>
      </c>
      <c r="K140" s="12">
        <f t="shared" si="8"/>
        <v>96.7</v>
      </c>
    </row>
    <row r="141" spans="1:11" x14ac:dyDescent="0.25">
      <c r="A141" s="6">
        <v>140</v>
      </c>
      <c r="B141" s="6" t="s">
        <v>712</v>
      </c>
      <c r="C141" s="6" t="s">
        <v>644</v>
      </c>
      <c r="D141" s="7">
        <v>2400</v>
      </c>
      <c r="E141" s="6">
        <v>14</v>
      </c>
      <c r="F141" s="11">
        <v>0.05</v>
      </c>
      <c r="G141" s="11">
        <v>0.14000000000000001</v>
      </c>
      <c r="H141" s="6" t="s">
        <v>596</v>
      </c>
      <c r="I141" s="6" t="str">
        <f t="shared" si="6"/>
        <v>Very Easy</v>
      </c>
      <c r="J141" s="7">
        <f t="shared" si="7"/>
        <v>264</v>
      </c>
      <c r="K141" s="12">
        <f t="shared" si="8"/>
        <v>171.4</v>
      </c>
    </row>
    <row r="142" spans="1:11" x14ac:dyDescent="0.25">
      <c r="A142" s="6">
        <v>141</v>
      </c>
      <c r="B142" s="6" t="s">
        <v>432</v>
      </c>
      <c r="C142" s="6" t="s">
        <v>605</v>
      </c>
      <c r="D142" s="7">
        <v>2400</v>
      </c>
      <c r="E142" s="6">
        <v>13</v>
      </c>
      <c r="F142" s="11">
        <v>0.17</v>
      </c>
      <c r="G142" s="11">
        <v>0.26</v>
      </c>
      <c r="H142" s="6" t="s">
        <v>585</v>
      </c>
      <c r="I142" s="6" t="str">
        <f t="shared" si="6"/>
        <v>Very Easy</v>
      </c>
      <c r="J142" s="7">
        <f t="shared" si="7"/>
        <v>264</v>
      </c>
      <c r="K142" s="12">
        <f t="shared" si="8"/>
        <v>184.6</v>
      </c>
    </row>
    <row r="143" spans="1:11" x14ac:dyDescent="0.25">
      <c r="A143" s="6">
        <v>142</v>
      </c>
      <c r="B143" s="6" t="s">
        <v>713</v>
      </c>
      <c r="C143" s="6" t="s">
        <v>605</v>
      </c>
      <c r="D143" s="7">
        <v>2400</v>
      </c>
      <c r="E143" s="6">
        <v>14</v>
      </c>
      <c r="F143" s="11">
        <v>0.09</v>
      </c>
      <c r="G143" s="11">
        <v>0.16</v>
      </c>
      <c r="H143" s="6" t="s">
        <v>592</v>
      </c>
      <c r="I143" s="6" t="str">
        <f t="shared" si="6"/>
        <v>Very Easy</v>
      </c>
      <c r="J143" s="7">
        <f t="shared" si="7"/>
        <v>264</v>
      </c>
      <c r="K143" s="12">
        <f t="shared" si="8"/>
        <v>171.4</v>
      </c>
    </row>
    <row r="144" spans="1:11" x14ac:dyDescent="0.25">
      <c r="A144" s="6">
        <v>143</v>
      </c>
      <c r="B144" s="6" t="s">
        <v>481</v>
      </c>
      <c r="C144" s="6" t="s">
        <v>584</v>
      </c>
      <c r="D144" s="7">
        <v>2400</v>
      </c>
      <c r="E144" s="6">
        <v>9</v>
      </c>
      <c r="F144" s="11">
        <v>0.13</v>
      </c>
      <c r="G144" s="11">
        <v>0.23</v>
      </c>
      <c r="H144" s="6" t="s">
        <v>585</v>
      </c>
      <c r="I144" s="6" t="str">
        <f t="shared" si="6"/>
        <v>Very Easy</v>
      </c>
      <c r="J144" s="7">
        <f t="shared" si="7"/>
        <v>264</v>
      </c>
      <c r="K144" s="12">
        <f t="shared" si="8"/>
        <v>266.7</v>
      </c>
    </row>
    <row r="145" spans="1:11" x14ac:dyDescent="0.25">
      <c r="A145" s="6">
        <v>144</v>
      </c>
      <c r="B145" s="6" t="s">
        <v>714</v>
      </c>
      <c r="C145" s="6" t="s">
        <v>210</v>
      </c>
      <c r="D145" s="7">
        <v>2400</v>
      </c>
      <c r="E145" s="6">
        <v>17</v>
      </c>
      <c r="F145" s="11">
        <v>0.05</v>
      </c>
      <c r="G145" s="11">
        <v>0.08</v>
      </c>
      <c r="H145" s="6" t="s">
        <v>596</v>
      </c>
      <c r="I145" s="6" t="str">
        <f t="shared" si="6"/>
        <v>Easy</v>
      </c>
      <c r="J145" s="7">
        <f t="shared" si="7"/>
        <v>264</v>
      </c>
      <c r="K145" s="12">
        <f t="shared" si="8"/>
        <v>141.19999999999999</v>
      </c>
    </row>
    <row r="146" spans="1:11" x14ac:dyDescent="0.25">
      <c r="A146" s="6">
        <v>145</v>
      </c>
      <c r="B146" s="6" t="s">
        <v>715</v>
      </c>
      <c r="C146" s="6" t="s">
        <v>210</v>
      </c>
      <c r="D146" s="7">
        <v>2400</v>
      </c>
      <c r="E146" s="6">
        <v>19</v>
      </c>
      <c r="F146" s="11">
        <v>7.0000000000000007E-2</v>
      </c>
      <c r="G146" s="11">
        <v>0.3</v>
      </c>
      <c r="H146" s="6" t="s">
        <v>585</v>
      </c>
      <c r="I146" s="6" t="str">
        <f t="shared" si="6"/>
        <v>Easy</v>
      </c>
      <c r="J146" s="7">
        <f t="shared" si="7"/>
        <v>264</v>
      </c>
      <c r="K146" s="12">
        <f t="shared" si="8"/>
        <v>126.3</v>
      </c>
    </row>
    <row r="147" spans="1:11" x14ac:dyDescent="0.25">
      <c r="A147" s="6">
        <v>146</v>
      </c>
      <c r="B147" s="6" t="s">
        <v>716</v>
      </c>
      <c r="C147" s="6" t="s">
        <v>210</v>
      </c>
      <c r="D147" s="7">
        <v>2400</v>
      </c>
      <c r="E147" s="6">
        <v>20</v>
      </c>
      <c r="F147" s="11">
        <v>0.05</v>
      </c>
      <c r="G147" s="11">
        <v>0.24</v>
      </c>
      <c r="H147" s="6" t="s">
        <v>589</v>
      </c>
      <c r="I147" s="6" t="str">
        <f t="shared" si="6"/>
        <v>Easy</v>
      </c>
      <c r="J147" s="7">
        <f t="shared" si="7"/>
        <v>264</v>
      </c>
      <c r="K147" s="12">
        <f t="shared" si="8"/>
        <v>120</v>
      </c>
    </row>
    <row r="148" spans="1:11" x14ac:dyDescent="0.25">
      <c r="A148" s="6">
        <v>147</v>
      </c>
      <c r="B148" s="6" t="s">
        <v>717</v>
      </c>
      <c r="C148" s="6" t="s">
        <v>210</v>
      </c>
      <c r="D148" s="7">
        <v>2400</v>
      </c>
      <c r="E148" s="6">
        <v>19</v>
      </c>
      <c r="F148" s="11">
        <v>0.13</v>
      </c>
      <c r="G148" s="11">
        <v>0.22</v>
      </c>
      <c r="H148" s="6" t="s">
        <v>585</v>
      </c>
      <c r="I148" s="6" t="str">
        <f t="shared" si="6"/>
        <v>Easy</v>
      </c>
      <c r="J148" s="7">
        <f t="shared" si="7"/>
        <v>264</v>
      </c>
      <c r="K148" s="12">
        <f t="shared" si="8"/>
        <v>126.3</v>
      </c>
    </row>
    <row r="149" spans="1:11" x14ac:dyDescent="0.25">
      <c r="A149" s="6">
        <v>148</v>
      </c>
      <c r="B149" s="6" t="s">
        <v>718</v>
      </c>
      <c r="C149" s="6" t="s">
        <v>210</v>
      </c>
      <c r="D149" s="7">
        <v>2400</v>
      </c>
      <c r="E149" s="6">
        <v>16</v>
      </c>
      <c r="F149" s="11">
        <v>0.12</v>
      </c>
      <c r="G149" s="11">
        <v>0.19</v>
      </c>
      <c r="H149" s="6" t="s">
        <v>616</v>
      </c>
      <c r="I149" s="6" t="str">
        <f t="shared" si="6"/>
        <v>Easy</v>
      </c>
      <c r="J149" s="7">
        <f t="shared" si="7"/>
        <v>264</v>
      </c>
      <c r="K149" s="12">
        <f t="shared" si="8"/>
        <v>150</v>
      </c>
    </row>
    <row r="150" spans="1:11" x14ac:dyDescent="0.25">
      <c r="A150" s="6">
        <v>149</v>
      </c>
      <c r="B150" s="6" t="s">
        <v>719</v>
      </c>
      <c r="C150" s="6" t="s">
        <v>170</v>
      </c>
      <c r="D150" s="7">
        <v>2400</v>
      </c>
      <c r="E150" s="6">
        <v>25</v>
      </c>
      <c r="F150" s="11">
        <v>0.13</v>
      </c>
      <c r="G150" s="11">
        <v>0.14000000000000001</v>
      </c>
      <c r="H150" s="6" t="s">
        <v>585</v>
      </c>
      <c r="I150" s="6" t="str">
        <f t="shared" si="6"/>
        <v>Easy</v>
      </c>
      <c r="J150" s="7">
        <f t="shared" si="7"/>
        <v>264</v>
      </c>
      <c r="K150" s="12">
        <f t="shared" si="8"/>
        <v>96</v>
      </c>
    </row>
    <row r="151" spans="1:11" x14ac:dyDescent="0.25">
      <c r="A151" s="6">
        <v>150</v>
      </c>
      <c r="B151" s="6" t="s">
        <v>233</v>
      </c>
      <c r="C151" s="6" t="s">
        <v>179</v>
      </c>
      <c r="D151" s="7">
        <v>2400</v>
      </c>
      <c r="E151" s="6">
        <v>18</v>
      </c>
      <c r="F151" s="11">
        <v>0.1</v>
      </c>
      <c r="G151" s="11">
        <v>0.08</v>
      </c>
      <c r="H151" s="6" t="s">
        <v>616</v>
      </c>
      <c r="I151" s="6" t="str">
        <f t="shared" si="6"/>
        <v>Easy</v>
      </c>
      <c r="J151" s="7">
        <f t="shared" si="7"/>
        <v>264</v>
      </c>
      <c r="K151" s="12">
        <f t="shared" si="8"/>
        <v>133.30000000000001</v>
      </c>
    </row>
    <row r="152" spans="1:11" x14ac:dyDescent="0.25">
      <c r="A152" s="6">
        <v>151</v>
      </c>
      <c r="B152" s="6" t="s">
        <v>423</v>
      </c>
      <c r="C152" s="6" t="s">
        <v>624</v>
      </c>
      <c r="D152" s="7">
        <v>2400</v>
      </c>
      <c r="E152" s="6">
        <v>24</v>
      </c>
      <c r="F152" s="11">
        <v>0.04</v>
      </c>
      <c r="G152" s="11">
        <v>0.04</v>
      </c>
      <c r="H152" s="6" t="s">
        <v>585</v>
      </c>
      <c r="I152" s="6" t="str">
        <f t="shared" si="6"/>
        <v>Easy</v>
      </c>
      <c r="J152" s="7">
        <f t="shared" si="7"/>
        <v>264</v>
      </c>
      <c r="K152" s="12">
        <f t="shared" si="8"/>
        <v>100</v>
      </c>
    </row>
    <row r="153" spans="1:11" x14ac:dyDescent="0.25">
      <c r="A153" s="6">
        <v>152</v>
      </c>
      <c r="B153" s="6" t="s">
        <v>720</v>
      </c>
      <c r="C153" s="6" t="s">
        <v>624</v>
      </c>
      <c r="D153" s="7">
        <v>2400</v>
      </c>
      <c r="E153" s="6">
        <v>24</v>
      </c>
      <c r="F153" s="11">
        <v>0.04</v>
      </c>
      <c r="G153" s="11">
        <v>0.03</v>
      </c>
      <c r="H153" s="6" t="s">
        <v>585</v>
      </c>
      <c r="I153" s="6" t="str">
        <f t="shared" si="6"/>
        <v>Easy</v>
      </c>
      <c r="J153" s="7">
        <f t="shared" si="7"/>
        <v>264</v>
      </c>
      <c r="K153" s="12">
        <f t="shared" si="8"/>
        <v>100</v>
      </c>
    </row>
    <row r="154" spans="1:11" x14ac:dyDescent="0.25">
      <c r="A154" s="6">
        <v>153</v>
      </c>
      <c r="B154" s="6" t="s">
        <v>721</v>
      </c>
      <c r="C154" s="6" t="s">
        <v>624</v>
      </c>
      <c r="D154" s="7">
        <v>2400</v>
      </c>
      <c r="E154" s="6">
        <v>15</v>
      </c>
      <c r="F154" s="11">
        <v>0.05</v>
      </c>
      <c r="G154" s="11">
        <v>0.08</v>
      </c>
      <c r="H154" s="6" t="s">
        <v>668</v>
      </c>
      <c r="I154" s="6" t="str">
        <f t="shared" si="6"/>
        <v>Very Easy</v>
      </c>
      <c r="J154" s="7">
        <f t="shared" si="7"/>
        <v>264</v>
      </c>
      <c r="K154" s="12">
        <f t="shared" si="8"/>
        <v>160</v>
      </c>
    </row>
    <row r="155" spans="1:11" x14ac:dyDescent="0.25">
      <c r="A155" s="6">
        <v>154</v>
      </c>
      <c r="B155" s="6" t="s">
        <v>722</v>
      </c>
      <c r="C155" s="6" t="s">
        <v>588</v>
      </c>
      <c r="D155" s="7">
        <v>2400</v>
      </c>
      <c r="E155" s="6">
        <v>6</v>
      </c>
      <c r="F155" s="11">
        <v>0.03</v>
      </c>
      <c r="G155" s="11">
        <v>0.09</v>
      </c>
      <c r="H155" s="6" t="s">
        <v>585</v>
      </c>
      <c r="I155" s="6" t="str">
        <f t="shared" si="6"/>
        <v>Very Easy</v>
      </c>
      <c r="J155" s="7">
        <f t="shared" si="7"/>
        <v>264</v>
      </c>
      <c r="K155" s="12">
        <f t="shared" si="8"/>
        <v>400</v>
      </c>
    </row>
    <row r="156" spans="1:11" x14ac:dyDescent="0.25">
      <c r="A156" s="6">
        <v>155</v>
      </c>
      <c r="B156" s="6" t="s">
        <v>723</v>
      </c>
      <c r="C156" s="6" t="s">
        <v>588</v>
      </c>
      <c r="D156" s="7">
        <v>2400</v>
      </c>
      <c r="E156" s="6">
        <v>33</v>
      </c>
      <c r="F156" s="11">
        <v>0.06</v>
      </c>
      <c r="G156" s="11">
        <v>0.19</v>
      </c>
      <c r="H156" s="6" t="s">
        <v>589</v>
      </c>
      <c r="I156" s="6" t="str">
        <f t="shared" si="6"/>
        <v>Medium</v>
      </c>
      <c r="J156" s="7">
        <f t="shared" si="7"/>
        <v>264</v>
      </c>
      <c r="K156" s="12">
        <f t="shared" si="8"/>
        <v>72.7</v>
      </c>
    </row>
    <row r="157" spans="1:11" x14ac:dyDescent="0.25">
      <c r="A157" s="6">
        <v>156</v>
      </c>
      <c r="B157" s="6" t="s">
        <v>724</v>
      </c>
      <c r="C157" s="6" t="s">
        <v>588</v>
      </c>
      <c r="D157" s="7">
        <v>2400</v>
      </c>
      <c r="E157" s="6">
        <v>24</v>
      </c>
      <c r="F157" s="11">
        <v>0.09</v>
      </c>
      <c r="G157" s="11">
        <v>0.16</v>
      </c>
      <c r="H157" s="6" t="s">
        <v>592</v>
      </c>
      <c r="I157" s="6" t="str">
        <f t="shared" si="6"/>
        <v>Easy</v>
      </c>
      <c r="J157" s="7">
        <f t="shared" si="7"/>
        <v>264</v>
      </c>
      <c r="K157" s="12">
        <f t="shared" si="8"/>
        <v>100</v>
      </c>
    </row>
    <row r="158" spans="1:11" x14ac:dyDescent="0.25">
      <c r="A158" s="6">
        <v>157</v>
      </c>
      <c r="B158" s="6" t="s">
        <v>725</v>
      </c>
      <c r="C158" s="6" t="s">
        <v>605</v>
      </c>
      <c r="D158" s="7">
        <v>1900</v>
      </c>
      <c r="E158" s="6">
        <v>11</v>
      </c>
      <c r="F158" s="11">
        <v>0.13</v>
      </c>
      <c r="G158" s="11">
        <v>0.26</v>
      </c>
      <c r="H158" s="6" t="s">
        <v>585</v>
      </c>
      <c r="I158" s="6" t="str">
        <f t="shared" si="6"/>
        <v>Very Easy</v>
      </c>
      <c r="J158" s="7">
        <f t="shared" si="7"/>
        <v>209</v>
      </c>
      <c r="K158" s="12">
        <f t="shared" si="8"/>
        <v>172.7</v>
      </c>
    </row>
    <row r="159" spans="1:11" x14ac:dyDescent="0.25">
      <c r="A159" s="6">
        <v>158</v>
      </c>
      <c r="B159" s="6" t="s">
        <v>460</v>
      </c>
      <c r="C159" s="6" t="s">
        <v>644</v>
      </c>
      <c r="D159" s="7">
        <v>1900</v>
      </c>
      <c r="E159" s="6">
        <v>12</v>
      </c>
      <c r="F159" s="11">
        <v>0.17</v>
      </c>
      <c r="G159" s="11">
        <v>0.36</v>
      </c>
      <c r="H159" s="6" t="s">
        <v>585</v>
      </c>
      <c r="I159" s="6" t="str">
        <f t="shared" si="6"/>
        <v>Very Easy</v>
      </c>
      <c r="J159" s="7">
        <f t="shared" si="7"/>
        <v>209</v>
      </c>
      <c r="K159" s="12">
        <f t="shared" si="8"/>
        <v>158.30000000000001</v>
      </c>
    </row>
    <row r="160" spans="1:11" x14ac:dyDescent="0.25">
      <c r="A160" s="6">
        <v>159</v>
      </c>
      <c r="B160" s="6" t="s">
        <v>258</v>
      </c>
      <c r="C160" s="6" t="s">
        <v>726</v>
      </c>
      <c r="D160" s="7">
        <v>1900</v>
      </c>
      <c r="E160" s="6">
        <v>31</v>
      </c>
      <c r="F160" s="11">
        <v>0.1</v>
      </c>
      <c r="G160" s="11">
        <v>0.11</v>
      </c>
      <c r="H160" s="6" t="s">
        <v>585</v>
      </c>
      <c r="I160" s="6" t="str">
        <f t="shared" si="6"/>
        <v>Medium</v>
      </c>
      <c r="J160" s="7">
        <f t="shared" si="7"/>
        <v>209</v>
      </c>
      <c r="K160" s="12">
        <f t="shared" si="8"/>
        <v>61.3</v>
      </c>
    </row>
    <row r="161" spans="1:11" x14ac:dyDescent="0.25">
      <c r="A161" s="6">
        <v>160</v>
      </c>
      <c r="B161" s="6" t="s">
        <v>727</v>
      </c>
      <c r="C161" s="6" t="s">
        <v>605</v>
      </c>
      <c r="D161" s="7">
        <v>1900</v>
      </c>
      <c r="E161" s="6">
        <v>25</v>
      </c>
      <c r="F161" s="11">
        <v>0.09</v>
      </c>
      <c r="G161" s="11">
        <v>0.19</v>
      </c>
      <c r="H161" s="6" t="s">
        <v>585</v>
      </c>
      <c r="I161" s="6" t="str">
        <f t="shared" si="6"/>
        <v>Easy</v>
      </c>
      <c r="J161" s="7">
        <f t="shared" si="7"/>
        <v>209</v>
      </c>
      <c r="K161" s="12">
        <f t="shared" si="8"/>
        <v>76</v>
      </c>
    </row>
    <row r="162" spans="1:11" x14ac:dyDescent="0.25">
      <c r="A162" s="6">
        <v>161</v>
      </c>
      <c r="B162" s="6" t="s">
        <v>728</v>
      </c>
      <c r="C162" s="6" t="s">
        <v>605</v>
      </c>
      <c r="D162" s="7">
        <v>1900</v>
      </c>
      <c r="E162" s="6">
        <v>11</v>
      </c>
      <c r="F162" s="11">
        <v>0.02</v>
      </c>
      <c r="G162" s="11">
        <v>0.16</v>
      </c>
      <c r="H162" s="6" t="s">
        <v>585</v>
      </c>
      <c r="I162" s="6" t="str">
        <f t="shared" si="6"/>
        <v>Very Easy</v>
      </c>
      <c r="J162" s="7">
        <f t="shared" si="7"/>
        <v>209</v>
      </c>
      <c r="K162" s="12">
        <f t="shared" si="8"/>
        <v>172.7</v>
      </c>
    </row>
    <row r="163" spans="1:11" x14ac:dyDescent="0.25">
      <c r="A163" s="6">
        <v>162</v>
      </c>
      <c r="B163" s="6" t="s">
        <v>560</v>
      </c>
      <c r="C163" s="6" t="s">
        <v>605</v>
      </c>
      <c r="D163" s="7">
        <v>1900</v>
      </c>
      <c r="E163" s="6">
        <v>17</v>
      </c>
      <c r="F163" s="11">
        <v>0.11</v>
      </c>
      <c r="G163" s="11">
        <v>0.99</v>
      </c>
      <c r="H163" s="6" t="s">
        <v>651</v>
      </c>
      <c r="I163" s="6" t="str">
        <f t="shared" si="6"/>
        <v>Easy</v>
      </c>
      <c r="J163" s="7">
        <f t="shared" si="7"/>
        <v>209</v>
      </c>
      <c r="K163" s="12">
        <f t="shared" si="8"/>
        <v>111.8</v>
      </c>
    </row>
    <row r="164" spans="1:11" x14ac:dyDescent="0.25">
      <c r="A164" s="6">
        <v>163</v>
      </c>
      <c r="B164" s="6" t="s">
        <v>729</v>
      </c>
      <c r="C164" s="6" t="s">
        <v>210</v>
      </c>
      <c r="D164" s="7">
        <v>1900</v>
      </c>
      <c r="E164" s="6">
        <v>19</v>
      </c>
      <c r="F164" s="11">
        <v>0.09</v>
      </c>
      <c r="G164" s="11">
        <v>0.18</v>
      </c>
      <c r="H164" s="6" t="s">
        <v>592</v>
      </c>
      <c r="I164" s="6" t="str">
        <f t="shared" si="6"/>
        <v>Easy</v>
      </c>
      <c r="J164" s="7">
        <f t="shared" si="7"/>
        <v>209</v>
      </c>
      <c r="K164" s="12">
        <f t="shared" si="8"/>
        <v>100</v>
      </c>
    </row>
    <row r="165" spans="1:11" x14ac:dyDescent="0.25">
      <c r="A165" s="6">
        <v>164</v>
      </c>
      <c r="B165" s="6" t="s">
        <v>730</v>
      </c>
      <c r="C165" s="6" t="s">
        <v>210</v>
      </c>
      <c r="D165" s="7">
        <v>1900</v>
      </c>
      <c r="E165" s="6">
        <v>18</v>
      </c>
      <c r="F165" s="11">
        <v>0.11</v>
      </c>
      <c r="G165" s="11">
        <v>0.04</v>
      </c>
      <c r="H165" s="6" t="s">
        <v>585</v>
      </c>
      <c r="I165" s="6" t="str">
        <f t="shared" si="6"/>
        <v>Easy</v>
      </c>
      <c r="J165" s="7">
        <f t="shared" si="7"/>
        <v>209</v>
      </c>
      <c r="K165" s="12">
        <f t="shared" si="8"/>
        <v>105.6</v>
      </c>
    </row>
    <row r="166" spans="1:11" x14ac:dyDescent="0.25">
      <c r="A166" s="6">
        <v>165</v>
      </c>
      <c r="B166" s="6" t="s">
        <v>731</v>
      </c>
      <c r="C166" s="6" t="s">
        <v>210</v>
      </c>
      <c r="D166" s="7">
        <v>1900</v>
      </c>
      <c r="E166" s="6">
        <v>22</v>
      </c>
      <c r="F166" s="11">
        <v>0.04</v>
      </c>
      <c r="G166" s="11">
        <v>0.1</v>
      </c>
      <c r="H166" s="6" t="s">
        <v>585</v>
      </c>
      <c r="I166" s="6" t="str">
        <f t="shared" si="6"/>
        <v>Easy</v>
      </c>
      <c r="J166" s="7">
        <f t="shared" si="7"/>
        <v>209</v>
      </c>
      <c r="K166" s="12">
        <f t="shared" si="8"/>
        <v>86.4</v>
      </c>
    </row>
    <row r="167" spans="1:11" x14ac:dyDescent="0.25">
      <c r="A167" s="6">
        <v>166</v>
      </c>
      <c r="B167" s="6" t="s">
        <v>732</v>
      </c>
      <c r="C167" s="6" t="s">
        <v>210</v>
      </c>
      <c r="D167" s="7">
        <v>1900</v>
      </c>
      <c r="E167" s="6">
        <v>13</v>
      </c>
      <c r="F167" s="11">
        <v>0.12</v>
      </c>
      <c r="G167" s="11">
        <v>0.04</v>
      </c>
      <c r="H167" s="6" t="s">
        <v>585</v>
      </c>
      <c r="I167" s="6" t="str">
        <f t="shared" si="6"/>
        <v>Very Easy</v>
      </c>
      <c r="J167" s="7">
        <f t="shared" si="7"/>
        <v>209</v>
      </c>
      <c r="K167" s="12">
        <f t="shared" si="8"/>
        <v>146.19999999999999</v>
      </c>
    </row>
    <row r="168" spans="1:11" x14ac:dyDescent="0.25">
      <c r="A168" s="6">
        <v>167</v>
      </c>
      <c r="B168" s="6" t="s">
        <v>733</v>
      </c>
      <c r="C168" s="6" t="s">
        <v>170</v>
      </c>
      <c r="D168" s="7">
        <v>1900</v>
      </c>
      <c r="E168" s="6">
        <v>21</v>
      </c>
      <c r="F168" s="11">
        <v>0.13</v>
      </c>
      <c r="G168" s="11">
        <v>0.25</v>
      </c>
      <c r="H168" s="6" t="s">
        <v>592</v>
      </c>
      <c r="I168" s="6" t="str">
        <f t="shared" si="6"/>
        <v>Easy</v>
      </c>
      <c r="J168" s="7">
        <f t="shared" si="7"/>
        <v>209</v>
      </c>
      <c r="K168" s="12">
        <f t="shared" si="8"/>
        <v>90.5</v>
      </c>
    </row>
    <row r="169" spans="1:11" x14ac:dyDescent="0.25">
      <c r="A169" s="6">
        <v>168</v>
      </c>
      <c r="B169" s="6" t="s">
        <v>734</v>
      </c>
      <c r="C169" s="6" t="s">
        <v>170</v>
      </c>
      <c r="D169" s="7">
        <v>1900</v>
      </c>
      <c r="E169" s="6">
        <v>7</v>
      </c>
      <c r="F169" s="11">
        <v>7.0000000000000007E-2</v>
      </c>
      <c r="G169" s="11">
        <v>0.06</v>
      </c>
      <c r="H169" s="6" t="s">
        <v>585</v>
      </c>
      <c r="I169" s="6" t="str">
        <f t="shared" si="6"/>
        <v>Very Easy</v>
      </c>
      <c r="J169" s="7">
        <f t="shared" si="7"/>
        <v>209</v>
      </c>
      <c r="K169" s="12">
        <f t="shared" si="8"/>
        <v>271.39999999999998</v>
      </c>
    </row>
    <row r="170" spans="1:11" x14ac:dyDescent="0.25">
      <c r="A170" s="6">
        <v>169</v>
      </c>
      <c r="B170" s="6" t="s">
        <v>735</v>
      </c>
      <c r="C170" s="6" t="s">
        <v>170</v>
      </c>
      <c r="D170" s="7">
        <v>1900</v>
      </c>
      <c r="E170" s="6">
        <v>13</v>
      </c>
      <c r="F170" s="11">
        <v>0.14000000000000001</v>
      </c>
      <c r="G170" s="11">
        <v>0.03</v>
      </c>
      <c r="H170" s="6" t="s">
        <v>585</v>
      </c>
      <c r="I170" s="6" t="str">
        <f t="shared" si="6"/>
        <v>Very Easy</v>
      </c>
      <c r="J170" s="7">
        <f t="shared" si="7"/>
        <v>209</v>
      </c>
      <c r="K170" s="12">
        <f t="shared" si="8"/>
        <v>146.19999999999999</v>
      </c>
    </row>
    <row r="171" spans="1:11" x14ac:dyDescent="0.25">
      <c r="A171" s="6">
        <v>170</v>
      </c>
      <c r="B171" s="6" t="s">
        <v>736</v>
      </c>
      <c r="C171" s="6" t="s">
        <v>648</v>
      </c>
      <c r="D171" s="7">
        <v>1900</v>
      </c>
      <c r="E171" s="6">
        <v>8</v>
      </c>
      <c r="F171" s="11">
        <v>7.0000000000000007E-2</v>
      </c>
      <c r="G171" s="11">
        <v>0.05</v>
      </c>
      <c r="H171" s="6" t="s">
        <v>585</v>
      </c>
      <c r="I171" s="6" t="str">
        <f t="shared" si="6"/>
        <v>Very Easy</v>
      </c>
      <c r="J171" s="7">
        <f t="shared" si="7"/>
        <v>209</v>
      </c>
      <c r="K171" s="12">
        <f t="shared" si="8"/>
        <v>237.5</v>
      </c>
    </row>
    <row r="172" spans="1:11" x14ac:dyDescent="0.25">
      <c r="A172" s="6">
        <v>171</v>
      </c>
      <c r="B172" s="6" t="s">
        <v>737</v>
      </c>
      <c r="C172" s="6" t="s">
        <v>648</v>
      </c>
      <c r="D172" s="7">
        <v>1900</v>
      </c>
      <c r="E172" s="6">
        <v>22</v>
      </c>
      <c r="F172" s="11">
        <v>0.08</v>
      </c>
      <c r="G172" s="11">
        <v>0.12</v>
      </c>
      <c r="H172" s="6" t="s">
        <v>616</v>
      </c>
      <c r="I172" s="6" t="str">
        <f t="shared" si="6"/>
        <v>Easy</v>
      </c>
      <c r="J172" s="7">
        <f t="shared" si="7"/>
        <v>209</v>
      </c>
      <c r="K172" s="12">
        <f t="shared" si="8"/>
        <v>86.4</v>
      </c>
    </row>
    <row r="173" spans="1:11" x14ac:dyDescent="0.25">
      <c r="A173" s="6">
        <v>172</v>
      </c>
      <c r="B173" s="6" t="s">
        <v>738</v>
      </c>
      <c r="C173" s="6" t="s">
        <v>685</v>
      </c>
      <c r="D173" s="7">
        <v>1900</v>
      </c>
      <c r="E173" s="6">
        <v>20</v>
      </c>
      <c r="F173" s="11">
        <v>0.16</v>
      </c>
      <c r="G173" s="11">
        <v>0.11</v>
      </c>
      <c r="H173" s="6" t="s">
        <v>616</v>
      </c>
      <c r="I173" s="6" t="str">
        <f t="shared" si="6"/>
        <v>Easy</v>
      </c>
      <c r="J173" s="7">
        <f t="shared" si="7"/>
        <v>209</v>
      </c>
      <c r="K173" s="12">
        <f t="shared" si="8"/>
        <v>95</v>
      </c>
    </row>
    <row r="174" spans="1:11" x14ac:dyDescent="0.25">
      <c r="A174" s="6">
        <v>173</v>
      </c>
      <c r="B174" s="6" t="s">
        <v>391</v>
      </c>
      <c r="C174" s="6" t="s">
        <v>624</v>
      </c>
      <c r="D174" s="7">
        <v>1900</v>
      </c>
      <c r="E174" s="6">
        <v>37</v>
      </c>
      <c r="F174" s="11">
        <v>0.02</v>
      </c>
      <c r="G174" s="11">
        <v>0.25</v>
      </c>
      <c r="H174" s="6" t="s">
        <v>596</v>
      </c>
      <c r="I174" s="6" t="str">
        <f t="shared" si="6"/>
        <v>Medium</v>
      </c>
      <c r="J174" s="7">
        <f t="shared" si="7"/>
        <v>209</v>
      </c>
      <c r="K174" s="12">
        <f t="shared" si="8"/>
        <v>51.4</v>
      </c>
    </row>
    <row r="175" spans="1:11" x14ac:dyDescent="0.25">
      <c r="A175" s="6">
        <v>174</v>
      </c>
      <c r="B175" s="6" t="s">
        <v>739</v>
      </c>
      <c r="C175" s="6" t="s">
        <v>624</v>
      </c>
      <c r="D175" s="7">
        <v>1900</v>
      </c>
      <c r="E175" s="6">
        <v>13</v>
      </c>
      <c r="F175" s="11">
        <v>0.01</v>
      </c>
      <c r="G175" s="11">
        <v>0.31</v>
      </c>
      <c r="H175" s="6" t="s">
        <v>585</v>
      </c>
      <c r="I175" s="6" t="str">
        <f t="shared" si="6"/>
        <v>Very Easy</v>
      </c>
      <c r="J175" s="7">
        <f t="shared" si="7"/>
        <v>209</v>
      </c>
      <c r="K175" s="12">
        <f t="shared" si="8"/>
        <v>146.19999999999999</v>
      </c>
    </row>
    <row r="176" spans="1:11" x14ac:dyDescent="0.25">
      <c r="A176" s="6">
        <v>175</v>
      </c>
      <c r="B176" s="6" t="s">
        <v>740</v>
      </c>
      <c r="C176" s="6" t="s">
        <v>588</v>
      </c>
      <c r="D176" s="7">
        <v>1900</v>
      </c>
      <c r="E176" s="6">
        <v>15</v>
      </c>
      <c r="F176" s="11">
        <v>0.05</v>
      </c>
      <c r="G176" s="11">
        <v>0.04</v>
      </c>
      <c r="H176" s="6" t="s">
        <v>585</v>
      </c>
      <c r="I176" s="6" t="str">
        <f t="shared" si="6"/>
        <v>Very Easy</v>
      </c>
      <c r="J176" s="7">
        <f t="shared" si="7"/>
        <v>209</v>
      </c>
      <c r="K176" s="12">
        <f t="shared" si="8"/>
        <v>126.7</v>
      </c>
    </row>
    <row r="177" spans="1:11" x14ac:dyDescent="0.25">
      <c r="A177" s="6">
        <v>176</v>
      </c>
      <c r="B177" s="6" t="s">
        <v>741</v>
      </c>
      <c r="C177" s="6" t="s">
        <v>588</v>
      </c>
      <c r="D177" s="7">
        <v>1900</v>
      </c>
      <c r="E177" s="6">
        <v>21</v>
      </c>
      <c r="F177" s="11">
        <v>0.03</v>
      </c>
      <c r="G177" s="11">
        <v>0.35</v>
      </c>
      <c r="H177" s="6" t="s">
        <v>585</v>
      </c>
      <c r="I177" s="6" t="str">
        <f t="shared" si="6"/>
        <v>Easy</v>
      </c>
      <c r="J177" s="7">
        <f t="shared" si="7"/>
        <v>209</v>
      </c>
      <c r="K177" s="12">
        <f t="shared" si="8"/>
        <v>90.5</v>
      </c>
    </row>
    <row r="178" spans="1:11" x14ac:dyDescent="0.25">
      <c r="A178" s="6">
        <v>177</v>
      </c>
      <c r="B178" s="6" t="s">
        <v>742</v>
      </c>
      <c r="C178" s="6" t="s">
        <v>588</v>
      </c>
      <c r="D178" s="7">
        <v>1900</v>
      </c>
      <c r="E178" s="6">
        <v>23</v>
      </c>
      <c r="F178" s="11">
        <v>0.02</v>
      </c>
      <c r="G178" s="11">
        <v>0.38</v>
      </c>
      <c r="H178" s="6" t="s">
        <v>589</v>
      </c>
      <c r="I178" s="6" t="str">
        <f t="shared" si="6"/>
        <v>Easy</v>
      </c>
      <c r="J178" s="7">
        <f t="shared" si="7"/>
        <v>209</v>
      </c>
      <c r="K178" s="12">
        <f t="shared" si="8"/>
        <v>82.6</v>
      </c>
    </row>
    <row r="179" spans="1:11" x14ac:dyDescent="0.25">
      <c r="A179" s="6">
        <v>178</v>
      </c>
      <c r="B179" s="6" t="s">
        <v>743</v>
      </c>
      <c r="C179" s="6" t="s">
        <v>40</v>
      </c>
      <c r="D179" s="7">
        <v>1900</v>
      </c>
      <c r="E179" s="6">
        <v>36</v>
      </c>
      <c r="F179" s="11">
        <v>0.11</v>
      </c>
      <c r="G179" s="11">
        <v>0.42</v>
      </c>
      <c r="H179" s="6" t="s">
        <v>616</v>
      </c>
      <c r="I179" s="6" t="str">
        <f t="shared" si="6"/>
        <v>Medium</v>
      </c>
      <c r="J179" s="7">
        <f t="shared" si="7"/>
        <v>209</v>
      </c>
      <c r="K179" s="12">
        <f t="shared" si="8"/>
        <v>52.8</v>
      </c>
    </row>
    <row r="180" spans="1:11" x14ac:dyDescent="0.25">
      <c r="A180" s="6">
        <v>179</v>
      </c>
      <c r="B180" s="6" t="s">
        <v>744</v>
      </c>
      <c r="C180" s="6" t="s">
        <v>644</v>
      </c>
      <c r="D180" s="7">
        <v>1600</v>
      </c>
      <c r="E180" s="6">
        <v>16</v>
      </c>
      <c r="F180" s="11">
        <v>0.17</v>
      </c>
      <c r="G180" s="11">
        <v>0.32</v>
      </c>
      <c r="H180" s="6" t="s">
        <v>596</v>
      </c>
      <c r="I180" s="6" t="str">
        <f t="shared" si="6"/>
        <v>Easy</v>
      </c>
      <c r="J180" s="7">
        <f t="shared" si="7"/>
        <v>176</v>
      </c>
      <c r="K180" s="12">
        <f t="shared" si="8"/>
        <v>100</v>
      </c>
    </row>
    <row r="181" spans="1:11" x14ac:dyDescent="0.25">
      <c r="A181" s="6">
        <v>180</v>
      </c>
      <c r="B181" s="6" t="s">
        <v>115</v>
      </c>
      <c r="C181" s="6" t="s">
        <v>644</v>
      </c>
      <c r="D181" s="7">
        <v>1600</v>
      </c>
      <c r="E181" s="6">
        <v>10</v>
      </c>
      <c r="F181" s="11">
        <v>0.13</v>
      </c>
      <c r="G181" s="11">
        <v>0.28000000000000003</v>
      </c>
      <c r="H181" s="6" t="s">
        <v>592</v>
      </c>
      <c r="I181" s="6" t="str">
        <f t="shared" si="6"/>
        <v>Very Easy</v>
      </c>
      <c r="J181" s="7">
        <f t="shared" si="7"/>
        <v>176</v>
      </c>
      <c r="K181" s="12">
        <f t="shared" si="8"/>
        <v>160</v>
      </c>
    </row>
    <row r="182" spans="1:11" x14ac:dyDescent="0.25">
      <c r="A182" s="6">
        <v>181</v>
      </c>
      <c r="B182" s="6" t="s">
        <v>745</v>
      </c>
      <c r="C182" s="6" t="s">
        <v>605</v>
      </c>
      <c r="D182" s="7">
        <v>1600</v>
      </c>
      <c r="E182" s="6">
        <v>7</v>
      </c>
      <c r="F182" s="11">
        <v>0.14000000000000001</v>
      </c>
      <c r="G182" s="11">
        <v>0.41</v>
      </c>
      <c r="H182" s="6" t="s">
        <v>592</v>
      </c>
      <c r="I182" s="6" t="str">
        <f t="shared" si="6"/>
        <v>Very Easy</v>
      </c>
      <c r="J182" s="7">
        <f t="shared" si="7"/>
        <v>176</v>
      </c>
      <c r="K182" s="12">
        <f t="shared" si="8"/>
        <v>228.6</v>
      </c>
    </row>
    <row r="183" spans="1:11" x14ac:dyDescent="0.25">
      <c r="A183" s="6">
        <v>182</v>
      </c>
      <c r="B183" s="6" t="s">
        <v>746</v>
      </c>
      <c r="C183" s="6" t="s">
        <v>605</v>
      </c>
      <c r="D183" s="7">
        <v>1600</v>
      </c>
      <c r="E183" s="6">
        <v>31</v>
      </c>
      <c r="F183" s="11">
        <v>0.13</v>
      </c>
      <c r="G183" s="11">
        <v>0.3</v>
      </c>
      <c r="H183" s="6" t="s">
        <v>616</v>
      </c>
      <c r="I183" s="6" t="str">
        <f t="shared" si="6"/>
        <v>Medium</v>
      </c>
      <c r="J183" s="7">
        <f t="shared" si="7"/>
        <v>176</v>
      </c>
      <c r="K183" s="12">
        <f t="shared" si="8"/>
        <v>51.6</v>
      </c>
    </row>
    <row r="184" spans="1:11" x14ac:dyDescent="0.25">
      <c r="A184" s="6">
        <v>183</v>
      </c>
      <c r="B184" s="6" t="s">
        <v>747</v>
      </c>
      <c r="C184" s="6" t="s">
        <v>605</v>
      </c>
      <c r="D184" s="7">
        <v>1600</v>
      </c>
      <c r="E184" s="6">
        <v>8</v>
      </c>
      <c r="F184" s="11">
        <v>7.0000000000000007E-2</v>
      </c>
      <c r="G184" s="11">
        <v>0.02</v>
      </c>
      <c r="H184" s="6" t="s">
        <v>585</v>
      </c>
      <c r="I184" s="6" t="str">
        <f t="shared" si="6"/>
        <v>Very Easy</v>
      </c>
      <c r="J184" s="7">
        <f t="shared" si="7"/>
        <v>176</v>
      </c>
      <c r="K184" s="12">
        <f t="shared" si="8"/>
        <v>200</v>
      </c>
    </row>
    <row r="185" spans="1:11" x14ac:dyDescent="0.25">
      <c r="A185" s="6">
        <v>184</v>
      </c>
      <c r="B185" s="6" t="s">
        <v>748</v>
      </c>
      <c r="C185" s="6" t="s">
        <v>644</v>
      </c>
      <c r="D185" s="7">
        <v>1600</v>
      </c>
      <c r="E185" s="6">
        <v>19</v>
      </c>
      <c r="F185" s="11">
        <v>0.06</v>
      </c>
      <c r="G185" s="11">
        <v>7.0000000000000007E-2</v>
      </c>
      <c r="H185" s="6" t="s">
        <v>616</v>
      </c>
      <c r="I185" s="6" t="str">
        <f t="shared" si="6"/>
        <v>Easy</v>
      </c>
      <c r="J185" s="7">
        <f t="shared" si="7"/>
        <v>176</v>
      </c>
      <c r="K185" s="12">
        <f t="shared" si="8"/>
        <v>84.2</v>
      </c>
    </row>
    <row r="186" spans="1:11" x14ac:dyDescent="0.25">
      <c r="A186" s="6">
        <v>185</v>
      </c>
      <c r="B186" s="6" t="s">
        <v>749</v>
      </c>
      <c r="C186" s="6" t="s">
        <v>605</v>
      </c>
      <c r="D186" s="7">
        <v>1600</v>
      </c>
      <c r="E186" s="6">
        <v>37</v>
      </c>
      <c r="F186" s="11">
        <v>0.14000000000000001</v>
      </c>
      <c r="G186" s="11">
        <v>7.0000000000000007E-2</v>
      </c>
      <c r="H186" s="6" t="s">
        <v>585</v>
      </c>
      <c r="I186" s="6" t="str">
        <f t="shared" si="6"/>
        <v>Medium</v>
      </c>
      <c r="J186" s="7">
        <f t="shared" si="7"/>
        <v>176</v>
      </c>
      <c r="K186" s="12">
        <f t="shared" si="8"/>
        <v>43.2</v>
      </c>
    </row>
    <row r="187" spans="1:11" x14ac:dyDescent="0.25">
      <c r="A187" s="6">
        <v>186</v>
      </c>
      <c r="B187" s="6" t="s">
        <v>122</v>
      </c>
      <c r="C187" s="6" t="s">
        <v>605</v>
      </c>
      <c r="D187" s="7">
        <v>1600</v>
      </c>
      <c r="E187" s="6">
        <v>18</v>
      </c>
      <c r="F187" s="11">
        <v>0.08</v>
      </c>
      <c r="G187" s="11">
        <v>0.05</v>
      </c>
      <c r="H187" s="6" t="s">
        <v>585</v>
      </c>
      <c r="I187" s="6" t="str">
        <f t="shared" si="6"/>
        <v>Easy</v>
      </c>
      <c r="J187" s="7">
        <f t="shared" si="7"/>
        <v>176</v>
      </c>
      <c r="K187" s="12">
        <f t="shared" si="8"/>
        <v>88.9</v>
      </c>
    </row>
    <row r="188" spans="1:11" x14ac:dyDescent="0.25">
      <c r="A188" s="6">
        <v>187</v>
      </c>
      <c r="B188" s="6" t="s">
        <v>750</v>
      </c>
      <c r="C188" s="6" t="s">
        <v>605</v>
      </c>
      <c r="D188" s="7">
        <v>1600</v>
      </c>
      <c r="E188" s="6">
        <v>30</v>
      </c>
      <c r="F188" s="11">
        <v>0.12</v>
      </c>
      <c r="G188" s="11">
        <v>0.33</v>
      </c>
      <c r="H188" s="6" t="s">
        <v>585</v>
      </c>
      <c r="I188" s="6" t="str">
        <f t="shared" si="6"/>
        <v>Medium</v>
      </c>
      <c r="J188" s="7">
        <f t="shared" si="7"/>
        <v>176</v>
      </c>
      <c r="K188" s="12">
        <f t="shared" si="8"/>
        <v>53.3</v>
      </c>
    </row>
    <row r="189" spans="1:11" x14ac:dyDescent="0.25">
      <c r="A189" s="6">
        <v>188</v>
      </c>
      <c r="B189" s="6" t="s">
        <v>751</v>
      </c>
      <c r="C189" s="6" t="s">
        <v>605</v>
      </c>
      <c r="D189" s="7">
        <v>1600</v>
      </c>
      <c r="E189" s="6">
        <v>19</v>
      </c>
      <c r="F189" s="11">
        <v>0.16</v>
      </c>
      <c r="G189" s="11">
        <v>7.0000000000000007E-2</v>
      </c>
      <c r="H189" s="6" t="s">
        <v>585</v>
      </c>
      <c r="I189" s="6" t="str">
        <f t="shared" si="6"/>
        <v>Easy</v>
      </c>
      <c r="J189" s="7">
        <f t="shared" si="7"/>
        <v>176</v>
      </c>
      <c r="K189" s="12">
        <f t="shared" si="8"/>
        <v>84.2</v>
      </c>
    </row>
    <row r="190" spans="1:11" x14ac:dyDescent="0.25">
      <c r="A190" s="6">
        <v>189</v>
      </c>
      <c r="B190" s="6" t="s">
        <v>752</v>
      </c>
      <c r="C190" s="6" t="s">
        <v>210</v>
      </c>
      <c r="D190" s="7">
        <v>1600</v>
      </c>
      <c r="E190" s="6">
        <v>17</v>
      </c>
      <c r="F190" s="11">
        <v>0.09</v>
      </c>
      <c r="G190" s="11">
        <v>0.11</v>
      </c>
      <c r="H190" s="6" t="s">
        <v>592</v>
      </c>
      <c r="I190" s="6" t="str">
        <f t="shared" si="6"/>
        <v>Easy</v>
      </c>
      <c r="J190" s="7">
        <f t="shared" si="7"/>
        <v>176</v>
      </c>
      <c r="K190" s="12">
        <f t="shared" si="8"/>
        <v>94.1</v>
      </c>
    </row>
    <row r="191" spans="1:11" x14ac:dyDescent="0.25">
      <c r="A191" s="6">
        <v>190</v>
      </c>
      <c r="B191" s="6" t="s">
        <v>753</v>
      </c>
      <c r="C191" s="6" t="s">
        <v>210</v>
      </c>
      <c r="D191" s="7">
        <v>1600</v>
      </c>
      <c r="E191" s="6">
        <v>9</v>
      </c>
      <c r="F191" s="11">
        <v>0.14000000000000001</v>
      </c>
      <c r="G191" s="11">
        <v>0.05</v>
      </c>
      <c r="H191" s="6" t="s">
        <v>585</v>
      </c>
      <c r="I191" s="6" t="str">
        <f t="shared" si="6"/>
        <v>Very Easy</v>
      </c>
      <c r="J191" s="7">
        <f t="shared" si="7"/>
        <v>176</v>
      </c>
      <c r="K191" s="12">
        <f t="shared" si="8"/>
        <v>177.8</v>
      </c>
    </row>
    <row r="192" spans="1:11" x14ac:dyDescent="0.25">
      <c r="A192" s="6">
        <v>191</v>
      </c>
      <c r="B192" s="6" t="s">
        <v>166</v>
      </c>
      <c r="C192" s="6" t="s">
        <v>210</v>
      </c>
      <c r="D192" s="7">
        <v>1600</v>
      </c>
      <c r="E192" s="6">
        <v>10</v>
      </c>
      <c r="F192" s="11">
        <v>0.05</v>
      </c>
      <c r="G192" s="11">
        <v>0.1</v>
      </c>
      <c r="H192" s="6" t="s">
        <v>602</v>
      </c>
      <c r="I192" s="6" t="str">
        <f t="shared" si="6"/>
        <v>Very Easy</v>
      </c>
      <c r="J192" s="7">
        <f t="shared" si="7"/>
        <v>176</v>
      </c>
      <c r="K192" s="12">
        <f t="shared" si="8"/>
        <v>160</v>
      </c>
    </row>
    <row r="193" spans="1:11" x14ac:dyDescent="0.25">
      <c r="A193" s="6">
        <v>192</v>
      </c>
      <c r="B193" s="6" t="s">
        <v>754</v>
      </c>
      <c r="C193" s="6" t="s">
        <v>170</v>
      </c>
      <c r="D193" s="7">
        <v>1600</v>
      </c>
      <c r="E193" s="6">
        <v>21</v>
      </c>
      <c r="F193" s="11">
        <v>0.08</v>
      </c>
      <c r="G193" s="11">
        <v>0.15</v>
      </c>
      <c r="H193" s="6" t="s">
        <v>585</v>
      </c>
      <c r="I193" s="6" t="str">
        <f t="shared" si="6"/>
        <v>Easy</v>
      </c>
      <c r="J193" s="7">
        <f t="shared" si="7"/>
        <v>176</v>
      </c>
      <c r="K193" s="12">
        <f t="shared" si="8"/>
        <v>76.2</v>
      </c>
    </row>
    <row r="194" spans="1:11" x14ac:dyDescent="0.25">
      <c r="A194" s="6">
        <v>193</v>
      </c>
      <c r="B194" s="6" t="s">
        <v>755</v>
      </c>
      <c r="C194" s="6" t="s">
        <v>170</v>
      </c>
      <c r="D194" s="7">
        <v>1600</v>
      </c>
      <c r="E194" s="6">
        <v>19</v>
      </c>
      <c r="F194" s="11">
        <v>0.05</v>
      </c>
      <c r="G194" s="11">
        <v>0.15</v>
      </c>
      <c r="H194" s="6" t="s">
        <v>585</v>
      </c>
      <c r="I194" s="6" t="str">
        <f t="shared" ref="I194:I257" si="9">IF(E194&lt;=15,"Very Easy",IF(E194&lt;=25,"Easy",IF(E194&lt;=40,"Medium","Hard")))</f>
        <v>Easy</v>
      </c>
      <c r="J194" s="7">
        <f t="shared" ref="J194:J257" si="10">ROUND(D194*0.11,0)</f>
        <v>176</v>
      </c>
      <c r="K194" s="12">
        <f t="shared" ref="K194:K257" si="11">ROUND(D194/MAX(E194,1),1)</f>
        <v>84.2</v>
      </c>
    </row>
    <row r="195" spans="1:11" x14ac:dyDescent="0.25">
      <c r="A195" s="6">
        <v>194</v>
      </c>
      <c r="B195" s="6" t="s">
        <v>756</v>
      </c>
      <c r="C195" s="6" t="s">
        <v>170</v>
      </c>
      <c r="D195" s="7">
        <v>1600</v>
      </c>
      <c r="E195" s="6">
        <v>14</v>
      </c>
      <c r="F195" s="11">
        <v>0.05</v>
      </c>
      <c r="G195" s="11">
        <v>0.06</v>
      </c>
      <c r="H195" s="6" t="s">
        <v>585</v>
      </c>
      <c r="I195" s="6" t="str">
        <f t="shared" si="9"/>
        <v>Very Easy</v>
      </c>
      <c r="J195" s="7">
        <f t="shared" si="10"/>
        <v>176</v>
      </c>
      <c r="K195" s="12">
        <f t="shared" si="11"/>
        <v>114.3</v>
      </c>
    </row>
    <row r="196" spans="1:11" x14ac:dyDescent="0.25">
      <c r="A196" s="6">
        <v>195</v>
      </c>
      <c r="B196" s="6" t="s">
        <v>757</v>
      </c>
      <c r="C196" s="6" t="s">
        <v>170</v>
      </c>
      <c r="D196" s="7">
        <v>1600</v>
      </c>
      <c r="E196" s="6">
        <v>13</v>
      </c>
      <c r="F196" s="11">
        <v>0.02</v>
      </c>
      <c r="G196" s="11">
        <v>0.03</v>
      </c>
      <c r="H196" s="6" t="s">
        <v>592</v>
      </c>
      <c r="I196" s="6" t="str">
        <f t="shared" si="9"/>
        <v>Very Easy</v>
      </c>
      <c r="J196" s="7">
        <f t="shared" si="10"/>
        <v>176</v>
      </c>
      <c r="K196" s="12">
        <f t="shared" si="11"/>
        <v>123.1</v>
      </c>
    </row>
    <row r="197" spans="1:11" x14ac:dyDescent="0.25">
      <c r="A197" s="6">
        <v>196</v>
      </c>
      <c r="B197" s="6" t="s">
        <v>758</v>
      </c>
      <c r="C197" s="6" t="s">
        <v>648</v>
      </c>
      <c r="D197" s="7">
        <v>1600</v>
      </c>
      <c r="E197" s="6">
        <v>11</v>
      </c>
      <c r="F197" s="11">
        <v>0.08</v>
      </c>
      <c r="G197" s="11">
        <v>0.03</v>
      </c>
      <c r="H197" s="6" t="s">
        <v>602</v>
      </c>
      <c r="I197" s="6" t="str">
        <f t="shared" si="9"/>
        <v>Very Easy</v>
      </c>
      <c r="J197" s="7">
        <f t="shared" si="10"/>
        <v>176</v>
      </c>
      <c r="K197" s="12">
        <f t="shared" si="11"/>
        <v>145.5</v>
      </c>
    </row>
    <row r="198" spans="1:11" x14ac:dyDescent="0.25">
      <c r="A198" s="6">
        <v>197</v>
      </c>
      <c r="B198" s="6" t="s">
        <v>759</v>
      </c>
      <c r="C198" s="6" t="s">
        <v>624</v>
      </c>
      <c r="D198" s="7">
        <v>1600</v>
      </c>
      <c r="E198" s="6">
        <v>12</v>
      </c>
      <c r="F198" s="11">
        <v>0.03</v>
      </c>
      <c r="G198" s="11">
        <v>0.18</v>
      </c>
      <c r="H198" s="6" t="s">
        <v>596</v>
      </c>
      <c r="I198" s="6" t="str">
        <f t="shared" si="9"/>
        <v>Very Easy</v>
      </c>
      <c r="J198" s="7">
        <f t="shared" si="10"/>
        <v>176</v>
      </c>
      <c r="K198" s="12">
        <f t="shared" si="11"/>
        <v>133.30000000000001</v>
      </c>
    </row>
    <row r="199" spans="1:11" x14ac:dyDescent="0.25">
      <c r="A199" s="6">
        <v>198</v>
      </c>
      <c r="B199" s="6" t="s">
        <v>760</v>
      </c>
      <c r="C199" s="6" t="s">
        <v>624</v>
      </c>
      <c r="D199" s="7">
        <v>1600</v>
      </c>
      <c r="E199" s="6">
        <v>27</v>
      </c>
      <c r="F199" s="11">
        <v>0.06</v>
      </c>
      <c r="G199" s="11">
        <v>0.05</v>
      </c>
      <c r="H199" s="6" t="s">
        <v>585</v>
      </c>
      <c r="I199" s="6" t="str">
        <f t="shared" si="9"/>
        <v>Medium</v>
      </c>
      <c r="J199" s="7">
        <f t="shared" si="10"/>
        <v>176</v>
      </c>
      <c r="K199" s="12">
        <f t="shared" si="11"/>
        <v>59.3</v>
      </c>
    </row>
    <row r="200" spans="1:11" x14ac:dyDescent="0.25">
      <c r="A200" s="6">
        <v>199</v>
      </c>
      <c r="B200" s="6" t="s">
        <v>402</v>
      </c>
      <c r="C200" s="6" t="s">
        <v>639</v>
      </c>
      <c r="D200" s="7">
        <v>1600</v>
      </c>
      <c r="E200" s="6">
        <v>25</v>
      </c>
      <c r="F200" s="11">
        <v>0.06</v>
      </c>
      <c r="G200" s="11">
        <v>0.09</v>
      </c>
      <c r="H200" s="6" t="s">
        <v>585</v>
      </c>
      <c r="I200" s="6" t="str">
        <f t="shared" si="9"/>
        <v>Easy</v>
      </c>
      <c r="J200" s="7">
        <f t="shared" si="10"/>
        <v>176</v>
      </c>
      <c r="K200" s="12">
        <f t="shared" si="11"/>
        <v>64</v>
      </c>
    </row>
    <row r="201" spans="1:11" x14ac:dyDescent="0.25">
      <c r="A201" s="6">
        <v>200</v>
      </c>
      <c r="B201" s="6" t="s">
        <v>761</v>
      </c>
      <c r="C201" s="6" t="s">
        <v>588</v>
      </c>
      <c r="D201" s="7">
        <v>1600</v>
      </c>
      <c r="E201" s="6">
        <v>27</v>
      </c>
      <c r="F201" s="11">
        <v>0.08</v>
      </c>
      <c r="G201" s="11">
        <v>0.1</v>
      </c>
      <c r="H201" s="6" t="s">
        <v>616</v>
      </c>
      <c r="I201" s="6" t="str">
        <f t="shared" si="9"/>
        <v>Medium</v>
      </c>
      <c r="J201" s="7">
        <f t="shared" si="10"/>
        <v>176</v>
      </c>
      <c r="K201" s="12">
        <f t="shared" si="11"/>
        <v>59.3</v>
      </c>
    </row>
    <row r="202" spans="1:11" x14ac:dyDescent="0.25">
      <c r="A202" s="6">
        <v>201</v>
      </c>
      <c r="B202" s="6" t="s">
        <v>762</v>
      </c>
      <c r="C202" s="6" t="s">
        <v>40</v>
      </c>
      <c r="D202" s="7">
        <v>1600</v>
      </c>
      <c r="E202" s="6">
        <v>19</v>
      </c>
      <c r="F202" s="11">
        <v>0.16</v>
      </c>
      <c r="G202" s="11">
        <v>0.5</v>
      </c>
      <c r="H202" s="6" t="s">
        <v>592</v>
      </c>
      <c r="I202" s="6" t="str">
        <f t="shared" si="9"/>
        <v>Easy</v>
      </c>
      <c r="J202" s="7">
        <f t="shared" si="10"/>
        <v>176</v>
      </c>
      <c r="K202" s="12">
        <f t="shared" si="11"/>
        <v>84.2</v>
      </c>
    </row>
    <row r="203" spans="1:11" x14ac:dyDescent="0.25">
      <c r="A203" s="6">
        <v>202</v>
      </c>
      <c r="B203" s="6" t="s">
        <v>156</v>
      </c>
      <c r="C203" s="6" t="s">
        <v>40</v>
      </c>
      <c r="D203" s="7">
        <v>1600</v>
      </c>
      <c r="E203" s="6">
        <v>22</v>
      </c>
      <c r="F203" s="11">
        <v>7.0000000000000007E-2</v>
      </c>
      <c r="G203" s="11">
        <v>0.33</v>
      </c>
      <c r="H203" s="6" t="s">
        <v>592</v>
      </c>
      <c r="I203" s="6" t="str">
        <f t="shared" si="9"/>
        <v>Easy</v>
      </c>
      <c r="J203" s="7">
        <f t="shared" si="10"/>
        <v>176</v>
      </c>
      <c r="K203" s="12">
        <f t="shared" si="11"/>
        <v>72.7</v>
      </c>
    </row>
    <row r="204" spans="1:11" x14ac:dyDescent="0.25">
      <c r="A204" s="6">
        <v>203</v>
      </c>
      <c r="B204" s="6" t="s">
        <v>244</v>
      </c>
      <c r="C204" s="6" t="s">
        <v>605</v>
      </c>
      <c r="D204" s="7">
        <v>1300</v>
      </c>
      <c r="E204" s="6">
        <v>16</v>
      </c>
      <c r="F204" s="11">
        <v>0.13</v>
      </c>
      <c r="G204" s="11">
        <v>0.22</v>
      </c>
      <c r="H204" s="6" t="s">
        <v>585</v>
      </c>
      <c r="I204" s="6" t="str">
        <f t="shared" si="9"/>
        <v>Easy</v>
      </c>
      <c r="J204" s="7">
        <f t="shared" si="10"/>
        <v>143</v>
      </c>
      <c r="K204" s="12">
        <f t="shared" si="11"/>
        <v>81.3</v>
      </c>
    </row>
    <row r="205" spans="1:11" x14ac:dyDescent="0.25">
      <c r="A205" s="6">
        <v>204</v>
      </c>
      <c r="B205" s="6" t="s">
        <v>763</v>
      </c>
      <c r="C205" s="6" t="s">
        <v>605</v>
      </c>
      <c r="D205" s="7">
        <v>1300</v>
      </c>
      <c r="E205" s="6">
        <v>7</v>
      </c>
      <c r="F205" s="11">
        <v>7.0000000000000007E-2</v>
      </c>
      <c r="G205" s="11">
        <v>0.43</v>
      </c>
      <c r="H205" s="6" t="s">
        <v>585</v>
      </c>
      <c r="I205" s="6" t="str">
        <f t="shared" si="9"/>
        <v>Very Easy</v>
      </c>
      <c r="J205" s="7">
        <f t="shared" si="10"/>
        <v>143</v>
      </c>
      <c r="K205" s="12">
        <f t="shared" si="11"/>
        <v>185.7</v>
      </c>
    </row>
    <row r="206" spans="1:11" x14ac:dyDescent="0.25">
      <c r="A206" s="6">
        <v>205</v>
      </c>
      <c r="B206" s="6" t="s">
        <v>360</v>
      </c>
      <c r="C206" s="6" t="s">
        <v>605</v>
      </c>
      <c r="D206" s="7">
        <v>1300</v>
      </c>
      <c r="E206" s="6">
        <v>25</v>
      </c>
      <c r="F206" s="11">
        <v>0.12</v>
      </c>
      <c r="G206" s="11">
        <v>0.34</v>
      </c>
      <c r="H206" s="6" t="s">
        <v>592</v>
      </c>
      <c r="I206" s="6" t="str">
        <f t="shared" si="9"/>
        <v>Easy</v>
      </c>
      <c r="J206" s="7">
        <f t="shared" si="10"/>
        <v>143</v>
      </c>
      <c r="K206" s="12">
        <f t="shared" si="11"/>
        <v>52</v>
      </c>
    </row>
    <row r="207" spans="1:11" x14ac:dyDescent="0.25">
      <c r="A207" s="6">
        <v>206</v>
      </c>
      <c r="B207" s="6" t="s">
        <v>764</v>
      </c>
      <c r="C207" s="6" t="s">
        <v>644</v>
      </c>
      <c r="D207" s="7">
        <v>1300</v>
      </c>
      <c r="E207" s="6">
        <v>7</v>
      </c>
      <c r="F207" s="11">
        <v>0.04</v>
      </c>
      <c r="G207" s="11">
        <v>0.05</v>
      </c>
      <c r="H207" s="6" t="s">
        <v>602</v>
      </c>
      <c r="I207" s="6" t="str">
        <f t="shared" si="9"/>
        <v>Very Easy</v>
      </c>
      <c r="J207" s="7">
        <f t="shared" si="10"/>
        <v>143</v>
      </c>
      <c r="K207" s="12">
        <f t="shared" si="11"/>
        <v>185.7</v>
      </c>
    </row>
    <row r="208" spans="1:11" x14ac:dyDescent="0.25">
      <c r="A208" s="6">
        <v>207</v>
      </c>
      <c r="B208" s="6" t="s">
        <v>356</v>
      </c>
      <c r="C208" s="6" t="s">
        <v>605</v>
      </c>
      <c r="D208" s="7">
        <v>1300</v>
      </c>
      <c r="E208" s="6">
        <v>10</v>
      </c>
      <c r="F208" s="11">
        <v>0.03</v>
      </c>
      <c r="G208" s="11">
        <v>0.12</v>
      </c>
      <c r="H208" s="6" t="s">
        <v>585</v>
      </c>
      <c r="I208" s="6" t="str">
        <f t="shared" si="9"/>
        <v>Very Easy</v>
      </c>
      <c r="J208" s="7">
        <f t="shared" si="10"/>
        <v>143</v>
      </c>
      <c r="K208" s="12">
        <f t="shared" si="11"/>
        <v>130</v>
      </c>
    </row>
    <row r="209" spans="1:11" x14ac:dyDescent="0.25">
      <c r="A209" s="6">
        <v>208</v>
      </c>
      <c r="B209" s="6" t="s">
        <v>765</v>
      </c>
      <c r="C209" s="6" t="s">
        <v>644</v>
      </c>
      <c r="D209" s="7">
        <v>1300</v>
      </c>
      <c r="E209" s="6">
        <v>9</v>
      </c>
      <c r="F209" s="11">
        <v>7.0000000000000007E-2</v>
      </c>
      <c r="G209" s="11">
        <v>0.23</v>
      </c>
      <c r="H209" s="6" t="s">
        <v>585</v>
      </c>
      <c r="I209" s="6" t="str">
        <f t="shared" si="9"/>
        <v>Very Easy</v>
      </c>
      <c r="J209" s="7">
        <f t="shared" si="10"/>
        <v>143</v>
      </c>
      <c r="K209" s="12">
        <f t="shared" si="11"/>
        <v>144.4</v>
      </c>
    </row>
    <row r="210" spans="1:11" x14ac:dyDescent="0.25">
      <c r="A210" s="6">
        <v>209</v>
      </c>
      <c r="B210" s="6" t="s">
        <v>73</v>
      </c>
      <c r="C210" s="6" t="s">
        <v>605</v>
      </c>
      <c r="D210" s="7">
        <v>1300</v>
      </c>
      <c r="E210" s="6">
        <v>25</v>
      </c>
      <c r="F210" s="11">
        <v>0.14000000000000001</v>
      </c>
      <c r="G210" s="11">
        <v>0.2</v>
      </c>
      <c r="H210" s="6" t="s">
        <v>616</v>
      </c>
      <c r="I210" s="6" t="str">
        <f t="shared" si="9"/>
        <v>Easy</v>
      </c>
      <c r="J210" s="7">
        <f t="shared" si="10"/>
        <v>143</v>
      </c>
      <c r="K210" s="12">
        <f t="shared" si="11"/>
        <v>52</v>
      </c>
    </row>
    <row r="211" spans="1:11" x14ac:dyDescent="0.25">
      <c r="A211" s="6">
        <v>210</v>
      </c>
      <c r="B211" s="6" t="s">
        <v>766</v>
      </c>
      <c r="C211" s="6" t="s">
        <v>605</v>
      </c>
      <c r="D211" s="7">
        <v>1300</v>
      </c>
      <c r="E211" s="6">
        <v>13</v>
      </c>
      <c r="F211" s="11">
        <v>0.13</v>
      </c>
      <c r="G211" s="11">
        <v>0.08</v>
      </c>
      <c r="H211" s="6" t="s">
        <v>589</v>
      </c>
      <c r="I211" s="6" t="str">
        <f t="shared" si="9"/>
        <v>Very Easy</v>
      </c>
      <c r="J211" s="7">
        <f t="shared" si="10"/>
        <v>143</v>
      </c>
      <c r="K211" s="12">
        <f t="shared" si="11"/>
        <v>100</v>
      </c>
    </row>
    <row r="212" spans="1:11" x14ac:dyDescent="0.25">
      <c r="A212" s="6">
        <v>211</v>
      </c>
      <c r="B212" s="6" t="s">
        <v>273</v>
      </c>
      <c r="C212" s="6" t="s">
        <v>644</v>
      </c>
      <c r="D212" s="7">
        <v>1300</v>
      </c>
      <c r="E212" s="6">
        <v>16</v>
      </c>
      <c r="F212" s="11">
        <v>0.12</v>
      </c>
      <c r="G212" s="11">
        <v>0.2</v>
      </c>
      <c r="H212" s="6" t="s">
        <v>585</v>
      </c>
      <c r="I212" s="6" t="str">
        <f t="shared" si="9"/>
        <v>Easy</v>
      </c>
      <c r="J212" s="7">
        <f t="shared" si="10"/>
        <v>143</v>
      </c>
      <c r="K212" s="12">
        <f t="shared" si="11"/>
        <v>81.3</v>
      </c>
    </row>
    <row r="213" spans="1:11" x14ac:dyDescent="0.25">
      <c r="A213" s="6">
        <v>212</v>
      </c>
      <c r="B213" s="6" t="s">
        <v>189</v>
      </c>
      <c r="C213" s="6" t="s">
        <v>644</v>
      </c>
      <c r="D213" s="7">
        <v>1300</v>
      </c>
      <c r="E213" s="6">
        <v>10</v>
      </c>
      <c r="F213" s="11">
        <v>0.11</v>
      </c>
      <c r="G213" s="11">
        <v>0.16</v>
      </c>
      <c r="H213" s="6" t="s">
        <v>592</v>
      </c>
      <c r="I213" s="6" t="str">
        <f t="shared" si="9"/>
        <v>Very Easy</v>
      </c>
      <c r="J213" s="7">
        <f t="shared" si="10"/>
        <v>143</v>
      </c>
      <c r="K213" s="12">
        <f t="shared" si="11"/>
        <v>130</v>
      </c>
    </row>
    <row r="214" spans="1:11" x14ac:dyDescent="0.25">
      <c r="A214" s="6">
        <v>213</v>
      </c>
      <c r="B214" s="6" t="s">
        <v>767</v>
      </c>
      <c r="C214" s="6" t="s">
        <v>605</v>
      </c>
      <c r="D214" s="7">
        <v>1300</v>
      </c>
      <c r="E214" s="6">
        <v>36</v>
      </c>
      <c r="F214" s="11">
        <v>0.1</v>
      </c>
      <c r="G214" s="11">
        <v>0.03</v>
      </c>
      <c r="H214" s="6" t="s">
        <v>585</v>
      </c>
      <c r="I214" s="6" t="str">
        <f t="shared" si="9"/>
        <v>Medium</v>
      </c>
      <c r="J214" s="7">
        <f t="shared" si="10"/>
        <v>143</v>
      </c>
      <c r="K214" s="12">
        <f t="shared" si="11"/>
        <v>36.1</v>
      </c>
    </row>
    <row r="215" spans="1:11" x14ac:dyDescent="0.25">
      <c r="A215" s="6">
        <v>214</v>
      </c>
      <c r="B215" s="6" t="s">
        <v>220</v>
      </c>
      <c r="C215" s="6" t="s">
        <v>605</v>
      </c>
      <c r="D215" s="7">
        <v>1300</v>
      </c>
      <c r="E215" s="6">
        <v>39</v>
      </c>
      <c r="F215" s="11">
        <v>0.11</v>
      </c>
      <c r="G215" s="11">
        <v>0.19</v>
      </c>
      <c r="H215" s="6" t="s">
        <v>585</v>
      </c>
      <c r="I215" s="6" t="str">
        <f t="shared" si="9"/>
        <v>Medium</v>
      </c>
      <c r="J215" s="7">
        <f t="shared" si="10"/>
        <v>143</v>
      </c>
      <c r="K215" s="12">
        <f t="shared" si="11"/>
        <v>33.299999999999997</v>
      </c>
    </row>
    <row r="216" spans="1:11" x14ac:dyDescent="0.25">
      <c r="A216" s="6">
        <v>215</v>
      </c>
      <c r="B216" s="6" t="s">
        <v>131</v>
      </c>
      <c r="C216" s="6" t="s">
        <v>644</v>
      </c>
      <c r="D216" s="7">
        <v>1300</v>
      </c>
      <c r="E216" s="6">
        <v>13</v>
      </c>
      <c r="F216" s="11">
        <v>0.06</v>
      </c>
      <c r="G216" s="11">
        <v>7.0000000000000007E-2</v>
      </c>
      <c r="H216" s="6" t="s">
        <v>602</v>
      </c>
      <c r="I216" s="6" t="str">
        <f t="shared" si="9"/>
        <v>Very Easy</v>
      </c>
      <c r="J216" s="7">
        <f t="shared" si="10"/>
        <v>143</v>
      </c>
      <c r="K216" s="12">
        <f t="shared" si="11"/>
        <v>100</v>
      </c>
    </row>
    <row r="217" spans="1:11" x14ac:dyDescent="0.25">
      <c r="A217" s="6">
        <v>216</v>
      </c>
      <c r="B217" s="6" t="s">
        <v>495</v>
      </c>
      <c r="C217" s="6" t="s">
        <v>605</v>
      </c>
      <c r="D217" s="7">
        <v>1300</v>
      </c>
      <c r="E217" s="6">
        <v>16</v>
      </c>
      <c r="F217" s="11">
        <v>0.08</v>
      </c>
      <c r="G217" s="11">
        <v>0.28000000000000003</v>
      </c>
      <c r="H217" s="6" t="s">
        <v>585</v>
      </c>
      <c r="I217" s="6" t="str">
        <f t="shared" si="9"/>
        <v>Easy</v>
      </c>
      <c r="J217" s="7">
        <f t="shared" si="10"/>
        <v>143</v>
      </c>
      <c r="K217" s="12">
        <f t="shared" si="11"/>
        <v>81.3</v>
      </c>
    </row>
    <row r="218" spans="1:11" x14ac:dyDescent="0.25">
      <c r="A218" s="6">
        <v>217</v>
      </c>
      <c r="B218" s="6" t="s">
        <v>768</v>
      </c>
      <c r="C218" s="6" t="s">
        <v>605</v>
      </c>
      <c r="D218" s="7">
        <v>1300</v>
      </c>
      <c r="E218" s="6">
        <v>25</v>
      </c>
      <c r="F218" s="11">
        <v>0.04</v>
      </c>
      <c r="G218" s="11">
        <v>0.12</v>
      </c>
      <c r="H218" s="6" t="s">
        <v>585</v>
      </c>
      <c r="I218" s="6" t="str">
        <f t="shared" si="9"/>
        <v>Easy</v>
      </c>
      <c r="J218" s="7">
        <f t="shared" si="10"/>
        <v>143</v>
      </c>
      <c r="K218" s="12">
        <f t="shared" si="11"/>
        <v>52</v>
      </c>
    </row>
    <row r="219" spans="1:11" x14ac:dyDescent="0.25">
      <c r="A219" s="6">
        <v>218</v>
      </c>
      <c r="B219" s="6" t="s">
        <v>769</v>
      </c>
      <c r="C219" s="6" t="s">
        <v>605</v>
      </c>
      <c r="D219" s="7">
        <v>1300</v>
      </c>
      <c r="E219" s="6">
        <v>8</v>
      </c>
      <c r="F219" s="11">
        <v>0.03</v>
      </c>
      <c r="G219" s="11">
        <v>0.38</v>
      </c>
      <c r="H219" s="6" t="s">
        <v>602</v>
      </c>
      <c r="I219" s="6" t="str">
        <f t="shared" si="9"/>
        <v>Very Easy</v>
      </c>
      <c r="J219" s="7">
        <f t="shared" si="10"/>
        <v>143</v>
      </c>
      <c r="K219" s="12">
        <f t="shared" si="11"/>
        <v>162.5</v>
      </c>
    </row>
    <row r="220" spans="1:11" x14ac:dyDescent="0.25">
      <c r="A220" s="6">
        <v>219</v>
      </c>
      <c r="B220" s="6" t="s">
        <v>770</v>
      </c>
      <c r="C220" s="6" t="s">
        <v>210</v>
      </c>
      <c r="D220" s="7">
        <v>1300</v>
      </c>
      <c r="E220" s="6">
        <v>20</v>
      </c>
      <c r="F220" s="11">
        <v>0.12</v>
      </c>
      <c r="G220" s="11">
        <v>0.05</v>
      </c>
      <c r="H220" s="6" t="s">
        <v>585</v>
      </c>
      <c r="I220" s="6" t="str">
        <f t="shared" si="9"/>
        <v>Easy</v>
      </c>
      <c r="J220" s="7">
        <f t="shared" si="10"/>
        <v>143</v>
      </c>
      <c r="K220" s="12">
        <f t="shared" si="11"/>
        <v>65</v>
      </c>
    </row>
    <row r="221" spans="1:11" x14ac:dyDescent="0.25">
      <c r="A221" s="6">
        <v>220</v>
      </c>
      <c r="B221" s="6" t="s">
        <v>212</v>
      </c>
      <c r="C221" s="6" t="s">
        <v>210</v>
      </c>
      <c r="D221" s="7">
        <v>1300</v>
      </c>
      <c r="E221" s="6">
        <v>26</v>
      </c>
      <c r="F221" s="11">
        <v>0.06</v>
      </c>
      <c r="G221" s="11">
        <v>0.28000000000000003</v>
      </c>
      <c r="H221" s="6" t="s">
        <v>616</v>
      </c>
      <c r="I221" s="6" t="str">
        <f t="shared" si="9"/>
        <v>Medium</v>
      </c>
      <c r="J221" s="7">
        <f t="shared" si="10"/>
        <v>143</v>
      </c>
      <c r="K221" s="12">
        <f t="shared" si="11"/>
        <v>50</v>
      </c>
    </row>
    <row r="222" spans="1:11" x14ac:dyDescent="0.25">
      <c r="A222" s="6">
        <v>221</v>
      </c>
      <c r="B222" s="6" t="s">
        <v>771</v>
      </c>
      <c r="C222" s="6" t="s">
        <v>210</v>
      </c>
      <c r="D222" s="7">
        <v>1300</v>
      </c>
      <c r="E222" s="6">
        <v>10</v>
      </c>
      <c r="F222" s="11">
        <v>0.04</v>
      </c>
      <c r="G222" s="11">
        <v>0.15</v>
      </c>
      <c r="H222" s="6" t="s">
        <v>592</v>
      </c>
      <c r="I222" s="6" t="str">
        <f t="shared" si="9"/>
        <v>Very Easy</v>
      </c>
      <c r="J222" s="7">
        <f t="shared" si="10"/>
        <v>143</v>
      </c>
      <c r="K222" s="12">
        <f t="shared" si="11"/>
        <v>130</v>
      </c>
    </row>
    <row r="223" spans="1:11" x14ac:dyDescent="0.25">
      <c r="A223" s="6">
        <v>222</v>
      </c>
      <c r="B223" s="6" t="s">
        <v>772</v>
      </c>
      <c r="C223" s="6" t="s">
        <v>210</v>
      </c>
      <c r="D223" s="7">
        <v>1300</v>
      </c>
      <c r="E223" s="6">
        <v>7</v>
      </c>
      <c r="F223" s="11">
        <v>0.03</v>
      </c>
      <c r="G223" s="11">
        <v>0.17</v>
      </c>
      <c r="H223" s="6" t="s">
        <v>651</v>
      </c>
      <c r="I223" s="6" t="str">
        <f t="shared" si="9"/>
        <v>Very Easy</v>
      </c>
      <c r="J223" s="7">
        <f t="shared" si="10"/>
        <v>143</v>
      </c>
      <c r="K223" s="12">
        <f t="shared" si="11"/>
        <v>185.7</v>
      </c>
    </row>
    <row r="224" spans="1:11" x14ac:dyDescent="0.25">
      <c r="A224" s="6">
        <v>223</v>
      </c>
      <c r="B224" s="6" t="s">
        <v>773</v>
      </c>
      <c r="C224" s="6" t="s">
        <v>210</v>
      </c>
      <c r="D224" s="7">
        <v>1300</v>
      </c>
      <c r="E224" s="6">
        <v>9</v>
      </c>
      <c r="F224" s="11">
        <v>0.11</v>
      </c>
      <c r="G224" s="11">
        <v>0.11</v>
      </c>
      <c r="H224" s="6" t="s">
        <v>585</v>
      </c>
      <c r="I224" s="6" t="str">
        <f t="shared" si="9"/>
        <v>Very Easy</v>
      </c>
      <c r="J224" s="7">
        <f t="shared" si="10"/>
        <v>143</v>
      </c>
      <c r="K224" s="12">
        <f t="shared" si="11"/>
        <v>144.4</v>
      </c>
    </row>
    <row r="225" spans="1:11" x14ac:dyDescent="0.25">
      <c r="A225" s="6">
        <v>224</v>
      </c>
      <c r="B225" s="6" t="s">
        <v>774</v>
      </c>
      <c r="C225" s="6" t="s">
        <v>210</v>
      </c>
      <c r="D225" s="7">
        <v>1300</v>
      </c>
      <c r="E225" s="6">
        <v>29</v>
      </c>
      <c r="F225" s="11">
        <v>0.1</v>
      </c>
      <c r="G225" s="11">
        <v>0.17</v>
      </c>
      <c r="H225" s="6" t="s">
        <v>592</v>
      </c>
      <c r="I225" s="6" t="str">
        <f t="shared" si="9"/>
        <v>Medium</v>
      </c>
      <c r="J225" s="7">
        <f t="shared" si="10"/>
        <v>143</v>
      </c>
      <c r="K225" s="12">
        <f t="shared" si="11"/>
        <v>44.8</v>
      </c>
    </row>
    <row r="226" spans="1:11" x14ac:dyDescent="0.25">
      <c r="A226" s="6">
        <v>225</v>
      </c>
      <c r="B226" s="6" t="s">
        <v>775</v>
      </c>
      <c r="C226" s="6" t="s">
        <v>170</v>
      </c>
      <c r="D226" s="7">
        <v>1300</v>
      </c>
      <c r="E226" s="6">
        <v>24</v>
      </c>
      <c r="F226" s="11">
        <v>0.13</v>
      </c>
      <c r="G226" s="11">
        <v>0.18</v>
      </c>
      <c r="H226" s="6" t="s">
        <v>592</v>
      </c>
      <c r="I226" s="6" t="str">
        <f t="shared" si="9"/>
        <v>Easy</v>
      </c>
      <c r="J226" s="7">
        <f t="shared" si="10"/>
        <v>143</v>
      </c>
      <c r="K226" s="12">
        <f t="shared" si="11"/>
        <v>54.2</v>
      </c>
    </row>
    <row r="227" spans="1:11" x14ac:dyDescent="0.25">
      <c r="A227" s="6">
        <v>226</v>
      </c>
      <c r="B227" s="6" t="s">
        <v>776</v>
      </c>
      <c r="C227" s="6" t="s">
        <v>170</v>
      </c>
      <c r="D227" s="7">
        <v>1300</v>
      </c>
      <c r="E227" s="6">
        <v>15</v>
      </c>
      <c r="F227" s="11">
        <v>0.11</v>
      </c>
      <c r="G227" s="11">
        <v>0.14000000000000001</v>
      </c>
      <c r="H227" s="6" t="s">
        <v>596</v>
      </c>
      <c r="I227" s="6" t="str">
        <f t="shared" si="9"/>
        <v>Very Easy</v>
      </c>
      <c r="J227" s="7">
        <f t="shared" si="10"/>
        <v>143</v>
      </c>
      <c r="K227" s="12">
        <f t="shared" si="11"/>
        <v>86.7</v>
      </c>
    </row>
    <row r="228" spans="1:11" x14ac:dyDescent="0.25">
      <c r="A228" s="6">
        <v>227</v>
      </c>
      <c r="B228" s="6" t="s">
        <v>777</v>
      </c>
      <c r="C228" s="6" t="s">
        <v>170</v>
      </c>
      <c r="D228" s="7">
        <v>1300</v>
      </c>
      <c r="E228" s="6">
        <v>11</v>
      </c>
      <c r="F228" s="11">
        <v>0.04</v>
      </c>
      <c r="G228" s="11">
        <v>0.19</v>
      </c>
      <c r="H228" s="6" t="s">
        <v>602</v>
      </c>
      <c r="I228" s="6" t="str">
        <f t="shared" si="9"/>
        <v>Very Easy</v>
      </c>
      <c r="J228" s="7">
        <f t="shared" si="10"/>
        <v>143</v>
      </c>
      <c r="K228" s="12">
        <f t="shared" si="11"/>
        <v>118.2</v>
      </c>
    </row>
    <row r="229" spans="1:11" x14ac:dyDescent="0.25">
      <c r="A229" s="6">
        <v>228</v>
      </c>
      <c r="B229" s="6" t="s">
        <v>778</v>
      </c>
      <c r="C229" s="6" t="s">
        <v>170</v>
      </c>
      <c r="D229" s="7">
        <v>1300</v>
      </c>
      <c r="E229" s="6">
        <v>13</v>
      </c>
      <c r="F229" s="11">
        <v>0.08</v>
      </c>
      <c r="G229" s="11">
        <v>0.05</v>
      </c>
      <c r="H229" s="6" t="s">
        <v>585</v>
      </c>
      <c r="I229" s="6" t="str">
        <f t="shared" si="9"/>
        <v>Very Easy</v>
      </c>
      <c r="J229" s="7">
        <f t="shared" si="10"/>
        <v>143</v>
      </c>
      <c r="K229" s="12">
        <f t="shared" si="11"/>
        <v>100</v>
      </c>
    </row>
    <row r="230" spans="1:11" x14ac:dyDescent="0.25">
      <c r="A230" s="6">
        <v>229</v>
      </c>
      <c r="B230" s="6" t="s">
        <v>779</v>
      </c>
      <c r="C230" s="6" t="s">
        <v>170</v>
      </c>
      <c r="D230" s="7">
        <v>1300</v>
      </c>
      <c r="E230" s="6">
        <v>17</v>
      </c>
      <c r="F230" s="11">
        <v>0.06</v>
      </c>
      <c r="G230" s="11">
        <v>0.18</v>
      </c>
      <c r="H230" s="6" t="s">
        <v>585</v>
      </c>
      <c r="I230" s="6" t="str">
        <f t="shared" si="9"/>
        <v>Easy</v>
      </c>
      <c r="J230" s="7">
        <f t="shared" si="10"/>
        <v>143</v>
      </c>
      <c r="K230" s="12">
        <f t="shared" si="11"/>
        <v>76.5</v>
      </c>
    </row>
    <row r="231" spans="1:11" x14ac:dyDescent="0.25">
      <c r="A231" s="6">
        <v>230</v>
      </c>
      <c r="B231" s="6" t="s">
        <v>780</v>
      </c>
      <c r="C231" s="6" t="s">
        <v>648</v>
      </c>
      <c r="D231" s="7">
        <v>1300</v>
      </c>
      <c r="E231" s="6">
        <v>9</v>
      </c>
      <c r="F231" s="11">
        <v>0.37</v>
      </c>
      <c r="G231" s="11">
        <v>0.01</v>
      </c>
      <c r="H231" s="6" t="s">
        <v>585</v>
      </c>
      <c r="I231" s="6" t="str">
        <f t="shared" si="9"/>
        <v>Very Easy</v>
      </c>
      <c r="J231" s="7">
        <f t="shared" si="10"/>
        <v>143</v>
      </c>
      <c r="K231" s="12">
        <f t="shared" si="11"/>
        <v>144.4</v>
      </c>
    </row>
    <row r="232" spans="1:11" x14ac:dyDescent="0.25">
      <c r="A232" s="6">
        <v>231</v>
      </c>
      <c r="B232" s="6" t="s">
        <v>781</v>
      </c>
      <c r="C232" s="6" t="s">
        <v>624</v>
      </c>
      <c r="D232" s="7">
        <v>1300</v>
      </c>
      <c r="E232" s="6">
        <v>29</v>
      </c>
      <c r="F232" s="11">
        <v>0.03</v>
      </c>
      <c r="G232" s="11">
        <v>0.13</v>
      </c>
      <c r="H232" s="6" t="s">
        <v>589</v>
      </c>
      <c r="I232" s="6" t="str">
        <f t="shared" si="9"/>
        <v>Medium</v>
      </c>
      <c r="J232" s="7">
        <f t="shared" si="10"/>
        <v>143</v>
      </c>
      <c r="K232" s="12">
        <f t="shared" si="11"/>
        <v>44.8</v>
      </c>
    </row>
    <row r="233" spans="1:11" x14ac:dyDescent="0.25">
      <c r="A233" s="6">
        <v>232</v>
      </c>
      <c r="B233" s="6" t="s">
        <v>782</v>
      </c>
      <c r="C233" s="6" t="s">
        <v>624</v>
      </c>
      <c r="D233" s="7">
        <v>1300</v>
      </c>
      <c r="E233" s="6">
        <v>11</v>
      </c>
      <c r="F233" s="11">
        <v>0.03</v>
      </c>
      <c r="G233" s="11">
        <v>0.11</v>
      </c>
      <c r="H233" s="6" t="s">
        <v>602</v>
      </c>
      <c r="I233" s="6" t="str">
        <f t="shared" si="9"/>
        <v>Very Easy</v>
      </c>
      <c r="J233" s="7">
        <f t="shared" si="10"/>
        <v>143</v>
      </c>
      <c r="K233" s="12">
        <f t="shared" si="11"/>
        <v>118.2</v>
      </c>
    </row>
    <row r="234" spans="1:11" x14ac:dyDescent="0.25">
      <c r="A234" s="6">
        <v>233</v>
      </c>
      <c r="B234" s="6" t="s">
        <v>783</v>
      </c>
      <c r="C234" s="6" t="s">
        <v>624</v>
      </c>
      <c r="D234" s="7">
        <v>1300</v>
      </c>
      <c r="E234" s="6">
        <v>30</v>
      </c>
      <c r="F234" s="11">
        <v>0.01</v>
      </c>
      <c r="G234" s="11">
        <v>0.06</v>
      </c>
      <c r="H234" s="6" t="s">
        <v>585</v>
      </c>
      <c r="I234" s="6" t="str">
        <f t="shared" si="9"/>
        <v>Medium</v>
      </c>
      <c r="J234" s="7">
        <f t="shared" si="10"/>
        <v>143</v>
      </c>
      <c r="K234" s="12">
        <f t="shared" si="11"/>
        <v>43.3</v>
      </c>
    </row>
    <row r="235" spans="1:11" x14ac:dyDescent="0.25">
      <c r="A235" s="6">
        <v>234</v>
      </c>
      <c r="B235" s="6" t="s">
        <v>784</v>
      </c>
      <c r="C235" s="6" t="s">
        <v>588</v>
      </c>
      <c r="D235" s="7">
        <v>1300</v>
      </c>
      <c r="E235" s="6">
        <v>6</v>
      </c>
      <c r="F235" s="11">
        <v>0.14000000000000001</v>
      </c>
      <c r="G235" s="11">
        <v>0.05</v>
      </c>
      <c r="H235" s="6" t="s">
        <v>585</v>
      </c>
      <c r="I235" s="6" t="str">
        <f t="shared" si="9"/>
        <v>Very Easy</v>
      </c>
      <c r="J235" s="7">
        <f t="shared" si="10"/>
        <v>143</v>
      </c>
      <c r="K235" s="12">
        <f t="shared" si="11"/>
        <v>216.7</v>
      </c>
    </row>
    <row r="236" spans="1:11" x14ac:dyDescent="0.25">
      <c r="A236" s="6">
        <v>235</v>
      </c>
      <c r="B236" s="6" t="s">
        <v>785</v>
      </c>
      <c r="C236" s="6" t="s">
        <v>588</v>
      </c>
      <c r="D236" s="7">
        <v>1300</v>
      </c>
      <c r="E236" s="6">
        <v>9</v>
      </c>
      <c r="F236" s="11">
        <v>0.06</v>
      </c>
      <c r="G236" s="11">
        <v>0.16</v>
      </c>
      <c r="H236" s="6" t="s">
        <v>585</v>
      </c>
      <c r="I236" s="6" t="str">
        <f t="shared" si="9"/>
        <v>Very Easy</v>
      </c>
      <c r="J236" s="7">
        <f t="shared" si="10"/>
        <v>143</v>
      </c>
      <c r="K236" s="12">
        <f t="shared" si="11"/>
        <v>144.4</v>
      </c>
    </row>
    <row r="237" spans="1:11" x14ac:dyDescent="0.25">
      <c r="A237" s="6">
        <v>236</v>
      </c>
      <c r="B237" s="6" t="s">
        <v>786</v>
      </c>
      <c r="C237" s="6" t="s">
        <v>588</v>
      </c>
      <c r="D237" s="7">
        <v>1300</v>
      </c>
      <c r="E237" s="6">
        <v>18</v>
      </c>
      <c r="F237" s="11">
        <v>0.06</v>
      </c>
      <c r="G237" s="11">
        <v>0.09</v>
      </c>
      <c r="H237" s="6" t="s">
        <v>585</v>
      </c>
      <c r="I237" s="6" t="str">
        <f t="shared" si="9"/>
        <v>Easy</v>
      </c>
      <c r="J237" s="7">
        <f t="shared" si="10"/>
        <v>143</v>
      </c>
      <c r="K237" s="12">
        <f t="shared" si="11"/>
        <v>72.2</v>
      </c>
    </row>
    <row r="238" spans="1:11" x14ac:dyDescent="0.25">
      <c r="A238" s="6">
        <v>237</v>
      </c>
      <c r="B238" s="6" t="s">
        <v>309</v>
      </c>
      <c r="C238" s="6" t="s">
        <v>588</v>
      </c>
      <c r="D238" s="7">
        <v>1300</v>
      </c>
      <c r="E238" s="6">
        <v>21</v>
      </c>
      <c r="F238" s="11">
        <v>0.06</v>
      </c>
      <c r="G238" s="11">
        <v>0.06</v>
      </c>
      <c r="H238" s="6" t="s">
        <v>585</v>
      </c>
      <c r="I238" s="6" t="str">
        <f t="shared" si="9"/>
        <v>Easy</v>
      </c>
      <c r="J238" s="7">
        <f t="shared" si="10"/>
        <v>143</v>
      </c>
      <c r="K238" s="12">
        <f t="shared" si="11"/>
        <v>61.9</v>
      </c>
    </row>
    <row r="239" spans="1:11" x14ac:dyDescent="0.25">
      <c r="A239" s="6">
        <v>238</v>
      </c>
      <c r="B239" s="6" t="s">
        <v>787</v>
      </c>
      <c r="C239" s="6" t="s">
        <v>40</v>
      </c>
      <c r="D239" s="7">
        <v>1300</v>
      </c>
      <c r="E239" s="6">
        <v>33</v>
      </c>
      <c r="F239" s="11">
        <v>0.18</v>
      </c>
      <c r="G239" s="11">
        <v>0.09</v>
      </c>
      <c r="H239" s="6" t="s">
        <v>585</v>
      </c>
      <c r="I239" s="6" t="str">
        <f t="shared" si="9"/>
        <v>Medium</v>
      </c>
      <c r="J239" s="7">
        <f t="shared" si="10"/>
        <v>143</v>
      </c>
      <c r="K239" s="12">
        <f t="shared" si="11"/>
        <v>39.4</v>
      </c>
    </row>
    <row r="240" spans="1:11" x14ac:dyDescent="0.25">
      <c r="A240" s="6">
        <v>239</v>
      </c>
      <c r="B240" s="6" t="s">
        <v>788</v>
      </c>
      <c r="C240" s="6" t="s">
        <v>210</v>
      </c>
      <c r="D240" s="7">
        <v>1000</v>
      </c>
      <c r="E240" s="6">
        <v>10</v>
      </c>
      <c r="F240" s="11">
        <v>0.11</v>
      </c>
      <c r="G240" s="11">
        <v>0.22</v>
      </c>
      <c r="H240" s="6" t="s">
        <v>592</v>
      </c>
      <c r="I240" s="6" t="str">
        <f t="shared" si="9"/>
        <v>Very Easy</v>
      </c>
      <c r="J240" s="7">
        <f t="shared" si="10"/>
        <v>110</v>
      </c>
      <c r="K240" s="12">
        <f t="shared" si="11"/>
        <v>100</v>
      </c>
    </row>
    <row r="241" spans="1:11" x14ac:dyDescent="0.25">
      <c r="A241" s="6">
        <v>240</v>
      </c>
      <c r="B241" s="6" t="s">
        <v>789</v>
      </c>
      <c r="C241" s="6" t="s">
        <v>210</v>
      </c>
      <c r="D241" s="7">
        <v>1000</v>
      </c>
      <c r="E241" s="6">
        <v>9</v>
      </c>
      <c r="F241" s="11">
        <v>0.03</v>
      </c>
      <c r="G241" s="11">
        <v>0.15</v>
      </c>
      <c r="H241" s="6" t="s">
        <v>602</v>
      </c>
      <c r="I241" s="6" t="str">
        <f t="shared" si="9"/>
        <v>Very Easy</v>
      </c>
      <c r="J241" s="7">
        <f t="shared" si="10"/>
        <v>110</v>
      </c>
      <c r="K241" s="12">
        <f t="shared" si="11"/>
        <v>111.1</v>
      </c>
    </row>
    <row r="242" spans="1:11" x14ac:dyDescent="0.25">
      <c r="A242" s="6">
        <v>241</v>
      </c>
      <c r="B242" s="6" t="s">
        <v>790</v>
      </c>
      <c r="C242" s="6" t="s">
        <v>210</v>
      </c>
      <c r="D242" s="7">
        <v>1000</v>
      </c>
      <c r="E242" s="6">
        <v>7</v>
      </c>
      <c r="F242" s="11">
        <v>0.09</v>
      </c>
      <c r="G242" s="11">
        <v>0.02</v>
      </c>
      <c r="H242" s="6" t="s">
        <v>602</v>
      </c>
      <c r="I242" s="6" t="str">
        <f t="shared" si="9"/>
        <v>Very Easy</v>
      </c>
      <c r="J242" s="7">
        <f t="shared" si="10"/>
        <v>110</v>
      </c>
      <c r="K242" s="12">
        <f t="shared" si="11"/>
        <v>142.9</v>
      </c>
    </row>
    <row r="243" spans="1:11" x14ac:dyDescent="0.25">
      <c r="A243" s="6">
        <v>242</v>
      </c>
      <c r="B243" s="6" t="s">
        <v>791</v>
      </c>
      <c r="C243" s="6" t="s">
        <v>210</v>
      </c>
      <c r="D243" s="7">
        <v>1000</v>
      </c>
      <c r="E243" s="6">
        <v>15</v>
      </c>
      <c r="F243" s="11">
        <v>0.08</v>
      </c>
      <c r="G243" s="11">
        <v>0.03</v>
      </c>
      <c r="H243" s="6" t="s">
        <v>592</v>
      </c>
      <c r="I243" s="6" t="str">
        <f t="shared" si="9"/>
        <v>Very Easy</v>
      </c>
      <c r="J243" s="7">
        <f t="shared" si="10"/>
        <v>110</v>
      </c>
      <c r="K243" s="12">
        <f t="shared" si="11"/>
        <v>66.7</v>
      </c>
    </row>
    <row r="244" spans="1:11" x14ac:dyDescent="0.25">
      <c r="A244" s="6">
        <v>243</v>
      </c>
      <c r="B244" s="6" t="s">
        <v>283</v>
      </c>
      <c r="C244" s="6" t="s">
        <v>210</v>
      </c>
      <c r="D244" s="7">
        <v>1000</v>
      </c>
      <c r="E244" s="6">
        <v>18</v>
      </c>
      <c r="F244" s="11">
        <v>0.06</v>
      </c>
      <c r="G244" s="11">
        <v>0.11</v>
      </c>
      <c r="H244" s="6" t="s">
        <v>616</v>
      </c>
      <c r="I244" s="6" t="str">
        <f t="shared" si="9"/>
        <v>Easy</v>
      </c>
      <c r="J244" s="7">
        <f t="shared" si="10"/>
        <v>110</v>
      </c>
      <c r="K244" s="12">
        <f t="shared" si="11"/>
        <v>55.6</v>
      </c>
    </row>
    <row r="245" spans="1:11" x14ac:dyDescent="0.25">
      <c r="A245" s="6">
        <v>244</v>
      </c>
      <c r="B245" s="6" t="s">
        <v>498</v>
      </c>
      <c r="C245" s="6" t="s">
        <v>210</v>
      </c>
      <c r="D245" s="7">
        <v>1000</v>
      </c>
      <c r="E245" s="6">
        <v>17</v>
      </c>
      <c r="F245" s="11">
        <v>0.12</v>
      </c>
      <c r="G245" s="11">
        <v>0.11</v>
      </c>
      <c r="H245" s="6" t="s">
        <v>585</v>
      </c>
      <c r="I245" s="6" t="str">
        <f t="shared" si="9"/>
        <v>Easy</v>
      </c>
      <c r="J245" s="7">
        <f t="shared" si="10"/>
        <v>110</v>
      </c>
      <c r="K245" s="12">
        <f t="shared" si="11"/>
        <v>58.8</v>
      </c>
    </row>
    <row r="246" spans="1:11" x14ac:dyDescent="0.25">
      <c r="A246" s="6">
        <v>245</v>
      </c>
      <c r="B246" s="6" t="s">
        <v>792</v>
      </c>
      <c r="C246" s="6" t="s">
        <v>210</v>
      </c>
      <c r="D246" s="7">
        <v>1000</v>
      </c>
      <c r="E246" s="6">
        <v>15</v>
      </c>
      <c r="F246" s="11">
        <v>0.09</v>
      </c>
      <c r="G246" s="11">
        <v>0.08</v>
      </c>
      <c r="H246" s="6" t="s">
        <v>585</v>
      </c>
      <c r="I246" s="6" t="str">
        <f t="shared" si="9"/>
        <v>Very Easy</v>
      </c>
      <c r="J246" s="7">
        <f t="shared" si="10"/>
        <v>110</v>
      </c>
      <c r="K246" s="12">
        <f t="shared" si="11"/>
        <v>66.7</v>
      </c>
    </row>
    <row r="247" spans="1:11" x14ac:dyDescent="0.25">
      <c r="A247" s="6">
        <v>246</v>
      </c>
      <c r="B247" s="6" t="s">
        <v>793</v>
      </c>
      <c r="C247" s="6" t="s">
        <v>170</v>
      </c>
      <c r="D247" s="7">
        <v>1000</v>
      </c>
      <c r="E247" s="6">
        <v>14</v>
      </c>
      <c r="F247" s="11">
        <v>0.18</v>
      </c>
      <c r="G247" s="11">
        <v>0.02</v>
      </c>
      <c r="H247" s="6" t="s">
        <v>585</v>
      </c>
      <c r="I247" s="6" t="str">
        <f t="shared" si="9"/>
        <v>Very Easy</v>
      </c>
      <c r="J247" s="7">
        <f t="shared" si="10"/>
        <v>110</v>
      </c>
      <c r="K247" s="12">
        <f t="shared" si="11"/>
        <v>71.400000000000006</v>
      </c>
    </row>
    <row r="248" spans="1:11" x14ac:dyDescent="0.25">
      <c r="A248" s="6">
        <v>247</v>
      </c>
      <c r="B248" s="6" t="s">
        <v>794</v>
      </c>
      <c r="C248" s="6" t="s">
        <v>170</v>
      </c>
      <c r="D248" s="7">
        <v>1000</v>
      </c>
      <c r="E248" s="6">
        <v>26</v>
      </c>
      <c r="F248" s="11">
        <v>0.13</v>
      </c>
      <c r="G248" s="11">
        <v>0.12</v>
      </c>
      <c r="H248" s="6" t="s">
        <v>585</v>
      </c>
      <c r="I248" s="6" t="str">
        <f t="shared" si="9"/>
        <v>Medium</v>
      </c>
      <c r="J248" s="7">
        <f t="shared" si="10"/>
        <v>110</v>
      </c>
      <c r="K248" s="12">
        <f t="shared" si="11"/>
        <v>38.5</v>
      </c>
    </row>
    <row r="249" spans="1:11" x14ac:dyDescent="0.25">
      <c r="A249" s="6">
        <v>248</v>
      </c>
      <c r="B249" s="6" t="s">
        <v>795</v>
      </c>
      <c r="C249" s="6" t="s">
        <v>170</v>
      </c>
      <c r="D249" s="7">
        <v>1000</v>
      </c>
      <c r="E249" s="6">
        <v>21</v>
      </c>
      <c r="F249" s="11">
        <v>0.17</v>
      </c>
      <c r="G249" s="11">
        <v>0.13</v>
      </c>
      <c r="H249" s="6" t="s">
        <v>585</v>
      </c>
      <c r="I249" s="6" t="str">
        <f t="shared" si="9"/>
        <v>Easy</v>
      </c>
      <c r="J249" s="7">
        <f t="shared" si="10"/>
        <v>110</v>
      </c>
      <c r="K249" s="12">
        <f t="shared" si="11"/>
        <v>47.6</v>
      </c>
    </row>
    <row r="250" spans="1:11" x14ac:dyDescent="0.25">
      <c r="A250" s="6">
        <v>249</v>
      </c>
      <c r="B250" s="6" t="s">
        <v>796</v>
      </c>
      <c r="C250" s="6" t="s">
        <v>170</v>
      </c>
      <c r="D250" s="7">
        <v>1000</v>
      </c>
      <c r="E250" s="6">
        <v>14</v>
      </c>
      <c r="F250" s="11">
        <v>7.0000000000000007E-2</v>
      </c>
      <c r="G250" s="11">
        <v>0.1</v>
      </c>
      <c r="H250" s="6" t="s">
        <v>585</v>
      </c>
      <c r="I250" s="6" t="str">
        <f t="shared" si="9"/>
        <v>Very Easy</v>
      </c>
      <c r="J250" s="7">
        <f t="shared" si="10"/>
        <v>110</v>
      </c>
      <c r="K250" s="12">
        <f t="shared" si="11"/>
        <v>71.400000000000006</v>
      </c>
    </row>
    <row r="251" spans="1:11" x14ac:dyDescent="0.25">
      <c r="A251" s="6">
        <v>250</v>
      </c>
      <c r="B251" s="6" t="s">
        <v>797</v>
      </c>
      <c r="C251" s="6" t="s">
        <v>648</v>
      </c>
      <c r="D251" s="7">
        <v>1000</v>
      </c>
      <c r="E251" s="6">
        <v>19</v>
      </c>
      <c r="F251" s="11">
        <v>0.05</v>
      </c>
      <c r="G251" s="11">
        <v>0.28000000000000003</v>
      </c>
      <c r="H251" s="6" t="s">
        <v>585</v>
      </c>
      <c r="I251" s="6" t="str">
        <f t="shared" si="9"/>
        <v>Easy</v>
      </c>
      <c r="J251" s="7">
        <f t="shared" si="10"/>
        <v>110</v>
      </c>
      <c r="K251" s="12">
        <f t="shared" si="11"/>
        <v>52.6</v>
      </c>
    </row>
    <row r="252" spans="1:11" x14ac:dyDescent="0.25">
      <c r="A252" s="6">
        <v>251</v>
      </c>
      <c r="B252" s="6" t="s">
        <v>798</v>
      </c>
      <c r="C252" s="6" t="s">
        <v>648</v>
      </c>
      <c r="D252" s="7">
        <v>1000</v>
      </c>
      <c r="E252" s="6">
        <v>8</v>
      </c>
      <c r="F252" s="11">
        <v>0.32</v>
      </c>
      <c r="G252" s="11">
        <v>0.02</v>
      </c>
      <c r="H252" s="6" t="s">
        <v>585</v>
      </c>
      <c r="I252" s="6" t="str">
        <f t="shared" si="9"/>
        <v>Very Easy</v>
      </c>
      <c r="J252" s="7">
        <f t="shared" si="10"/>
        <v>110</v>
      </c>
      <c r="K252" s="12">
        <f t="shared" si="11"/>
        <v>125</v>
      </c>
    </row>
    <row r="253" spans="1:11" x14ac:dyDescent="0.25">
      <c r="A253" s="6">
        <v>252</v>
      </c>
      <c r="B253" s="6" t="s">
        <v>799</v>
      </c>
      <c r="C253" s="6" t="s">
        <v>648</v>
      </c>
      <c r="D253" s="7">
        <v>1000</v>
      </c>
      <c r="E253" s="6">
        <v>13</v>
      </c>
      <c r="F253" s="11">
        <v>0.06</v>
      </c>
      <c r="G253" s="11">
        <v>0.33</v>
      </c>
      <c r="H253" s="6" t="s">
        <v>592</v>
      </c>
      <c r="I253" s="6" t="str">
        <f t="shared" si="9"/>
        <v>Very Easy</v>
      </c>
      <c r="J253" s="7">
        <f t="shared" si="10"/>
        <v>110</v>
      </c>
      <c r="K253" s="12">
        <f t="shared" si="11"/>
        <v>76.900000000000006</v>
      </c>
    </row>
    <row r="254" spans="1:11" x14ac:dyDescent="0.25">
      <c r="A254" s="6">
        <v>253</v>
      </c>
      <c r="B254" s="6" t="s">
        <v>800</v>
      </c>
      <c r="C254" s="6" t="s">
        <v>648</v>
      </c>
      <c r="D254" s="7">
        <v>1000</v>
      </c>
      <c r="E254" s="6">
        <v>21</v>
      </c>
      <c r="F254" s="11">
        <v>0.06</v>
      </c>
      <c r="G254" s="11">
        <v>0.19</v>
      </c>
      <c r="H254" s="6" t="s">
        <v>592</v>
      </c>
      <c r="I254" s="6" t="str">
        <f t="shared" si="9"/>
        <v>Easy</v>
      </c>
      <c r="J254" s="7">
        <f t="shared" si="10"/>
        <v>110</v>
      </c>
      <c r="K254" s="12">
        <f t="shared" si="11"/>
        <v>47.6</v>
      </c>
    </row>
    <row r="255" spans="1:11" x14ac:dyDescent="0.25">
      <c r="A255" s="6">
        <v>254</v>
      </c>
      <c r="B255" s="6" t="s">
        <v>801</v>
      </c>
      <c r="C255" s="6" t="s">
        <v>648</v>
      </c>
      <c r="D255" s="7">
        <v>1000</v>
      </c>
      <c r="E255" s="6">
        <v>17</v>
      </c>
      <c r="F255" s="11">
        <v>0</v>
      </c>
      <c r="G255" s="11">
        <v>0</v>
      </c>
      <c r="H255" s="6" t="s">
        <v>585</v>
      </c>
      <c r="I255" s="6" t="str">
        <f t="shared" si="9"/>
        <v>Easy</v>
      </c>
      <c r="J255" s="7">
        <f t="shared" si="10"/>
        <v>110</v>
      </c>
      <c r="K255" s="12">
        <f t="shared" si="11"/>
        <v>58.8</v>
      </c>
    </row>
    <row r="256" spans="1:11" x14ac:dyDescent="0.25">
      <c r="A256" s="6">
        <v>255</v>
      </c>
      <c r="B256" s="6" t="s">
        <v>802</v>
      </c>
      <c r="C256" s="6" t="s">
        <v>648</v>
      </c>
      <c r="D256" s="7">
        <v>1000</v>
      </c>
      <c r="E256" s="6">
        <v>12</v>
      </c>
      <c r="F256" s="11">
        <v>0.08</v>
      </c>
      <c r="G256" s="11">
        <v>0.01</v>
      </c>
      <c r="H256" s="6" t="s">
        <v>585</v>
      </c>
      <c r="I256" s="6" t="str">
        <f t="shared" si="9"/>
        <v>Very Easy</v>
      </c>
      <c r="J256" s="7">
        <f t="shared" si="10"/>
        <v>110</v>
      </c>
      <c r="K256" s="12">
        <f t="shared" si="11"/>
        <v>83.3</v>
      </c>
    </row>
    <row r="257" spans="1:11" x14ac:dyDescent="0.25">
      <c r="A257" s="6">
        <v>256</v>
      </c>
      <c r="B257" s="6" t="s">
        <v>803</v>
      </c>
      <c r="C257" s="6" t="s">
        <v>179</v>
      </c>
      <c r="D257" s="7">
        <v>1000</v>
      </c>
      <c r="E257" s="6">
        <v>30</v>
      </c>
      <c r="F257" s="11">
        <v>0.08</v>
      </c>
      <c r="G257" s="11">
        <v>0.37</v>
      </c>
      <c r="H257" s="6" t="s">
        <v>596</v>
      </c>
      <c r="I257" s="6" t="str">
        <f t="shared" si="9"/>
        <v>Medium</v>
      </c>
      <c r="J257" s="7">
        <f t="shared" si="10"/>
        <v>110</v>
      </c>
      <c r="K257" s="12">
        <f t="shared" si="11"/>
        <v>33.299999999999997</v>
      </c>
    </row>
    <row r="258" spans="1:11" x14ac:dyDescent="0.25">
      <c r="A258" s="6">
        <v>257</v>
      </c>
      <c r="B258" s="6" t="s">
        <v>225</v>
      </c>
      <c r="C258" s="6" t="s">
        <v>179</v>
      </c>
      <c r="D258" s="7">
        <v>1000</v>
      </c>
      <c r="E258" s="6">
        <v>10</v>
      </c>
      <c r="F258" s="11">
        <v>0.09</v>
      </c>
      <c r="G258" s="11">
        <v>0.15</v>
      </c>
      <c r="H258" s="6" t="s">
        <v>585</v>
      </c>
      <c r="I258" s="6" t="str">
        <f t="shared" ref="I258:I321" si="12">IF(E258&lt;=15,"Very Easy",IF(E258&lt;=25,"Easy",IF(E258&lt;=40,"Medium","Hard")))</f>
        <v>Very Easy</v>
      </c>
      <c r="J258" s="7">
        <f t="shared" ref="J258:J321" si="13">ROUND(D258*0.11,0)</f>
        <v>110</v>
      </c>
      <c r="K258" s="12">
        <f t="shared" ref="K258:K321" si="14">ROUND(D258/MAX(E258,1),1)</f>
        <v>100</v>
      </c>
    </row>
    <row r="259" spans="1:11" x14ac:dyDescent="0.25">
      <c r="A259" s="6">
        <v>258</v>
      </c>
      <c r="B259" s="6" t="s">
        <v>804</v>
      </c>
      <c r="C259" s="6" t="s">
        <v>685</v>
      </c>
      <c r="D259" s="7">
        <v>1000</v>
      </c>
      <c r="E259" s="6">
        <v>10</v>
      </c>
      <c r="F259" s="11">
        <v>0.11</v>
      </c>
      <c r="G259" s="11">
        <v>0.37</v>
      </c>
      <c r="H259" s="6" t="s">
        <v>592</v>
      </c>
      <c r="I259" s="6" t="str">
        <f t="shared" si="12"/>
        <v>Very Easy</v>
      </c>
      <c r="J259" s="7">
        <f t="shared" si="13"/>
        <v>110</v>
      </c>
      <c r="K259" s="12">
        <f t="shared" si="14"/>
        <v>100</v>
      </c>
    </row>
    <row r="260" spans="1:11" x14ac:dyDescent="0.25">
      <c r="A260" s="6">
        <v>259</v>
      </c>
      <c r="B260" s="6" t="s">
        <v>805</v>
      </c>
      <c r="C260" s="6" t="s">
        <v>624</v>
      </c>
      <c r="D260" s="7">
        <v>1000</v>
      </c>
      <c r="E260" s="6">
        <v>12</v>
      </c>
      <c r="F260" s="11">
        <v>0.05</v>
      </c>
      <c r="G260" s="11">
        <v>0.04</v>
      </c>
      <c r="H260" s="6" t="s">
        <v>589</v>
      </c>
      <c r="I260" s="6" t="str">
        <f t="shared" si="12"/>
        <v>Very Easy</v>
      </c>
      <c r="J260" s="7">
        <f t="shared" si="13"/>
        <v>110</v>
      </c>
      <c r="K260" s="12">
        <f t="shared" si="14"/>
        <v>83.3</v>
      </c>
    </row>
    <row r="261" spans="1:11" x14ac:dyDescent="0.25">
      <c r="A261" s="6">
        <v>260</v>
      </c>
      <c r="B261" s="6" t="s">
        <v>436</v>
      </c>
      <c r="C261" s="6" t="s">
        <v>624</v>
      </c>
      <c r="D261" s="7">
        <v>1000</v>
      </c>
      <c r="E261" s="6">
        <v>22</v>
      </c>
      <c r="F261" s="11">
        <v>0.04</v>
      </c>
      <c r="G261" s="11">
        <v>0.05</v>
      </c>
      <c r="H261" s="6" t="s">
        <v>585</v>
      </c>
      <c r="I261" s="6" t="str">
        <f t="shared" si="12"/>
        <v>Easy</v>
      </c>
      <c r="J261" s="7">
        <f t="shared" si="13"/>
        <v>110</v>
      </c>
      <c r="K261" s="12">
        <f t="shared" si="14"/>
        <v>45.5</v>
      </c>
    </row>
    <row r="262" spans="1:11" x14ac:dyDescent="0.25">
      <c r="A262" s="6">
        <v>261</v>
      </c>
      <c r="B262" s="6" t="s">
        <v>806</v>
      </c>
      <c r="C262" s="6" t="s">
        <v>624</v>
      </c>
      <c r="D262" s="7">
        <v>1000</v>
      </c>
      <c r="E262" s="6">
        <v>17</v>
      </c>
      <c r="F262" s="11">
        <v>0.02</v>
      </c>
      <c r="G262" s="11">
        <v>0.23</v>
      </c>
      <c r="H262" s="6" t="s">
        <v>596</v>
      </c>
      <c r="I262" s="6" t="str">
        <f t="shared" si="12"/>
        <v>Easy</v>
      </c>
      <c r="J262" s="7">
        <f t="shared" si="13"/>
        <v>110</v>
      </c>
      <c r="K262" s="12">
        <f t="shared" si="14"/>
        <v>58.8</v>
      </c>
    </row>
    <row r="263" spans="1:11" x14ac:dyDescent="0.25">
      <c r="A263" s="6">
        <v>262</v>
      </c>
      <c r="B263" s="6" t="s">
        <v>807</v>
      </c>
      <c r="C263" s="6" t="s">
        <v>588</v>
      </c>
      <c r="D263" s="7">
        <v>1000</v>
      </c>
      <c r="E263" s="6">
        <v>13</v>
      </c>
      <c r="F263" s="11">
        <v>0.03</v>
      </c>
      <c r="G263" s="11">
        <v>0.08</v>
      </c>
      <c r="H263" s="6" t="s">
        <v>585</v>
      </c>
      <c r="I263" s="6" t="str">
        <f t="shared" si="12"/>
        <v>Very Easy</v>
      </c>
      <c r="J263" s="7">
        <f t="shared" si="13"/>
        <v>110</v>
      </c>
      <c r="K263" s="12">
        <f t="shared" si="14"/>
        <v>76.900000000000006</v>
      </c>
    </row>
    <row r="264" spans="1:11" x14ac:dyDescent="0.25">
      <c r="A264" s="6">
        <v>263</v>
      </c>
      <c r="B264" s="6" t="s">
        <v>808</v>
      </c>
      <c r="C264" s="6" t="s">
        <v>588</v>
      </c>
      <c r="D264" s="7">
        <v>1000</v>
      </c>
      <c r="E264" s="6">
        <v>30</v>
      </c>
      <c r="F264" s="11">
        <v>0.09</v>
      </c>
      <c r="G264" s="11">
        <v>0.11</v>
      </c>
      <c r="H264" s="6" t="s">
        <v>585</v>
      </c>
      <c r="I264" s="6" t="str">
        <f t="shared" si="12"/>
        <v>Medium</v>
      </c>
      <c r="J264" s="7">
        <f t="shared" si="13"/>
        <v>110</v>
      </c>
      <c r="K264" s="12">
        <f t="shared" si="14"/>
        <v>33.299999999999997</v>
      </c>
    </row>
    <row r="265" spans="1:11" x14ac:dyDescent="0.25">
      <c r="A265" s="6">
        <v>264</v>
      </c>
      <c r="B265" s="6" t="s">
        <v>809</v>
      </c>
      <c r="C265" s="6" t="s">
        <v>588</v>
      </c>
      <c r="D265" s="7">
        <v>1000</v>
      </c>
      <c r="E265" s="6">
        <v>25</v>
      </c>
      <c r="F265" s="11">
        <v>0.02</v>
      </c>
      <c r="G265" s="11">
        <v>0.36</v>
      </c>
      <c r="H265" s="6" t="s">
        <v>596</v>
      </c>
      <c r="I265" s="6" t="str">
        <f t="shared" si="12"/>
        <v>Easy</v>
      </c>
      <c r="J265" s="7">
        <f t="shared" si="13"/>
        <v>110</v>
      </c>
      <c r="K265" s="12">
        <f t="shared" si="14"/>
        <v>40</v>
      </c>
    </row>
    <row r="266" spans="1:11" x14ac:dyDescent="0.25">
      <c r="A266" s="6">
        <v>265</v>
      </c>
      <c r="B266" s="6" t="s">
        <v>810</v>
      </c>
      <c r="C266" s="6" t="s">
        <v>588</v>
      </c>
      <c r="D266" s="7">
        <v>1000</v>
      </c>
      <c r="E266" s="6">
        <v>20</v>
      </c>
      <c r="F266" s="11">
        <v>7.0000000000000007E-2</v>
      </c>
      <c r="G266" s="11">
        <v>0.35</v>
      </c>
      <c r="H266" s="6" t="s">
        <v>585</v>
      </c>
      <c r="I266" s="6" t="str">
        <f t="shared" si="12"/>
        <v>Easy</v>
      </c>
      <c r="J266" s="7">
        <f t="shared" si="13"/>
        <v>110</v>
      </c>
      <c r="K266" s="12">
        <f t="shared" si="14"/>
        <v>50</v>
      </c>
    </row>
    <row r="267" spans="1:11" x14ac:dyDescent="0.25">
      <c r="A267" s="6">
        <v>266</v>
      </c>
      <c r="B267" s="6" t="s">
        <v>335</v>
      </c>
      <c r="C267" s="6" t="s">
        <v>588</v>
      </c>
      <c r="D267" s="7">
        <v>1000</v>
      </c>
      <c r="E267" s="6">
        <v>13</v>
      </c>
      <c r="F267" s="11">
        <v>0.04</v>
      </c>
      <c r="G267" s="11">
        <v>0.06</v>
      </c>
      <c r="H267" s="6" t="s">
        <v>585</v>
      </c>
      <c r="I267" s="6" t="str">
        <f t="shared" si="12"/>
        <v>Very Easy</v>
      </c>
      <c r="J267" s="7">
        <f t="shared" si="13"/>
        <v>110</v>
      </c>
      <c r="K267" s="12">
        <f t="shared" si="14"/>
        <v>76.900000000000006</v>
      </c>
    </row>
    <row r="268" spans="1:11" x14ac:dyDescent="0.25">
      <c r="A268" s="6">
        <v>267</v>
      </c>
      <c r="B268" s="6" t="s">
        <v>811</v>
      </c>
      <c r="C268" s="6" t="s">
        <v>40</v>
      </c>
      <c r="D268" s="7">
        <v>1000</v>
      </c>
      <c r="E268" s="6">
        <v>25</v>
      </c>
      <c r="F268" s="11">
        <v>0.16</v>
      </c>
      <c r="G268" s="11">
        <v>0.35</v>
      </c>
      <c r="H268" s="6" t="s">
        <v>592</v>
      </c>
      <c r="I268" s="6" t="str">
        <f t="shared" si="12"/>
        <v>Easy</v>
      </c>
      <c r="J268" s="7">
        <f t="shared" si="13"/>
        <v>110</v>
      </c>
      <c r="K268" s="12">
        <f t="shared" si="14"/>
        <v>40</v>
      </c>
    </row>
    <row r="269" spans="1:11" x14ac:dyDescent="0.25">
      <c r="A269" s="6">
        <v>268</v>
      </c>
      <c r="B269" s="6" t="s">
        <v>812</v>
      </c>
      <c r="C269" s="6" t="s">
        <v>210</v>
      </c>
      <c r="D269" s="7">
        <v>880</v>
      </c>
      <c r="E269" s="6">
        <v>15</v>
      </c>
      <c r="F269" s="11">
        <v>0.09</v>
      </c>
      <c r="G269" s="11">
        <v>0.18</v>
      </c>
      <c r="H269" s="6" t="s">
        <v>592</v>
      </c>
      <c r="I269" s="6" t="str">
        <f t="shared" si="12"/>
        <v>Very Easy</v>
      </c>
      <c r="J269" s="7">
        <f t="shared" si="13"/>
        <v>97</v>
      </c>
      <c r="K269" s="12">
        <f t="shared" si="14"/>
        <v>58.7</v>
      </c>
    </row>
    <row r="270" spans="1:11" x14ac:dyDescent="0.25">
      <c r="A270" s="6">
        <v>269</v>
      </c>
      <c r="B270" s="6" t="s">
        <v>813</v>
      </c>
      <c r="C270" s="6" t="s">
        <v>210</v>
      </c>
      <c r="D270" s="7">
        <v>880</v>
      </c>
      <c r="E270" s="6">
        <v>13</v>
      </c>
      <c r="F270" s="11">
        <v>7.0000000000000007E-2</v>
      </c>
      <c r="G270" s="11">
        <v>0.05</v>
      </c>
      <c r="H270" s="6" t="s">
        <v>585</v>
      </c>
      <c r="I270" s="6" t="str">
        <f t="shared" si="12"/>
        <v>Very Easy</v>
      </c>
      <c r="J270" s="7">
        <f t="shared" si="13"/>
        <v>97</v>
      </c>
      <c r="K270" s="12">
        <f t="shared" si="14"/>
        <v>67.7</v>
      </c>
    </row>
    <row r="271" spans="1:11" x14ac:dyDescent="0.25">
      <c r="A271" s="6">
        <v>270</v>
      </c>
      <c r="B271" s="6" t="s">
        <v>814</v>
      </c>
      <c r="C271" s="6" t="s">
        <v>210</v>
      </c>
      <c r="D271" s="7">
        <v>880</v>
      </c>
      <c r="E271" s="6">
        <v>11</v>
      </c>
      <c r="F271" s="11">
        <v>0.03</v>
      </c>
      <c r="G271" s="11">
        <v>0.05</v>
      </c>
      <c r="H271" s="6" t="s">
        <v>602</v>
      </c>
      <c r="I271" s="6" t="str">
        <f t="shared" si="12"/>
        <v>Very Easy</v>
      </c>
      <c r="J271" s="7">
        <f t="shared" si="13"/>
        <v>97</v>
      </c>
      <c r="K271" s="12">
        <f t="shared" si="14"/>
        <v>80</v>
      </c>
    </row>
    <row r="272" spans="1:11" x14ac:dyDescent="0.25">
      <c r="A272" s="6">
        <v>271</v>
      </c>
      <c r="B272" s="6" t="s">
        <v>563</v>
      </c>
      <c r="C272" s="6" t="s">
        <v>210</v>
      </c>
      <c r="D272" s="7">
        <v>880</v>
      </c>
      <c r="E272" s="6">
        <v>7</v>
      </c>
      <c r="F272" s="11">
        <v>0.1</v>
      </c>
      <c r="G272" s="11">
        <v>0.19</v>
      </c>
      <c r="H272" s="6" t="s">
        <v>616</v>
      </c>
      <c r="I272" s="6" t="str">
        <f t="shared" si="12"/>
        <v>Very Easy</v>
      </c>
      <c r="J272" s="7">
        <f t="shared" si="13"/>
        <v>97</v>
      </c>
      <c r="K272" s="12">
        <f t="shared" si="14"/>
        <v>125.7</v>
      </c>
    </row>
    <row r="273" spans="1:11" x14ac:dyDescent="0.25">
      <c r="A273" s="6">
        <v>272</v>
      </c>
      <c r="B273" s="6" t="s">
        <v>815</v>
      </c>
      <c r="C273" s="6" t="s">
        <v>210</v>
      </c>
      <c r="D273" s="7">
        <v>880</v>
      </c>
      <c r="E273" s="6">
        <v>10</v>
      </c>
      <c r="F273" s="11">
        <v>0.11</v>
      </c>
      <c r="G273" s="11">
        <v>0.26</v>
      </c>
      <c r="H273" s="6" t="s">
        <v>585</v>
      </c>
      <c r="I273" s="6" t="str">
        <f t="shared" si="12"/>
        <v>Very Easy</v>
      </c>
      <c r="J273" s="7">
        <f t="shared" si="13"/>
        <v>97</v>
      </c>
      <c r="K273" s="12">
        <f t="shared" si="14"/>
        <v>88</v>
      </c>
    </row>
    <row r="274" spans="1:11" x14ac:dyDescent="0.25">
      <c r="A274" s="6">
        <v>273</v>
      </c>
      <c r="B274" s="6" t="s">
        <v>816</v>
      </c>
      <c r="C274" s="6" t="s">
        <v>170</v>
      </c>
      <c r="D274" s="7">
        <v>880</v>
      </c>
      <c r="E274" s="6">
        <v>7</v>
      </c>
      <c r="F274" s="11">
        <v>0.16</v>
      </c>
      <c r="G274" s="11">
        <v>0.03</v>
      </c>
      <c r="H274" s="6" t="s">
        <v>602</v>
      </c>
      <c r="I274" s="6" t="str">
        <f t="shared" si="12"/>
        <v>Very Easy</v>
      </c>
      <c r="J274" s="7">
        <f t="shared" si="13"/>
        <v>97</v>
      </c>
      <c r="K274" s="12">
        <f t="shared" si="14"/>
        <v>125.7</v>
      </c>
    </row>
    <row r="275" spans="1:11" x14ac:dyDescent="0.25">
      <c r="A275" s="6">
        <v>274</v>
      </c>
      <c r="B275" s="6" t="s">
        <v>817</v>
      </c>
      <c r="C275" s="6" t="s">
        <v>170</v>
      </c>
      <c r="D275" s="7">
        <v>880</v>
      </c>
      <c r="E275" s="6">
        <v>17</v>
      </c>
      <c r="F275" s="11">
        <v>0.24</v>
      </c>
      <c r="G275" s="11">
        <v>0.23</v>
      </c>
      <c r="H275" s="6" t="s">
        <v>597</v>
      </c>
      <c r="I275" s="6" t="str">
        <f t="shared" si="12"/>
        <v>Easy</v>
      </c>
      <c r="J275" s="7">
        <f t="shared" si="13"/>
        <v>97</v>
      </c>
      <c r="K275" s="12">
        <f t="shared" si="14"/>
        <v>51.8</v>
      </c>
    </row>
    <row r="276" spans="1:11" x14ac:dyDescent="0.25">
      <c r="A276" s="6">
        <v>275</v>
      </c>
      <c r="B276" s="6" t="s">
        <v>818</v>
      </c>
      <c r="C276" s="6" t="s">
        <v>170</v>
      </c>
      <c r="D276" s="7">
        <v>880</v>
      </c>
      <c r="E276" s="6">
        <v>12</v>
      </c>
      <c r="F276" s="11">
        <v>0.03</v>
      </c>
      <c r="G276" s="11">
        <v>0.06</v>
      </c>
      <c r="H276" s="6" t="s">
        <v>602</v>
      </c>
      <c r="I276" s="6" t="str">
        <f t="shared" si="12"/>
        <v>Very Easy</v>
      </c>
      <c r="J276" s="7">
        <f t="shared" si="13"/>
        <v>97</v>
      </c>
      <c r="K276" s="12">
        <f t="shared" si="14"/>
        <v>73.3</v>
      </c>
    </row>
    <row r="277" spans="1:11" x14ac:dyDescent="0.25">
      <c r="A277" s="6">
        <v>276</v>
      </c>
      <c r="B277" s="6" t="s">
        <v>819</v>
      </c>
      <c r="C277" s="6" t="s">
        <v>648</v>
      </c>
      <c r="D277" s="7">
        <v>880</v>
      </c>
      <c r="E277" s="6">
        <v>10</v>
      </c>
      <c r="F277" s="11">
        <v>0.1</v>
      </c>
      <c r="G277" s="11">
        <v>0.03</v>
      </c>
      <c r="H277" s="6" t="s">
        <v>585</v>
      </c>
      <c r="I277" s="6" t="str">
        <f t="shared" si="12"/>
        <v>Very Easy</v>
      </c>
      <c r="J277" s="7">
        <f t="shared" si="13"/>
        <v>97</v>
      </c>
      <c r="K277" s="12">
        <f t="shared" si="14"/>
        <v>88</v>
      </c>
    </row>
    <row r="278" spans="1:11" x14ac:dyDescent="0.25">
      <c r="A278" s="6">
        <v>277</v>
      </c>
      <c r="B278" s="6" t="s">
        <v>820</v>
      </c>
      <c r="C278" s="6" t="s">
        <v>648</v>
      </c>
      <c r="D278" s="7">
        <v>880</v>
      </c>
      <c r="E278" s="6">
        <v>14</v>
      </c>
      <c r="F278" s="11">
        <v>0.05</v>
      </c>
      <c r="G278" s="11">
        <v>0.27</v>
      </c>
      <c r="H278" s="6" t="s">
        <v>592</v>
      </c>
      <c r="I278" s="6" t="str">
        <f t="shared" si="12"/>
        <v>Very Easy</v>
      </c>
      <c r="J278" s="7">
        <f t="shared" si="13"/>
        <v>97</v>
      </c>
      <c r="K278" s="12">
        <f t="shared" si="14"/>
        <v>62.9</v>
      </c>
    </row>
    <row r="279" spans="1:11" x14ac:dyDescent="0.25">
      <c r="A279" s="6">
        <v>278</v>
      </c>
      <c r="B279" s="6" t="s">
        <v>821</v>
      </c>
      <c r="C279" s="6" t="s">
        <v>648</v>
      </c>
      <c r="D279" s="7">
        <v>880</v>
      </c>
      <c r="E279" s="6">
        <v>21</v>
      </c>
      <c r="F279" s="11">
        <v>0.04</v>
      </c>
      <c r="G279" s="11">
        <v>0.18</v>
      </c>
      <c r="H279" s="6" t="s">
        <v>585</v>
      </c>
      <c r="I279" s="6" t="str">
        <f t="shared" si="12"/>
        <v>Easy</v>
      </c>
      <c r="J279" s="7">
        <f t="shared" si="13"/>
        <v>97</v>
      </c>
      <c r="K279" s="12">
        <f t="shared" si="14"/>
        <v>41.9</v>
      </c>
    </row>
    <row r="280" spans="1:11" x14ac:dyDescent="0.25">
      <c r="A280" s="6">
        <v>279</v>
      </c>
      <c r="B280" s="6" t="s">
        <v>822</v>
      </c>
      <c r="C280" s="6" t="s">
        <v>179</v>
      </c>
      <c r="D280" s="7">
        <v>880</v>
      </c>
      <c r="E280" s="6">
        <v>18</v>
      </c>
      <c r="F280" s="11">
        <v>0.1</v>
      </c>
      <c r="G280" s="11">
        <v>0.25</v>
      </c>
      <c r="H280" s="6" t="s">
        <v>592</v>
      </c>
      <c r="I280" s="6" t="str">
        <f t="shared" si="12"/>
        <v>Easy</v>
      </c>
      <c r="J280" s="7">
        <f t="shared" si="13"/>
        <v>97</v>
      </c>
      <c r="K280" s="12">
        <f t="shared" si="14"/>
        <v>48.9</v>
      </c>
    </row>
    <row r="281" spans="1:11" x14ac:dyDescent="0.25">
      <c r="A281" s="6">
        <v>280</v>
      </c>
      <c r="B281" s="6" t="s">
        <v>823</v>
      </c>
      <c r="C281" s="6" t="s">
        <v>624</v>
      </c>
      <c r="D281" s="7">
        <v>880</v>
      </c>
      <c r="E281" s="6">
        <v>6</v>
      </c>
      <c r="F281" s="11">
        <v>0.02</v>
      </c>
      <c r="G281" s="11">
        <v>0.17</v>
      </c>
      <c r="H281" s="6" t="s">
        <v>596</v>
      </c>
      <c r="I281" s="6" t="str">
        <f t="shared" si="12"/>
        <v>Very Easy</v>
      </c>
      <c r="J281" s="7">
        <f t="shared" si="13"/>
        <v>97</v>
      </c>
      <c r="K281" s="12">
        <f t="shared" si="14"/>
        <v>146.69999999999999</v>
      </c>
    </row>
    <row r="282" spans="1:11" x14ac:dyDescent="0.25">
      <c r="A282" s="6">
        <v>281</v>
      </c>
      <c r="B282" s="6" t="s">
        <v>824</v>
      </c>
      <c r="C282" s="6" t="s">
        <v>624</v>
      </c>
      <c r="D282" s="7">
        <v>880</v>
      </c>
      <c r="E282" s="6">
        <v>13</v>
      </c>
      <c r="F282" s="11">
        <v>0.03</v>
      </c>
      <c r="G282" s="11">
        <v>0.09</v>
      </c>
      <c r="H282" s="6" t="s">
        <v>585</v>
      </c>
      <c r="I282" s="6" t="str">
        <f t="shared" si="12"/>
        <v>Very Easy</v>
      </c>
      <c r="J282" s="7">
        <f t="shared" si="13"/>
        <v>97</v>
      </c>
      <c r="K282" s="12">
        <f t="shared" si="14"/>
        <v>67.7</v>
      </c>
    </row>
    <row r="283" spans="1:11" x14ac:dyDescent="0.25">
      <c r="A283" s="6">
        <v>282</v>
      </c>
      <c r="B283" s="6" t="s">
        <v>457</v>
      </c>
      <c r="C283" s="6" t="s">
        <v>624</v>
      </c>
      <c r="D283" s="7">
        <v>880</v>
      </c>
      <c r="E283" s="6">
        <v>16</v>
      </c>
      <c r="F283" s="11">
        <v>0.02</v>
      </c>
      <c r="G283" s="11">
        <v>0.1</v>
      </c>
      <c r="H283" s="6" t="s">
        <v>585</v>
      </c>
      <c r="I283" s="6" t="str">
        <f t="shared" si="12"/>
        <v>Easy</v>
      </c>
      <c r="J283" s="7">
        <f t="shared" si="13"/>
        <v>97</v>
      </c>
      <c r="K283" s="12">
        <f t="shared" si="14"/>
        <v>55</v>
      </c>
    </row>
    <row r="284" spans="1:11" x14ac:dyDescent="0.25">
      <c r="A284" s="6">
        <v>283</v>
      </c>
      <c r="B284" s="6" t="s">
        <v>825</v>
      </c>
      <c r="C284" s="6" t="s">
        <v>624</v>
      </c>
      <c r="D284" s="7">
        <v>880</v>
      </c>
      <c r="E284" s="6">
        <v>17</v>
      </c>
      <c r="F284" s="11">
        <v>0.04</v>
      </c>
      <c r="G284" s="11">
        <v>0.08</v>
      </c>
      <c r="H284" s="6" t="s">
        <v>585</v>
      </c>
      <c r="I284" s="6" t="str">
        <f t="shared" si="12"/>
        <v>Easy</v>
      </c>
      <c r="J284" s="7">
        <f t="shared" si="13"/>
        <v>97</v>
      </c>
      <c r="K284" s="12">
        <f t="shared" si="14"/>
        <v>51.8</v>
      </c>
    </row>
    <row r="285" spans="1:11" x14ac:dyDescent="0.25">
      <c r="A285" s="6">
        <v>284</v>
      </c>
      <c r="B285" s="6" t="s">
        <v>296</v>
      </c>
      <c r="C285" s="6" t="s">
        <v>624</v>
      </c>
      <c r="D285" s="7">
        <v>880</v>
      </c>
      <c r="E285" s="6">
        <v>25</v>
      </c>
      <c r="F285" s="11">
        <v>0.03</v>
      </c>
      <c r="G285" s="11">
        <v>0.08</v>
      </c>
      <c r="H285" s="6" t="s">
        <v>585</v>
      </c>
      <c r="I285" s="6" t="str">
        <f t="shared" si="12"/>
        <v>Easy</v>
      </c>
      <c r="J285" s="7">
        <f t="shared" si="13"/>
        <v>97</v>
      </c>
      <c r="K285" s="12">
        <f t="shared" si="14"/>
        <v>35.200000000000003</v>
      </c>
    </row>
    <row r="286" spans="1:11" x14ac:dyDescent="0.25">
      <c r="A286" s="6">
        <v>285</v>
      </c>
      <c r="B286" s="6" t="s">
        <v>826</v>
      </c>
      <c r="C286" s="6" t="s">
        <v>624</v>
      </c>
      <c r="D286" s="7">
        <v>880</v>
      </c>
      <c r="E286" s="6">
        <v>25</v>
      </c>
      <c r="F286" s="11">
        <v>0.02</v>
      </c>
      <c r="G286" s="11">
        <v>0.16</v>
      </c>
      <c r="H286" s="6" t="s">
        <v>596</v>
      </c>
      <c r="I286" s="6" t="str">
        <f t="shared" si="12"/>
        <v>Easy</v>
      </c>
      <c r="J286" s="7">
        <f t="shared" si="13"/>
        <v>97</v>
      </c>
      <c r="K286" s="12">
        <f t="shared" si="14"/>
        <v>35.200000000000003</v>
      </c>
    </row>
    <row r="287" spans="1:11" x14ac:dyDescent="0.25">
      <c r="A287" s="6">
        <v>286</v>
      </c>
      <c r="B287" s="6" t="s">
        <v>827</v>
      </c>
      <c r="C287" s="6" t="s">
        <v>210</v>
      </c>
      <c r="D287" s="7">
        <v>720</v>
      </c>
      <c r="E287" s="6">
        <v>6</v>
      </c>
      <c r="F287" s="11">
        <v>0.05</v>
      </c>
      <c r="G287" s="11">
        <v>0.03</v>
      </c>
      <c r="H287" s="6" t="s">
        <v>602</v>
      </c>
      <c r="I287" s="6" t="str">
        <f t="shared" si="12"/>
        <v>Very Easy</v>
      </c>
      <c r="J287" s="7">
        <f t="shared" si="13"/>
        <v>79</v>
      </c>
      <c r="K287" s="12">
        <f t="shared" si="14"/>
        <v>120</v>
      </c>
    </row>
    <row r="288" spans="1:11" x14ac:dyDescent="0.25">
      <c r="A288" s="6">
        <v>287</v>
      </c>
      <c r="B288" s="6" t="s">
        <v>828</v>
      </c>
      <c r="C288" s="6" t="s">
        <v>210</v>
      </c>
      <c r="D288" s="7">
        <v>720</v>
      </c>
      <c r="E288" s="6">
        <v>12</v>
      </c>
      <c r="F288" s="11">
        <v>0.14000000000000001</v>
      </c>
      <c r="G288" s="11">
        <v>0.03</v>
      </c>
      <c r="H288" s="6" t="s">
        <v>585</v>
      </c>
      <c r="I288" s="6" t="str">
        <f t="shared" si="12"/>
        <v>Very Easy</v>
      </c>
      <c r="J288" s="7">
        <f t="shared" si="13"/>
        <v>79</v>
      </c>
      <c r="K288" s="12">
        <f t="shared" si="14"/>
        <v>60</v>
      </c>
    </row>
    <row r="289" spans="1:11" x14ac:dyDescent="0.25">
      <c r="A289" s="6">
        <v>288</v>
      </c>
      <c r="B289" s="6" t="s">
        <v>829</v>
      </c>
      <c r="C289" s="6" t="s">
        <v>210</v>
      </c>
      <c r="D289" s="7">
        <v>720</v>
      </c>
      <c r="E289" s="6">
        <v>13</v>
      </c>
      <c r="F289" s="11">
        <v>0.04</v>
      </c>
      <c r="G289" s="11">
        <v>0.13</v>
      </c>
      <c r="H289" s="6" t="s">
        <v>585</v>
      </c>
      <c r="I289" s="6" t="str">
        <f t="shared" si="12"/>
        <v>Very Easy</v>
      </c>
      <c r="J289" s="7">
        <f t="shared" si="13"/>
        <v>79</v>
      </c>
      <c r="K289" s="12">
        <f t="shared" si="14"/>
        <v>55.4</v>
      </c>
    </row>
    <row r="290" spans="1:11" x14ac:dyDescent="0.25">
      <c r="A290" s="6">
        <v>289</v>
      </c>
      <c r="B290" s="6" t="s">
        <v>830</v>
      </c>
      <c r="C290" s="6" t="s">
        <v>210</v>
      </c>
      <c r="D290" s="7">
        <v>720</v>
      </c>
      <c r="E290" s="6">
        <v>14</v>
      </c>
      <c r="F290" s="11">
        <v>0.04</v>
      </c>
      <c r="G290" s="11">
        <v>0.05</v>
      </c>
      <c r="H290" s="6" t="s">
        <v>585</v>
      </c>
      <c r="I290" s="6" t="str">
        <f t="shared" si="12"/>
        <v>Very Easy</v>
      </c>
      <c r="J290" s="7">
        <f t="shared" si="13"/>
        <v>79</v>
      </c>
      <c r="K290" s="12">
        <f t="shared" si="14"/>
        <v>51.4</v>
      </c>
    </row>
    <row r="291" spans="1:11" x14ac:dyDescent="0.25">
      <c r="A291" s="6">
        <v>290</v>
      </c>
      <c r="B291" s="6" t="s">
        <v>831</v>
      </c>
      <c r="C291" s="6" t="s">
        <v>210</v>
      </c>
      <c r="D291" s="7">
        <v>720</v>
      </c>
      <c r="E291" s="6">
        <v>13</v>
      </c>
      <c r="F291" s="11">
        <v>0.04</v>
      </c>
      <c r="G291" s="11">
        <v>0.03</v>
      </c>
      <c r="H291" s="6" t="s">
        <v>585</v>
      </c>
      <c r="I291" s="6" t="str">
        <f t="shared" si="12"/>
        <v>Very Easy</v>
      </c>
      <c r="J291" s="7">
        <f t="shared" si="13"/>
        <v>79</v>
      </c>
      <c r="K291" s="12">
        <f t="shared" si="14"/>
        <v>55.4</v>
      </c>
    </row>
    <row r="292" spans="1:11" x14ac:dyDescent="0.25">
      <c r="A292" s="6">
        <v>291</v>
      </c>
      <c r="B292" s="6" t="s">
        <v>832</v>
      </c>
      <c r="C292" s="6" t="s">
        <v>170</v>
      </c>
      <c r="D292" s="7">
        <v>720</v>
      </c>
      <c r="E292" s="6">
        <v>14</v>
      </c>
      <c r="F292" s="11">
        <v>0.11</v>
      </c>
      <c r="G292" s="11">
        <v>0.25</v>
      </c>
      <c r="H292" s="6" t="s">
        <v>592</v>
      </c>
      <c r="I292" s="6" t="str">
        <f t="shared" si="12"/>
        <v>Very Easy</v>
      </c>
      <c r="J292" s="7">
        <f t="shared" si="13"/>
        <v>79</v>
      </c>
      <c r="K292" s="12">
        <f t="shared" si="14"/>
        <v>51.4</v>
      </c>
    </row>
    <row r="293" spans="1:11" x14ac:dyDescent="0.25">
      <c r="A293" s="6">
        <v>292</v>
      </c>
      <c r="B293" s="6" t="s">
        <v>833</v>
      </c>
      <c r="C293" s="6" t="s">
        <v>170</v>
      </c>
      <c r="D293" s="7">
        <v>720</v>
      </c>
      <c r="E293" s="6">
        <v>27</v>
      </c>
      <c r="F293" s="11">
        <v>0.08</v>
      </c>
      <c r="G293" s="11">
        <v>0.31</v>
      </c>
      <c r="H293" s="6" t="s">
        <v>585</v>
      </c>
      <c r="I293" s="6" t="str">
        <f t="shared" si="12"/>
        <v>Medium</v>
      </c>
      <c r="J293" s="7">
        <f t="shared" si="13"/>
        <v>79</v>
      </c>
      <c r="K293" s="12">
        <f t="shared" si="14"/>
        <v>26.7</v>
      </c>
    </row>
    <row r="294" spans="1:11" x14ac:dyDescent="0.25">
      <c r="A294" s="6">
        <v>293</v>
      </c>
      <c r="B294" s="6" t="s">
        <v>834</v>
      </c>
      <c r="C294" s="6" t="s">
        <v>170</v>
      </c>
      <c r="D294" s="7">
        <v>720</v>
      </c>
      <c r="E294" s="6">
        <v>10</v>
      </c>
      <c r="F294" s="11">
        <v>7.0000000000000007E-2</v>
      </c>
      <c r="G294" s="11">
        <v>7.0000000000000007E-2</v>
      </c>
      <c r="H294" s="6" t="s">
        <v>602</v>
      </c>
      <c r="I294" s="6" t="str">
        <f t="shared" si="12"/>
        <v>Very Easy</v>
      </c>
      <c r="J294" s="7">
        <f t="shared" si="13"/>
        <v>79</v>
      </c>
      <c r="K294" s="12">
        <f t="shared" si="14"/>
        <v>72</v>
      </c>
    </row>
    <row r="295" spans="1:11" x14ac:dyDescent="0.25">
      <c r="A295" s="6">
        <v>294</v>
      </c>
      <c r="B295" s="6" t="s">
        <v>835</v>
      </c>
      <c r="C295" s="6" t="s">
        <v>648</v>
      </c>
      <c r="D295" s="7">
        <v>720</v>
      </c>
      <c r="E295" s="6">
        <v>6</v>
      </c>
      <c r="F295" s="11">
        <v>7.0000000000000007E-2</v>
      </c>
      <c r="G295" s="11">
        <v>0.19</v>
      </c>
      <c r="H295" s="6" t="s">
        <v>585</v>
      </c>
      <c r="I295" s="6" t="str">
        <f t="shared" si="12"/>
        <v>Very Easy</v>
      </c>
      <c r="J295" s="7">
        <f t="shared" si="13"/>
        <v>79</v>
      </c>
      <c r="K295" s="12">
        <f t="shared" si="14"/>
        <v>120</v>
      </c>
    </row>
    <row r="296" spans="1:11" x14ac:dyDescent="0.25">
      <c r="A296" s="6">
        <v>295</v>
      </c>
      <c r="B296" s="6" t="s">
        <v>836</v>
      </c>
      <c r="C296" s="6" t="s">
        <v>648</v>
      </c>
      <c r="D296" s="7">
        <v>720</v>
      </c>
      <c r="E296" s="6">
        <v>13</v>
      </c>
      <c r="F296" s="11">
        <v>0.06</v>
      </c>
      <c r="G296" s="11">
        <v>0.06</v>
      </c>
      <c r="H296" s="6" t="s">
        <v>585</v>
      </c>
      <c r="I296" s="6" t="str">
        <f t="shared" si="12"/>
        <v>Very Easy</v>
      </c>
      <c r="J296" s="7">
        <f t="shared" si="13"/>
        <v>79</v>
      </c>
      <c r="K296" s="12">
        <f t="shared" si="14"/>
        <v>55.4</v>
      </c>
    </row>
    <row r="297" spans="1:11" x14ac:dyDescent="0.25">
      <c r="A297" s="6">
        <v>296</v>
      </c>
      <c r="B297" s="6" t="s">
        <v>319</v>
      </c>
      <c r="C297" s="6" t="s">
        <v>648</v>
      </c>
      <c r="D297" s="7">
        <v>720</v>
      </c>
      <c r="E297" s="6">
        <v>7</v>
      </c>
      <c r="F297" s="11">
        <v>0.06</v>
      </c>
      <c r="G297" s="11">
        <v>0.32</v>
      </c>
      <c r="H297" s="6" t="s">
        <v>585</v>
      </c>
      <c r="I297" s="6" t="str">
        <f t="shared" si="12"/>
        <v>Very Easy</v>
      </c>
      <c r="J297" s="7">
        <f t="shared" si="13"/>
        <v>79</v>
      </c>
      <c r="K297" s="12">
        <f t="shared" si="14"/>
        <v>102.9</v>
      </c>
    </row>
    <row r="298" spans="1:11" x14ac:dyDescent="0.25">
      <c r="A298" s="6">
        <v>297</v>
      </c>
      <c r="B298" s="6" t="s">
        <v>837</v>
      </c>
      <c r="C298" s="6" t="s">
        <v>648</v>
      </c>
      <c r="D298" s="7">
        <v>720</v>
      </c>
      <c r="E298" s="6">
        <v>13</v>
      </c>
      <c r="F298" s="11">
        <v>0.06</v>
      </c>
      <c r="G298" s="11">
        <v>0.18</v>
      </c>
      <c r="H298" s="6" t="s">
        <v>592</v>
      </c>
      <c r="I298" s="6" t="str">
        <f t="shared" si="12"/>
        <v>Very Easy</v>
      </c>
      <c r="J298" s="7">
        <f t="shared" si="13"/>
        <v>79</v>
      </c>
      <c r="K298" s="12">
        <f t="shared" si="14"/>
        <v>55.4</v>
      </c>
    </row>
    <row r="299" spans="1:11" x14ac:dyDescent="0.25">
      <c r="A299" s="6">
        <v>298</v>
      </c>
      <c r="B299" s="6" t="s">
        <v>203</v>
      </c>
      <c r="C299" s="6" t="s">
        <v>179</v>
      </c>
      <c r="D299" s="7">
        <v>720</v>
      </c>
      <c r="E299" s="6">
        <v>20</v>
      </c>
      <c r="F299" s="11">
        <v>0.1</v>
      </c>
      <c r="G299" s="11">
        <v>0.28000000000000003</v>
      </c>
      <c r="H299" s="6" t="s">
        <v>592</v>
      </c>
      <c r="I299" s="6" t="str">
        <f t="shared" si="12"/>
        <v>Easy</v>
      </c>
      <c r="J299" s="7">
        <f t="shared" si="13"/>
        <v>79</v>
      </c>
      <c r="K299" s="12">
        <f t="shared" si="14"/>
        <v>36</v>
      </c>
    </row>
    <row r="300" spans="1:11" x14ac:dyDescent="0.25">
      <c r="A300" s="6">
        <v>299</v>
      </c>
      <c r="B300" s="6" t="s">
        <v>838</v>
      </c>
      <c r="C300" s="6" t="s">
        <v>179</v>
      </c>
      <c r="D300" s="7">
        <v>720</v>
      </c>
      <c r="E300" s="6">
        <v>8</v>
      </c>
      <c r="F300" s="11">
        <v>0.06</v>
      </c>
      <c r="G300" s="11">
        <v>0.14000000000000001</v>
      </c>
      <c r="H300" s="6" t="s">
        <v>592</v>
      </c>
      <c r="I300" s="6" t="str">
        <f t="shared" si="12"/>
        <v>Very Easy</v>
      </c>
      <c r="J300" s="7">
        <f t="shared" si="13"/>
        <v>79</v>
      </c>
      <c r="K300" s="12">
        <f t="shared" si="14"/>
        <v>90</v>
      </c>
    </row>
    <row r="301" spans="1:11" x14ac:dyDescent="0.25">
      <c r="A301" s="6">
        <v>300</v>
      </c>
      <c r="B301" s="6" t="s">
        <v>839</v>
      </c>
      <c r="C301" s="6" t="s">
        <v>624</v>
      </c>
      <c r="D301" s="7">
        <v>720</v>
      </c>
      <c r="E301" s="6">
        <v>7</v>
      </c>
      <c r="F301" s="11">
        <v>0.02</v>
      </c>
      <c r="G301" s="11">
        <v>0.09</v>
      </c>
      <c r="H301" s="6" t="s">
        <v>592</v>
      </c>
      <c r="I301" s="6" t="str">
        <f t="shared" si="12"/>
        <v>Very Easy</v>
      </c>
      <c r="J301" s="7">
        <f t="shared" si="13"/>
        <v>79</v>
      </c>
      <c r="K301" s="12">
        <f t="shared" si="14"/>
        <v>102.9</v>
      </c>
    </row>
    <row r="302" spans="1:11" x14ac:dyDescent="0.25">
      <c r="A302" s="6">
        <v>301</v>
      </c>
      <c r="B302" s="6" t="s">
        <v>840</v>
      </c>
      <c r="C302" s="6" t="s">
        <v>624</v>
      </c>
      <c r="D302" s="7">
        <v>720</v>
      </c>
      <c r="E302" s="6">
        <v>15</v>
      </c>
      <c r="F302" s="11">
        <v>7.0000000000000007E-2</v>
      </c>
      <c r="G302" s="11">
        <v>0.3</v>
      </c>
      <c r="H302" s="6" t="s">
        <v>596</v>
      </c>
      <c r="I302" s="6" t="str">
        <f t="shared" si="12"/>
        <v>Very Easy</v>
      </c>
      <c r="J302" s="7">
        <f t="shared" si="13"/>
        <v>79</v>
      </c>
      <c r="K302" s="12">
        <f t="shared" si="14"/>
        <v>48</v>
      </c>
    </row>
    <row r="303" spans="1:11" x14ac:dyDescent="0.25">
      <c r="A303" s="6">
        <v>302</v>
      </c>
      <c r="B303" s="6" t="s">
        <v>841</v>
      </c>
      <c r="C303" s="6" t="s">
        <v>40</v>
      </c>
      <c r="D303" s="7">
        <v>720</v>
      </c>
      <c r="E303" s="6">
        <v>21</v>
      </c>
      <c r="F303" s="11">
        <v>0.14000000000000001</v>
      </c>
      <c r="G303" s="11">
        <v>0.11</v>
      </c>
      <c r="H303" s="6" t="s">
        <v>585</v>
      </c>
      <c r="I303" s="6" t="str">
        <f t="shared" si="12"/>
        <v>Easy</v>
      </c>
      <c r="J303" s="7">
        <f t="shared" si="13"/>
        <v>79</v>
      </c>
      <c r="K303" s="12">
        <f t="shared" si="14"/>
        <v>34.299999999999997</v>
      </c>
    </row>
    <row r="304" spans="1:11" x14ac:dyDescent="0.25">
      <c r="A304" s="6">
        <v>303</v>
      </c>
      <c r="B304" s="6" t="s">
        <v>842</v>
      </c>
      <c r="C304" s="6" t="s">
        <v>210</v>
      </c>
      <c r="D304" s="7">
        <v>590</v>
      </c>
      <c r="E304" s="6">
        <v>14</v>
      </c>
      <c r="F304" s="11">
        <v>0.1</v>
      </c>
      <c r="G304" s="11">
        <v>0.19</v>
      </c>
      <c r="H304" s="6" t="s">
        <v>585</v>
      </c>
      <c r="I304" s="6" t="str">
        <f t="shared" si="12"/>
        <v>Very Easy</v>
      </c>
      <c r="J304" s="7">
        <f t="shared" si="13"/>
        <v>65</v>
      </c>
      <c r="K304" s="12">
        <f t="shared" si="14"/>
        <v>42.1</v>
      </c>
    </row>
    <row r="305" spans="1:11" x14ac:dyDescent="0.25">
      <c r="A305" s="6">
        <v>304</v>
      </c>
      <c r="B305" s="6" t="s">
        <v>843</v>
      </c>
      <c r="C305" s="6" t="s">
        <v>210</v>
      </c>
      <c r="D305" s="7">
        <v>590</v>
      </c>
      <c r="E305" s="6">
        <v>22</v>
      </c>
      <c r="F305" s="11">
        <v>0.1</v>
      </c>
      <c r="G305" s="11">
        <v>0.06</v>
      </c>
      <c r="H305" s="6" t="s">
        <v>585</v>
      </c>
      <c r="I305" s="6" t="str">
        <f t="shared" si="12"/>
        <v>Easy</v>
      </c>
      <c r="J305" s="7">
        <f t="shared" si="13"/>
        <v>65</v>
      </c>
      <c r="K305" s="12">
        <f t="shared" si="14"/>
        <v>26.8</v>
      </c>
    </row>
    <row r="306" spans="1:11" x14ac:dyDescent="0.25">
      <c r="A306" s="6">
        <v>305</v>
      </c>
      <c r="B306" s="6" t="s">
        <v>844</v>
      </c>
      <c r="C306" s="6" t="s">
        <v>648</v>
      </c>
      <c r="D306" s="7">
        <v>590</v>
      </c>
      <c r="E306" s="6">
        <v>12</v>
      </c>
      <c r="F306" s="11">
        <v>0.18</v>
      </c>
      <c r="G306" s="11">
        <v>0.03</v>
      </c>
      <c r="H306" s="6" t="s">
        <v>585</v>
      </c>
      <c r="I306" s="6" t="str">
        <f t="shared" si="12"/>
        <v>Very Easy</v>
      </c>
      <c r="J306" s="7">
        <f t="shared" si="13"/>
        <v>65</v>
      </c>
      <c r="K306" s="12">
        <f t="shared" si="14"/>
        <v>49.2</v>
      </c>
    </row>
    <row r="307" spans="1:11" x14ac:dyDescent="0.25">
      <c r="A307" s="6">
        <v>306</v>
      </c>
      <c r="B307" s="6" t="s">
        <v>845</v>
      </c>
      <c r="C307" s="6" t="s">
        <v>648</v>
      </c>
      <c r="D307" s="7">
        <v>590</v>
      </c>
      <c r="E307" s="6">
        <v>11</v>
      </c>
      <c r="F307" s="11">
        <v>0.06</v>
      </c>
      <c r="G307" s="11">
        <v>0.06</v>
      </c>
      <c r="H307" s="6" t="s">
        <v>585</v>
      </c>
      <c r="I307" s="6" t="str">
        <f t="shared" si="12"/>
        <v>Very Easy</v>
      </c>
      <c r="J307" s="7">
        <f t="shared" si="13"/>
        <v>65</v>
      </c>
      <c r="K307" s="12">
        <f t="shared" si="14"/>
        <v>53.6</v>
      </c>
    </row>
    <row r="308" spans="1:11" x14ac:dyDescent="0.25">
      <c r="A308" s="6">
        <v>307</v>
      </c>
      <c r="B308" s="6" t="s">
        <v>846</v>
      </c>
      <c r="C308" s="6" t="s">
        <v>648</v>
      </c>
      <c r="D308" s="7">
        <v>590</v>
      </c>
      <c r="E308" s="6">
        <v>8</v>
      </c>
      <c r="F308" s="11">
        <v>0.03</v>
      </c>
      <c r="G308" s="11">
        <v>0.22</v>
      </c>
      <c r="H308" s="6" t="s">
        <v>585</v>
      </c>
      <c r="I308" s="6" t="str">
        <f t="shared" si="12"/>
        <v>Very Easy</v>
      </c>
      <c r="J308" s="7">
        <f t="shared" si="13"/>
        <v>65</v>
      </c>
      <c r="K308" s="12">
        <f t="shared" si="14"/>
        <v>73.8</v>
      </c>
    </row>
    <row r="309" spans="1:11" x14ac:dyDescent="0.25">
      <c r="A309" s="6">
        <v>308</v>
      </c>
      <c r="B309" s="6" t="s">
        <v>847</v>
      </c>
      <c r="C309" s="6" t="s">
        <v>648</v>
      </c>
      <c r="D309" s="7">
        <v>590</v>
      </c>
      <c r="E309" s="6">
        <v>6</v>
      </c>
      <c r="F309" s="11">
        <v>0.17</v>
      </c>
      <c r="G309" s="11">
        <v>0.06</v>
      </c>
      <c r="H309" s="6" t="s">
        <v>585</v>
      </c>
      <c r="I309" s="6" t="str">
        <f t="shared" si="12"/>
        <v>Very Easy</v>
      </c>
      <c r="J309" s="7">
        <f t="shared" si="13"/>
        <v>65</v>
      </c>
      <c r="K309" s="12">
        <f t="shared" si="14"/>
        <v>98.3</v>
      </c>
    </row>
    <row r="310" spans="1:11" x14ac:dyDescent="0.25">
      <c r="A310" s="6">
        <v>309</v>
      </c>
      <c r="B310" s="6" t="s">
        <v>848</v>
      </c>
      <c r="C310" s="6" t="s">
        <v>648</v>
      </c>
      <c r="D310" s="7">
        <v>590</v>
      </c>
      <c r="E310" s="6">
        <v>13</v>
      </c>
      <c r="F310" s="11">
        <v>0.06</v>
      </c>
      <c r="G310" s="11">
        <v>0.03</v>
      </c>
      <c r="H310" s="6" t="s">
        <v>585</v>
      </c>
      <c r="I310" s="6" t="str">
        <f t="shared" si="12"/>
        <v>Very Easy</v>
      </c>
      <c r="J310" s="7">
        <f t="shared" si="13"/>
        <v>65</v>
      </c>
      <c r="K310" s="12">
        <f t="shared" si="14"/>
        <v>45.4</v>
      </c>
    </row>
    <row r="311" spans="1:11" x14ac:dyDescent="0.25">
      <c r="A311" s="6">
        <v>310</v>
      </c>
      <c r="B311" s="6" t="s">
        <v>489</v>
      </c>
      <c r="C311" s="6" t="s">
        <v>179</v>
      </c>
      <c r="D311" s="7">
        <v>590</v>
      </c>
      <c r="E311" s="6">
        <v>13</v>
      </c>
      <c r="F311" s="11">
        <v>0.08</v>
      </c>
      <c r="G311" s="11">
        <v>0.28999999999999998</v>
      </c>
      <c r="H311" s="6" t="s">
        <v>585</v>
      </c>
      <c r="I311" s="6" t="str">
        <f t="shared" si="12"/>
        <v>Very Easy</v>
      </c>
      <c r="J311" s="7">
        <f t="shared" si="13"/>
        <v>65</v>
      </c>
      <c r="K311" s="12">
        <f t="shared" si="14"/>
        <v>45.4</v>
      </c>
    </row>
    <row r="312" spans="1:11" x14ac:dyDescent="0.25">
      <c r="A312" s="6">
        <v>311</v>
      </c>
      <c r="B312" s="6" t="s">
        <v>849</v>
      </c>
      <c r="C312" s="6" t="s">
        <v>685</v>
      </c>
      <c r="D312" s="7">
        <v>590</v>
      </c>
      <c r="E312" s="6">
        <v>7</v>
      </c>
      <c r="F312" s="11">
        <v>0.13</v>
      </c>
      <c r="G312" s="11">
        <v>0.18</v>
      </c>
      <c r="H312" s="6" t="s">
        <v>585</v>
      </c>
      <c r="I312" s="6" t="str">
        <f t="shared" si="12"/>
        <v>Very Easy</v>
      </c>
      <c r="J312" s="7">
        <f t="shared" si="13"/>
        <v>65</v>
      </c>
      <c r="K312" s="12">
        <f t="shared" si="14"/>
        <v>84.3</v>
      </c>
    </row>
    <row r="313" spans="1:11" x14ac:dyDescent="0.25">
      <c r="A313" s="6">
        <v>312</v>
      </c>
      <c r="B313" s="6" t="s">
        <v>850</v>
      </c>
      <c r="C313" s="6" t="s">
        <v>685</v>
      </c>
      <c r="D313" s="7">
        <v>590</v>
      </c>
      <c r="E313" s="6">
        <v>14</v>
      </c>
      <c r="F313" s="11">
        <v>0.11</v>
      </c>
      <c r="G313" s="11">
        <v>0.09</v>
      </c>
      <c r="H313" s="6" t="s">
        <v>585</v>
      </c>
      <c r="I313" s="6" t="str">
        <f t="shared" si="12"/>
        <v>Very Easy</v>
      </c>
      <c r="J313" s="7">
        <f t="shared" si="13"/>
        <v>65</v>
      </c>
      <c r="K313" s="12">
        <f t="shared" si="14"/>
        <v>42.1</v>
      </c>
    </row>
    <row r="314" spans="1:11" x14ac:dyDescent="0.25">
      <c r="A314" s="6">
        <v>313</v>
      </c>
      <c r="B314" s="6" t="s">
        <v>851</v>
      </c>
      <c r="C314" s="6" t="s">
        <v>685</v>
      </c>
      <c r="D314" s="7">
        <v>590</v>
      </c>
      <c r="E314" s="6">
        <v>5</v>
      </c>
      <c r="F314" s="11">
        <v>0.24</v>
      </c>
      <c r="G314" s="11">
        <v>0.27</v>
      </c>
      <c r="H314" s="6" t="s">
        <v>668</v>
      </c>
      <c r="I314" s="6" t="str">
        <f t="shared" si="12"/>
        <v>Very Easy</v>
      </c>
      <c r="J314" s="7">
        <f t="shared" si="13"/>
        <v>65</v>
      </c>
      <c r="K314" s="12">
        <f t="shared" si="14"/>
        <v>118</v>
      </c>
    </row>
    <row r="315" spans="1:11" x14ac:dyDescent="0.25">
      <c r="A315" s="6">
        <v>314</v>
      </c>
      <c r="B315" s="6" t="s">
        <v>852</v>
      </c>
      <c r="C315" s="6" t="s">
        <v>624</v>
      </c>
      <c r="D315" s="7">
        <v>590</v>
      </c>
      <c r="E315" s="6">
        <v>22</v>
      </c>
      <c r="F315" s="11">
        <v>0.02</v>
      </c>
      <c r="G315" s="11">
        <v>0.2</v>
      </c>
      <c r="H315" s="6" t="s">
        <v>596</v>
      </c>
      <c r="I315" s="6" t="str">
        <f t="shared" si="12"/>
        <v>Easy</v>
      </c>
      <c r="J315" s="7">
        <f t="shared" si="13"/>
        <v>65</v>
      </c>
      <c r="K315" s="12">
        <f t="shared" si="14"/>
        <v>26.8</v>
      </c>
    </row>
    <row r="316" spans="1:11" x14ac:dyDescent="0.25">
      <c r="A316" s="6">
        <v>315</v>
      </c>
      <c r="B316" s="6" t="s">
        <v>853</v>
      </c>
      <c r="C316" s="6" t="s">
        <v>624</v>
      </c>
      <c r="D316" s="7">
        <v>590</v>
      </c>
      <c r="E316" s="6">
        <v>19</v>
      </c>
      <c r="F316" s="11">
        <v>0.02</v>
      </c>
      <c r="G316" s="11">
        <v>0.22</v>
      </c>
      <c r="H316" s="6" t="s">
        <v>592</v>
      </c>
      <c r="I316" s="6" t="str">
        <f t="shared" si="12"/>
        <v>Easy</v>
      </c>
      <c r="J316" s="7">
        <f t="shared" si="13"/>
        <v>65</v>
      </c>
      <c r="K316" s="12">
        <f t="shared" si="14"/>
        <v>31.1</v>
      </c>
    </row>
    <row r="317" spans="1:11" x14ac:dyDescent="0.25">
      <c r="A317" s="6">
        <v>316</v>
      </c>
      <c r="B317" s="6" t="s">
        <v>854</v>
      </c>
      <c r="C317" s="6" t="s">
        <v>624</v>
      </c>
      <c r="D317" s="7">
        <v>590</v>
      </c>
      <c r="E317" s="6">
        <v>20</v>
      </c>
      <c r="F317" s="11">
        <v>0.13</v>
      </c>
      <c r="G317" s="11">
        <v>0.06</v>
      </c>
      <c r="H317" s="6" t="s">
        <v>585</v>
      </c>
      <c r="I317" s="6" t="str">
        <f t="shared" si="12"/>
        <v>Easy</v>
      </c>
      <c r="J317" s="7">
        <f t="shared" si="13"/>
        <v>65</v>
      </c>
      <c r="K317" s="12">
        <f t="shared" si="14"/>
        <v>29.5</v>
      </c>
    </row>
    <row r="318" spans="1:11" x14ac:dyDescent="0.25">
      <c r="A318" s="6">
        <v>317</v>
      </c>
      <c r="B318" s="6" t="s">
        <v>855</v>
      </c>
      <c r="C318" s="6" t="s">
        <v>624</v>
      </c>
      <c r="D318" s="7">
        <v>590</v>
      </c>
      <c r="E318" s="6">
        <v>11</v>
      </c>
      <c r="F318" s="11">
        <v>0.02</v>
      </c>
      <c r="G318" s="11">
        <v>7.0000000000000007E-2</v>
      </c>
      <c r="H318" s="6" t="s">
        <v>602</v>
      </c>
      <c r="I318" s="6" t="str">
        <f t="shared" si="12"/>
        <v>Very Easy</v>
      </c>
      <c r="J318" s="7">
        <f t="shared" si="13"/>
        <v>65</v>
      </c>
      <c r="K318" s="12">
        <f t="shared" si="14"/>
        <v>53.6</v>
      </c>
    </row>
    <row r="319" spans="1:11" x14ac:dyDescent="0.25">
      <c r="A319" s="6">
        <v>318</v>
      </c>
      <c r="B319" s="6" t="s">
        <v>229</v>
      </c>
      <c r="C319" s="6" t="s">
        <v>40</v>
      </c>
      <c r="D319" s="7">
        <v>590</v>
      </c>
      <c r="E319" s="6">
        <v>18</v>
      </c>
      <c r="F319" s="11">
        <v>0.05</v>
      </c>
      <c r="G319" s="11">
        <v>0.41</v>
      </c>
      <c r="H319" s="6" t="s">
        <v>585</v>
      </c>
      <c r="I319" s="6" t="str">
        <f t="shared" si="12"/>
        <v>Easy</v>
      </c>
      <c r="J319" s="7">
        <f t="shared" si="13"/>
        <v>65</v>
      </c>
      <c r="K319" s="12">
        <f t="shared" si="14"/>
        <v>32.799999999999997</v>
      </c>
    </row>
    <row r="320" spans="1:11" x14ac:dyDescent="0.25">
      <c r="A320" s="6">
        <v>319</v>
      </c>
      <c r="B320" s="6" t="s">
        <v>856</v>
      </c>
      <c r="C320" s="6" t="s">
        <v>40</v>
      </c>
      <c r="D320" s="7">
        <v>590</v>
      </c>
      <c r="E320" s="6">
        <v>19</v>
      </c>
      <c r="F320" s="11">
        <v>0.13</v>
      </c>
      <c r="G320" s="11">
        <v>0.23</v>
      </c>
      <c r="H320" s="6" t="s">
        <v>585</v>
      </c>
      <c r="I320" s="6" t="str">
        <f t="shared" si="12"/>
        <v>Easy</v>
      </c>
      <c r="J320" s="7">
        <f t="shared" si="13"/>
        <v>65</v>
      </c>
      <c r="K320" s="12">
        <f t="shared" si="14"/>
        <v>31.1</v>
      </c>
    </row>
    <row r="321" spans="1:11" x14ac:dyDescent="0.25">
      <c r="A321" s="6">
        <v>320</v>
      </c>
      <c r="B321" s="6" t="s">
        <v>857</v>
      </c>
      <c r="C321" s="6" t="s">
        <v>40</v>
      </c>
      <c r="D321" s="7">
        <v>590</v>
      </c>
      <c r="E321" s="6">
        <v>37</v>
      </c>
      <c r="F321" s="11">
        <v>0.13</v>
      </c>
      <c r="G321" s="11">
        <v>0.47</v>
      </c>
      <c r="H321" s="6" t="s">
        <v>585</v>
      </c>
      <c r="I321" s="6" t="str">
        <f t="shared" si="12"/>
        <v>Medium</v>
      </c>
      <c r="J321" s="7">
        <f t="shared" si="13"/>
        <v>65</v>
      </c>
      <c r="K321" s="12">
        <f t="shared" si="14"/>
        <v>15.9</v>
      </c>
    </row>
    <row r="322" spans="1:11" x14ac:dyDescent="0.25">
      <c r="A322" s="6">
        <v>321</v>
      </c>
      <c r="B322" s="6" t="s">
        <v>858</v>
      </c>
      <c r="C322" s="6" t="s">
        <v>648</v>
      </c>
      <c r="D322" s="7">
        <v>480</v>
      </c>
      <c r="E322" s="6">
        <v>9</v>
      </c>
      <c r="F322" s="11">
        <v>0.05</v>
      </c>
      <c r="G322" s="11">
        <v>0.04</v>
      </c>
      <c r="H322" s="6" t="s">
        <v>602</v>
      </c>
      <c r="I322" s="6" t="str">
        <f t="shared" ref="I322:I364" si="15">IF(E322&lt;=15,"Very Easy",IF(E322&lt;=25,"Easy",IF(E322&lt;=40,"Medium","Hard")))</f>
        <v>Very Easy</v>
      </c>
      <c r="J322" s="7">
        <f t="shared" ref="J322:J364" si="16">ROUND(D322*0.11,0)</f>
        <v>53</v>
      </c>
      <c r="K322" s="12">
        <f t="shared" ref="K322:K364" si="17">ROUND(D322/MAX(E322,1),1)</f>
        <v>53.3</v>
      </c>
    </row>
    <row r="323" spans="1:11" x14ac:dyDescent="0.25">
      <c r="A323" s="6">
        <v>322</v>
      </c>
      <c r="B323" s="6" t="s">
        <v>859</v>
      </c>
      <c r="C323" s="6" t="s">
        <v>648</v>
      </c>
      <c r="D323" s="7">
        <v>480</v>
      </c>
      <c r="E323" s="6">
        <v>13</v>
      </c>
      <c r="F323" s="11">
        <v>0.21</v>
      </c>
      <c r="G323" s="11">
        <v>0.03</v>
      </c>
      <c r="H323" s="6" t="s">
        <v>585</v>
      </c>
      <c r="I323" s="6" t="str">
        <f t="shared" si="15"/>
        <v>Very Easy</v>
      </c>
      <c r="J323" s="7">
        <f t="shared" si="16"/>
        <v>53</v>
      </c>
      <c r="K323" s="12">
        <f t="shared" si="17"/>
        <v>36.9</v>
      </c>
    </row>
    <row r="324" spans="1:11" x14ac:dyDescent="0.25">
      <c r="A324" s="6">
        <v>323</v>
      </c>
      <c r="B324" s="6" t="s">
        <v>860</v>
      </c>
      <c r="C324" s="6" t="s">
        <v>648</v>
      </c>
      <c r="D324" s="7">
        <v>480</v>
      </c>
      <c r="E324" s="6">
        <v>10</v>
      </c>
      <c r="F324" s="11">
        <v>0.13</v>
      </c>
      <c r="G324" s="11">
        <v>0.05</v>
      </c>
      <c r="H324" s="6" t="s">
        <v>585</v>
      </c>
      <c r="I324" s="6" t="str">
        <f t="shared" si="15"/>
        <v>Very Easy</v>
      </c>
      <c r="J324" s="7">
        <f t="shared" si="16"/>
        <v>53</v>
      </c>
      <c r="K324" s="12">
        <f t="shared" si="17"/>
        <v>48</v>
      </c>
    </row>
    <row r="325" spans="1:11" x14ac:dyDescent="0.25">
      <c r="A325" s="6">
        <v>324</v>
      </c>
      <c r="B325" s="6" t="s">
        <v>861</v>
      </c>
      <c r="C325" s="6" t="s">
        <v>179</v>
      </c>
      <c r="D325" s="7">
        <v>480</v>
      </c>
      <c r="E325" s="6">
        <v>15</v>
      </c>
      <c r="F325" s="11">
        <v>0.1</v>
      </c>
      <c r="G325" s="11">
        <v>0.12</v>
      </c>
      <c r="H325" s="6" t="s">
        <v>616</v>
      </c>
      <c r="I325" s="6" t="str">
        <f t="shared" si="15"/>
        <v>Very Easy</v>
      </c>
      <c r="J325" s="7">
        <f t="shared" si="16"/>
        <v>53</v>
      </c>
      <c r="K325" s="12">
        <f t="shared" si="17"/>
        <v>32</v>
      </c>
    </row>
    <row r="326" spans="1:11" x14ac:dyDescent="0.25">
      <c r="A326" s="6">
        <v>325</v>
      </c>
      <c r="B326" s="6" t="s">
        <v>181</v>
      </c>
      <c r="C326" s="6" t="s">
        <v>179</v>
      </c>
      <c r="D326" s="7">
        <v>480</v>
      </c>
      <c r="E326" s="6">
        <v>16</v>
      </c>
      <c r="F326" s="11">
        <v>0.08</v>
      </c>
      <c r="G326" s="11">
        <v>0.22</v>
      </c>
      <c r="H326" s="6" t="s">
        <v>585</v>
      </c>
      <c r="I326" s="6" t="str">
        <f t="shared" si="15"/>
        <v>Easy</v>
      </c>
      <c r="J326" s="7">
        <f t="shared" si="16"/>
        <v>53</v>
      </c>
      <c r="K326" s="12">
        <f t="shared" si="17"/>
        <v>30</v>
      </c>
    </row>
    <row r="327" spans="1:11" x14ac:dyDescent="0.25">
      <c r="A327" s="6">
        <v>326</v>
      </c>
      <c r="B327" s="6" t="s">
        <v>862</v>
      </c>
      <c r="C327" s="6" t="s">
        <v>40</v>
      </c>
      <c r="D327" s="7">
        <v>480</v>
      </c>
      <c r="E327" s="6">
        <v>29</v>
      </c>
      <c r="F327" s="11">
        <v>0.11</v>
      </c>
      <c r="G327" s="11">
        <v>0.4</v>
      </c>
      <c r="H327" s="6" t="s">
        <v>616</v>
      </c>
      <c r="I327" s="6" t="str">
        <f t="shared" si="15"/>
        <v>Medium</v>
      </c>
      <c r="J327" s="7">
        <f t="shared" si="16"/>
        <v>53</v>
      </c>
      <c r="K327" s="12">
        <f t="shared" si="17"/>
        <v>16.600000000000001</v>
      </c>
    </row>
    <row r="328" spans="1:11" x14ac:dyDescent="0.25">
      <c r="A328" s="6">
        <v>327</v>
      </c>
      <c r="B328" s="6" t="s">
        <v>287</v>
      </c>
      <c r="C328" s="6" t="s">
        <v>179</v>
      </c>
      <c r="D328" s="7">
        <v>390</v>
      </c>
      <c r="E328" s="6">
        <v>21</v>
      </c>
      <c r="F328" s="11">
        <v>0.1</v>
      </c>
      <c r="G328" s="11">
        <v>0.17</v>
      </c>
      <c r="H328" s="6" t="s">
        <v>616</v>
      </c>
      <c r="I328" s="6" t="str">
        <f t="shared" si="15"/>
        <v>Easy</v>
      </c>
      <c r="J328" s="7">
        <f t="shared" si="16"/>
        <v>43</v>
      </c>
      <c r="K328" s="12">
        <f t="shared" si="17"/>
        <v>18.600000000000001</v>
      </c>
    </row>
    <row r="329" spans="1:11" x14ac:dyDescent="0.25">
      <c r="A329" s="6">
        <v>328</v>
      </c>
      <c r="B329" s="6" t="s">
        <v>863</v>
      </c>
      <c r="C329" s="6" t="s">
        <v>685</v>
      </c>
      <c r="D329" s="7">
        <v>390</v>
      </c>
      <c r="E329" s="6">
        <v>9</v>
      </c>
      <c r="F329" s="11">
        <v>0.14000000000000001</v>
      </c>
      <c r="G329" s="11">
        <v>0.23</v>
      </c>
      <c r="H329" s="6" t="s">
        <v>592</v>
      </c>
      <c r="I329" s="6" t="str">
        <f t="shared" si="15"/>
        <v>Very Easy</v>
      </c>
      <c r="J329" s="7">
        <f t="shared" si="16"/>
        <v>43</v>
      </c>
      <c r="K329" s="12">
        <f t="shared" si="17"/>
        <v>43.3</v>
      </c>
    </row>
    <row r="330" spans="1:11" x14ac:dyDescent="0.25">
      <c r="A330" s="6">
        <v>329</v>
      </c>
      <c r="B330" s="6" t="s">
        <v>864</v>
      </c>
      <c r="C330" s="6" t="s">
        <v>685</v>
      </c>
      <c r="D330" s="7">
        <v>390</v>
      </c>
      <c r="E330" s="6">
        <v>7</v>
      </c>
      <c r="F330" s="11">
        <v>0.14000000000000001</v>
      </c>
      <c r="G330" s="11">
        <v>0.36</v>
      </c>
      <c r="H330" s="6" t="s">
        <v>585</v>
      </c>
      <c r="I330" s="6" t="str">
        <f t="shared" si="15"/>
        <v>Very Easy</v>
      </c>
      <c r="J330" s="7">
        <f t="shared" si="16"/>
        <v>43</v>
      </c>
      <c r="K330" s="12">
        <f t="shared" si="17"/>
        <v>55.7</v>
      </c>
    </row>
    <row r="331" spans="1:11" x14ac:dyDescent="0.25">
      <c r="A331" s="6">
        <v>330</v>
      </c>
      <c r="B331" s="6" t="s">
        <v>865</v>
      </c>
      <c r="C331" s="6" t="s">
        <v>685</v>
      </c>
      <c r="D331" s="7">
        <v>390</v>
      </c>
      <c r="E331" s="6">
        <v>8</v>
      </c>
      <c r="F331" s="11">
        <v>0.05</v>
      </c>
      <c r="G331" s="11">
        <v>0.08</v>
      </c>
      <c r="H331" s="6" t="s">
        <v>585</v>
      </c>
      <c r="I331" s="6" t="str">
        <f t="shared" si="15"/>
        <v>Very Easy</v>
      </c>
      <c r="J331" s="7">
        <f t="shared" si="16"/>
        <v>43</v>
      </c>
      <c r="K331" s="12">
        <f t="shared" si="17"/>
        <v>48.8</v>
      </c>
    </row>
    <row r="332" spans="1:11" x14ac:dyDescent="0.25">
      <c r="A332" s="6">
        <v>331</v>
      </c>
      <c r="B332" s="6" t="s">
        <v>866</v>
      </c>
      <c r="C332" s="6" t="s">
        <v>685</v>
      </c>
      <c r="D332" s="7">
        <v>390</v>
      </c>
      <c r="E332" s="6">
        <v>19</v>
      </c>
      <c r="F332" s="11">
        <v>0.09</v>
      </c>
      <c r="G332" s="11">
        <v>0.11</v>
      </c>
      <c r="H332" s="6" t="s">
        <v>616</v>
      </c>
      <c r="I332" s="6" t="str">
        <f t="shared" si="15"/>
        <v>Easy</v>
      </c>
      <c r="J332" s="7">
        <f t="shared" si="16"/>
        <v>43</v>
      </c>
      <c r="K332" s="12">
        <f t="shared" si="17"/>
        <v>20.5</v>
      </c>
    </row>
    <row r="333" spans="1:11" x14ac:dyDescent="0.25">
      <c r="A333" s="6">
        <v>332</v>
      </c>
      <c r="B333" s="6" t="s">
        <v>867</v>
      </c>
      <c r="C333" s="6" t="s">
        <v>40</v>
      </c>
      <c r="D333" s="7">
        <v>390</v>
      </c>
      <c r="E333" s="6">
        <v>17</v>
      </c>
      <c r="F333" s="11">
        <v>0.15</v>
      </c>
      <c r="G333" s="11">
        <v>0.52</v>
      </c>
      <c r="H333" s="6" t="s">
        <v>592</v>
      </c>
      <c r="I333" s="6" t="str">
        <f t="shared" si="15"/>
        <v>Easy</v>
      </c>
      <c r="J333" s="7">
        <f t="shared" si="16"/>
        <v>43</v>
      </c>
      <c r="K333" s="12">
        <f t="shared" si="17"/>
        <v>22.9</v>
      </c>
    </row>
    <row r="334" spans="1:11" x14ac:dyDescent="0.25">
      <c r="A334" s="6">
        <v>333</v>
      </c>
      <c r="B334" s="6" t="s">
        <v>868</v>
      </c>
      <c r="C334" s="6" t="s">
        <v>40</v>
      </c>
      <c r="D334" s="7">
        <v>390</v>
      </c>
      <c r="E334" s="6">
        <v>41</v>
      </c>
      <c r="F334" s="11">
        <v>0.05</v>
      </c>
      <c r="G334" s="11">
        <v>0.44</v>
      </c>
      <c r="H334" s="6" t="s">
        <v>585</v>
      </c>
      <c r="I334" s="6" t="str">
        <f t="shared" si="15"/>
        <v>Hard</v>
      </c>
      <c r="J334" s="7">
        <f t="shared" si="16"/>
        <v>43</v>
      </c>
      <c r="K334" s="12">
        <f t="shared" si="17"/>
        <v>9.5</v>
      </c>
    </row>
    <row r="335" spans="1:11" x14ac:dyDescent="0.25">
      <c r="A335" s="6">
        <v>334</v>
      </c>
      <c r="B335" s="6" t="s">
        <v>869</v>
      </c>
      <c r="C335" s="6" t="s">
        <v>179</v>
      </c>
      <c r="D335" s="7">
        <v>320</v>
      </c>
      <c r="E335" s="6">
        <v>17</v>
      </c>
      <c r="F335" s="11">
        <v>0.04</v>
      </c>
      <c r="G335" s="11">
        <v>0.19</v>
      </c>
      <c r="H335" s="6" t="s">
        <v>585</v>
      </c>
      <c r="I335" s="6" t="str">
        <f t="shared" si="15"/>
        <v>Easy</v>
      </c>
      <c r="J335" s="7">
        <f t="shared" si="16"/>
        <v>35</v>
      </c>
      <c r="K335" s="12">
        <f t="shared" si="17"/>
        <v>18.8</v>
      </c>
    </row>
    <row r="336" spans="1:11" x14ac:dyDescent="0.25">
      <c r="A336" s="6">
        <v>335</v>
      </c>
      <c r="B336" s="6" t="s">
        <v>870</v>
      </c>
      <c r="C336" s="6" t="s">
        <v>685</v>
      </c>
      <c r="D336" s="7">
        <v>320</v>
      </c>
      <c r="E336" s="6">
        <v>12</v>
      </c>
      <c r="F336" s="11">
        <v>0.13</v>
      </c>
      <c r="G336" s="11">
        <v>0.2</v>
      </c>
      <c r="H336" s="6" t="s">
        <v>592</v>
      </c>
      <c r="I336" s="6" t="str">
        <f t="shared" si="15"/>
        <v>Very Easy</v>
      </c>
      <c r="J336" s="7">
        <f t="shared" si="16"/>
        <v>35</v>
      </c>
      <c r="K336" s="12">
        <f t="shared" si="17"/>
        <v>26.7</v>
      </c>
    </row>
    <row r="337" spans="1:11" x14ac:dyDescent="0.25">
      <c r="A337" s="6">
        <v>336</v>
      </c>
      <c r="B337" s="6" t="s">
        <v>871</v>
      </c>
      <c r="C337" s="6" t="s">
        <v>685</v>
      </c>
      <c r="D337" s="7">
        <v>320</v>
      </c>
      <c r="E337" s="6">
        <v>10</v>
      </c>
      <c r="F337" s="11">
        <v>0.16</v>
      </c>
      <c r="G337" s="11">
        <v>0.3</v>
      </c>
      <c r="H337" s="6" t="s">
        <v>585</v>
      </c>
      <c r="I337" s="6" t="str">
        <f t="shared" si="15"/>
        <v>Very Easy</v>
      </c>
      <c r="J337" s="7">
        <f t="shared" si="16"/>
        <v>35</v>
      </c>
      <c r="K337" s="12">
        <f t="shared" si="17"/>
        <v>32</v>
      </c>
    </row>
    <row r="338" spans="1:11" x14ac:dyDescent="0.25">
      <c r="A338" s="6">
        <v>337</v>
      </c>
      <c r="B338" s="6" t="s">
        <v>872</v>
      </c>
      <c r="C338" s="6" t="s">
        <v>685</v>
      </c>
      <c r="D338" s="7">
        <v>320</v>
      </c>
      <c r="E338" s="6">
        <v>21</v>
      </c>
      <c r="F338" s="11">
        <v>0</v>
      </c>
      <c r="G338" s="11">
        <v>0.01</v>
      </c>
      <c r="H338" s="6" t="s">
        <v>585</v>
      </c>
      <c r="I338" s="6" t="str">
        <f t="shared" si="15"/>
        <v>Easy</v>
      </c>
      <c r="J338" s="7">
        <f t="shared" si="16"/>
        <v>35</v>
      </c>
      <c r="K338" s="12">
        <f t="shared" si="17"/>
        <v>15.2</v>
      </c>
    </row>
    <row r="339" spans="1:11" x14ac:dyDescent="0.25">
      <c r="A339" s="6">
        <v>338</v>
      </c>
      <c r="B339" s="6" t="s">
        <v>873</v>
      </c>
      <c r="C339" s="6" t="s">
        <v>40</v>
      </c>
      <c r="D339" s="7">
        <v>320</v>
      </c>
      <c r="E339" s="6">
        <v>10</v>
      </c>
      <c r="F339" s="11">
        <v>0.13</v>
      </c>
      <c r="G339" s="11">
        <v>0.05</v>
      </c>
      <c r="H339" s="6" t="s">
        <v>585</v>
      </c>
      <c r="I339" s="6" t="str">
        <f t="shared" si="15"/>
        <v>Very Easy</v>
      </c>
      <c r="J339" s="7">
        <f t="shared" si="16"/>
        <v>35</v>
      </c>
      <c r="K339" s="12">
        <f t="shared" si="17"/>
        <v>32</v>
      </c>
    </row>
    <row r="340" spans="1:11" x14ac:dyDescent="0.25">
      <c r="A340" s="6">
        <v>339</v>
      </c>
      <c r="B340" s="6" t="s">
        <v>207</v>
      </c>
      <c r="C340" s="6" t="s">
        <v>40</v>
      </c>
      <c r="D340" s="7">
        <v>320</v>
      </c>
      <c r="E340" s="6">
        <v>27</v>
      </c>
      <c r="F340" s="11">
        <v>0.13</v>
      </c>
      <c r="G340" s="11">
        <v>0.05</v>
      </c>
      <c r="H340" s="6" t="s">
        <v>616</v>
      </c>
      <c r="I340" s="6" t="str">
        <f t="shared" si="15"/>
        <v>Medium</v>
      </c>
      <c r="J340" s="7">
        <f t="shared" si="16"/>
        <v>35</v>
      </c>
      <c r="K340" s="12">
        <f t="shared" si="17"/>
        <v>11.9</v>
      </c>
    </row>
    <row r="341" spans="1:11" x14ac:dyDescent="0.25">
      <c r="A341" s="6">
        <v>340</v>
      </c>
      <c r="B341" s="6" t="s">
        <v>874</v>
      </c>
      <c r="C341" s="6" t="s">
        <v>179</v>
      </c>
      <c r="D341" s="7">
        <v>260</v>
      </c>
      <c r="E341" s="6">
        <v>9</v>
      </c>
      <c r="F341" s="11">
        <v>0.1</v>
      </c>
      <c r="G341" s="11">
        <v>0.31</v>
      </c>
      <c r="H341" s="6" t="s">
        <v>592</v>
      </c>
      <c r="I341" s="6" t="str">
        <f t="shared" si="15"/>
        <v>Very Easy</v>
      </c>
      <c r="J341" s="7">
        <f t="shared" si="16"/>
        <v>29</v>
      </c>
      <c r="K341" s="12">
        <f t="shared" si="17"/>
        <v>28.9</v>
      </c>
    </row>
    <row r="342" spans="1:11" x14ac:dyDescent="0.25">
      <c r="A342" s="6">
        <v>341</v>
      </c>
      <c r="B342" s="6" t="s">
        <v>875</v>
      </c>
      <c r="C342" s="6" t="s">
        <v>179</v>
      </c>
      <c r="D342" s="7">
        <v>260</v>
      </c>
      <c r="E342" s="6">
        <v>6</v>
      </c>
      <c r="F342" s="11">
        <v>0.08</v>
      </c>
      <c r="G342" s="11">
        <v>0.24</v>
      </c>
      <c r="H342" s="6" t="s">
        <v>585</v>
      </c>
      <c r="I342" s="6" t="str">
        <f t="shared" si="15"/>
        <v>Very Easy</v>
      </c>
      <c r="J342" s="7">
        <f t="shared" si="16"/>
        <v>29</v>
      </c>
      <c r="K342" s="12">
        <f t="shared" si="17"/>
        <v>43.3</v>
      </c>
    </row>
    <row r="343" spans="1:11" x14ac:dyDescent="0.25">
      <c r="A343" s="6">
        <v>342</v>
      </c>
      <c r="B343" s="6" t="s">
        <v>876</v>
      </c>
      <c r="C343" s="6" t="s">
        <v>179</v>
      </c>
      <c r="D343" s="7">
        <v>260</v>
      </c>
      <c r="E343" s="6">
        <v>10</v>
      </c>
      <c r="F343" s="11">
        <v>7.0000000000000007E-2</v>
      </c>
      <c r="G343" s="11">
        <v>0.16</v>
      </c>
      <c r="H343" s="6" t="s">
        <v>585</v>
      </c>
      <c r="I343" s="6" t="str">
        <f t="shared" si="15"/>
        <v>Very Easy</v>
      </c>
      <c r="J343" s="7">
        <f t="shared" si="16"/>
        <v>29</v>
      </c>
      <c r="K343" s="12">
        <f t="shared" si="17"/>
        <v>26</v>
      </c>
    </row>
    <row r="344" spans="1:11" x14ac:dyDescent="0.25">
      <c r="A344" s="6">
        <v>343</v>
      </c>
      <c r="B344" s="6" t="s">
        <v>877</v>
      </c>
      <c r="C344" s="6" t="s">
        <v>685</v>
      </c>
      <c r="D344" s="7">
        <v>260</v>
      </c>
      <c r="E344" s="6">
        <v>24</v>
      </c>
      <c r="F344" s="11">
        <v>0.15</v>
      </c>
      <c r="G344" s="11">
        <v>0.25</v>
      </c>
      <c r="H344" s="6" t="s">
        <v>585</v>
      </c>
      <c r="I344" s="6" t="str">
        <f t="shared" si="15"/>
        <v>Easy</v>
      </c>
      <c r="J344" s="7">
        <f t="shared" si="16"/>
        <v>29</v>
      </c>
      <c r="K344" s="12">
        <f t="shared" si="17"/>
        <v>10.8</v>
      </c>
    </row>
    <row r="345" spans="1:11" x14ac:dyDescent="0.25">
      <c r="A345" s="6">
        <v>344</v>
      </c>
      <c r="B345" s="6" t="s">
        <v>878</v>
      </c>
      <c r="C345" s="6" t="s">
        <v>685</v>
      </c>
      <c r="D345" s="7">
        <v>260</v>
      </c>
      <c r="E345" s="6">
        <v>8</v>
      </c>
      <c r="F345" s="11">
        <v>0.12</v>
      </c>
      <c r="G345" s="11">
        <v>0.25</v>
      </c>
      <c r="H345" s="6" t="s">
        <v>616</v>
      </c>
      <c r="I345" s="6" t="str">
        <f t="shared" si="15"/>
        <v>Very Easy</v>
      </c>
      <c r="J345" s="7">
        <f t="shared" si="16"/>
        <v>29</v>
      </c>
      <c r="K345" s="12">
        <f t="shared" si="17"/>
        <v>32.5</v>
      </c>
    </row>
    <row r="346" spans="1:11" x14ac:dyDescent="0.25">
      <c r="A346" s="6">
        <v>345</v>
      </c>
      <c r="B346" s="6" t="s">
        <v>879</v>
      </c>
      <c r="C346" s="6" t="s">
        <v>685</v>
      </c>
      <c r="D346" s="7">
        <v>260</v>
      </c>
      <c r="E346" s="6">
        <v>21</v>
      </c>
      <c r="F346" s="11">
        <v>0.12</v>
      </c>
      <c r="G346" s="11">
        <v>0.16</v>
      </c>
      <c r="H346" s="6" t="s">
        <v>592</v>
      </c>
      <c r="I346" s="6" t="str">
        <f t="shared" si="15"/>
        <v>Easy</v>
      </c>
      <c r="J346" s="7">
        <f t="shared" si="16"/>
        <v>29</v>
      </c>
      <c r="K346" s="12">
        <f t="shared" si="17"/>
        <v>12.4</v>
      </c>
    </row>
    <row r="347" spans="1:11" x14ac:dyDescent="0.25">
      <c r="A347" s="6">
        <v>346</v>
      </c>
      <c r="B347" s="6" t="s">
        <v>880</v>
      </c>
      <c r="C347" s="6" t="s">
        <v>685</v>
      </c>
      <c r="D347" s="7">
        <v>260</v>
      </c>
      <c r="E347" s="6">
        <v>13</v>
      </c>
      <c r="F347" s="11">
        <v>0.15</v>
      </c>
      <c r="G347" s="11">
        <v>0.11</v>
      </c>
      <c r="H347" s="6" t="s">
        <v>592</v>
      </c>
      <c r="I347" s="6" t="str">
        <f t="shared" si="15"/>
        <v>Very Easy</v>
      </c>
      <c r="J347" s="7">
        <f t="shared" si="16"/>
        <v>29</v>
      </c>
      <c r="K347" s="12">
        <f t="shared" si="17"/>
        <v>20</v>
      </c>
    </row>
    <row r="348" spans="1:11" x14ac:dyDescent="0.25">
      <c r="A348" s="6">
        <v>347</v>
      </c>
      <c r="B348" s="6" t="s">
        <v>881</v>
      </c>
      <c r="C348" s="6" t="s">
        <v>40</v>
      </c>
      <c r="D348" s="7">
        <v>260</v>
      </c>
      <c r="E348" s="6">
        <v>25</v>
      </c>
      <c r="F348" s="11">
        <v>0.04</v>
      </c>
      <c r="G348" s="11">
        <v>0.02</v>
      </c>
      <c r="H348" s="6" t="s">
        <v>592</v>
      </c>
      <c r="I348" s="6" t="str">
        <f t="shared" si="15"/>
        <v>Easy</v>
      </c>
      <c r="J348" s="7">
        <f t="shared" si="16"/>
        <v>29</v>
      </c>
      <c r="K348" s="12">
        <f t="shared" si="17"/>
        <v>10.4</v>
      </c>
    </row>
    <row r="349" spans="1:11" x14ac:dyDescent="0.25">
      <c r="A349" s="6">
        <v>348</v>
      </c>
      <c r="B349" s="6" t="s">
        <v>882</v>
      </c>
      <c r="C349" s="6" t="s">
        <v>40</v>
      </c>
      <c r="D349" s="7">
        <v>260</v>
      </c>
      <c r="E349" s="6">
        <v>37</v>
      </c>
      <c r="F349" s="11">
        <v>0.12</v>
      </c>
      <c r="G349" s="11">
        <v>0.28999999999999998</v>
      </c>
      <c r="H349" s="6" t="s">
        <v>585</v>
      </c>
      <c r="I349" s="6" t="str">
        <f t="shared" si="15"/>
        <v>Medium</v>
      </c>
      <c r="J349" s="7">
        <f t="shared" si="16"/>
        <v>29</v>
      </c>
      <c r="K349" s="12">
        <f t="shared" si="17"/>
        <v>7</v>
      </c>
    </row>
    <row r="350" spans="1:11" x14ac:dyDescent="0.25">
      <c r="A350" s="6">
        <v>349</v>
      </c>
      <c r="B350" s="6" t="s">
        <v>385</v>
      </c>
      <c r="C350" s="6" t="s">
        <v>40</v>
      </c>
      <c r="D350" s="7">
        <v>260</v>
      </c>
      <c r="E350" s="6">
        <v>33</v>
      </c>
      <c r="F350" s="11">
        <v>0.13</v>
      </c>
      <c r="G350" s="11">
        <v>0.06</v>
      </c>
      <c r="H350" s="6" t="s">
        <v>585</v>
      </c>
      <c r="I350" s="6" t="str">
        <f t="shared" si="15"/>
        <v>Medium</v>
      </c>
      <c r="J350" s="7">
        <f t="shared" si="16"/>
        <v>29</v>
      </c>
      <c r="K350" s="12">
        <f t="shared" si="17"/>
        <v>7.9</v>
      </c>
    </row>
    <row r="351" spans="1:11" x14ac:dyDescent="0.25">
      <c r="A351" s="6">
        <v>350</v>
      </c>
      <c r="B351" s="6" t="s">
        <v>883</v>
      </c>
      <c r="C351" s="6" t="s">
        <v>40</v>
      </c>
      <c r="D351" s="7">
        <v>260</v>
      </c>
      <c r="E351" s="6">
        <v>36</v>
      </c>
      <c r="F351" s="11">
        <v>7.0000000000000007E-2</v>
      </c>
      <c r="G351" s="11">
        <v>0.05</v>
      </c>
      <c r="H351" s="6" t="s">
        <v>585</v>
      </c>
      <c r="I351" s="6" t="str">
        <f t="shared" si="15"/>
        <v>Medium</v>
      </c>
      <c r="J351" s="7">
        <f t="shared" si="16"/>
        <v>29</v>
      </c>
      <c r="K351" s="12">
        <f t="shared" si="17"/>
        <v>7.2</v>
      </c>
    </row>
    <row r="352" spans="1:11" x14ac:dyDescent="0.25">
      <c r="A352" s="6">
        <v>351</v>
      </c>
      <c r="B352" s="6" t="s">
        <v>492</v>
      </c>
      <c r="C352" s="6" t="s">
        <v>179</v>
      </c>
      <c r="D352" s="7">
        <v>210</v>
      </c>
      <c r="E352" s="6">
        <v>7</v>
      </c>
      <c r="F352" s="11">
        <v>0.08</v>
      </c>
      <c r="G352" s="11">
        <v>0.22</v>
      </c>
      <c r="H352" s="6" t="s">
        <v>592</v>
      </c>
      <c r="I352" s="6" t="str">
        <f t="shared" si="15"/>
        <v>Very Easy</v>
      </c>
      <c r="J352" s="7">
        <f t="shared" si="16"/>
        <v>23</v>
      </c>
      <c r="K352" s="12">
        <f t="shared" si="17"/>
        <v>30</v>
      </c>
    </row>
    <row r="353" spans="1:11" x14ac:dyDescent="0.25">
      <c r="A353" s="6">
        <v>352</v>
      </c>
      <c r="B353" s="6" t="s">
        <v>884</v>
      </c>
      <c r="C353" s="6" t="s">
        <v>179</v>
      </c>
      <c r="D353" s="7">
        <v>210</v>
      </c>
      <c r="E353" s="6">
        <v>14</v>
      </c>
      <c r="F353" s="11">
        <v>0.03</v>
      </c>
      <c r="G353" s="11">
        <v>0.1</v>
      </c>
      <c r="H353" s="6" t="s">
        <v>596</v>
      </c>
      <c r="I353" s="6" t="str">
        <f t="shared" si="15"/>
        <v>Very Easy</v>
      </c>
      <c r="J353" s="7">
        <f t="shared" si="16"/>
        <v>23</v>
      </c>
      <c r="K353" s="12">
        <f t="shared" si="17"/>
        <v>15</v>
      </c>
    </row>
    <row r="354" spans="1:11" x14ac:dyDescent="0.25">
      <c r="A354" s="6">
        <v>353</v>
      </c>
      <c r="B354" s="6" t="s">
        <v>885</v>
      </c>
      <c r="C354" s="6" t="s">
        <v>179</v>
      </c>
      <c r="D354" s="7">
        <v>210</v>
      </c>
      <c r="E354" s="6">
        <v>7</v>
      </c>
      <c r="F354" s="11">
        <v>0.09</v>
      </c>
      <c r="G354" s="11">
        <v>0.12</v>
      </c>
      <c r="H354" s="6" t="s">
        <v>592</v>
      </c>
      <c r="I354" s="6" t="str">
        <f t="shared" si="15"/>
        <v>Very Easy</v>
      </c>
      <c r="J354" s="7">
        <f t="shared" si="16"/>
        <v>23</v>
      </c>
      <c r="K354" s="12">
        <f t="shared" si="17"/>
        <v>30</v>
      </c>
    </row>
    <row r="355" spans="1:11" x14ac:dyDescent="0.25">
      <c r="A355" s="6">
        <v>354</v>
      </c>
      <c r="B355" s="6" t="s">
        <v>886</v>
      </c>
      <c r="C355" s="6" t="s">
        <v>40</v>
      </c>
      <c r="D355" s="7">
        <v>210</v>
      </c>
      <c r="E355" s="6">
        <v>17</v>
      </c>
      <c r="F355" s="11">
        <v>0.15</v>
      </c>
      <c r="G355" s="11">
        <v>0.45</v>
      </c>
      <c r="H355" s="6" t="s">
        <v>585</v>
      </c>
      <c r="I355" s="6" t="str">
        <f t="shared" si="15"/>
        <v>Easy</v>
      </c>
      <c r="J355" s="7">
        <f t="shared" si="16"/>
        <v>23</v>
      </c>
      <c r="K355" s="12">
        <f t="shared" si="17"/>
        <v>12.4</v>
      </c>
    </row>
    <row r="356" spans="1:11" x14ac:dyDescent="0.25">
      <c r="A356" s="6">
        <v>355</v>
      </c>
      <c r="B356" s="6" t="s">
        <v>352</v>
      </c>
      <c r="C356" s="6" t="s">
        <v>40</v>
      </c>
      <c r="D356" s="7">
        <v>210</v>
      </c>
      <c r="E356" s="6">
        <v>8</v>
      </c>
      <c r="F356" s="11">
        <v>0.15</v>
      </c>
      <c r="G356" s="11">
        <v>0.34</v>
      </c>
      <c r="H356" s="6" t="s">
        <v>592</v>
      </c>
      <c r="I356" s="6" t="str">
        <f t="shared" si="15"/>
        <v>Very Easy</v>
      </c>
      <c r="J356" s="7">
        <f t="shared" si="16"/>
        <v>23</v>
      </c>
      <c r="K356" s="12">
        <f t="shared" si="17"/>
        <v>26.3</v>
      </c>
    </row>
    <row r="357" spans="1:11" x14ac:dyDescent="0.25">
      <c r="A357" s="6">
        <v>356</v>
      </c>
      <c r="B357" s="6" t="s">
        <v>887</v>
      </c>
      <c r="C357" s="6" t="s">
        <v>40</v>
      </c>
      <c r="D357" s="7">
        <v>210</v>
      </c>
      <c r="E357" s="6">
        <v>20</v>
      </c>
      <c r="F357" s="11">
        <v>0.11</v>
      </c>
      <c r="G357" s="11">
        <v>0.15</v>
      </c>
      <c r="H357" s="6" t="s">
        <v>592</v>
      </c>
      <c r="I357" s="6" t="str">
        <f t="shared" si="15"/>
        <v>Easy</v>
      </c>
      <c r="J357" s="7">
        <f t="shared" si="16"/>
        <v>23</v>
      </c>
      <c r="K357" s="12">
        <f t="shared" si="17"/>
        <v>10.5</v>
      </c>
    </row>
    <row r="358" spans="1:11" x14ac:dyDescent="0.25">
      <c r="A358" s="6">
        <v>357</v>
      </c>
      <c r="B358" s="6" t="s">
        <v>888</v>
      </c>
      <c r="C358" s="6" t="s">
        <v>40</v>
      </c>
      <c r="D358" s="7">
        <v>210</v>
      </c>
      <c r="E358" s="6">
        <v>26</v>
      </c>
      <c r="F358" s="11">
        <v>0.1</v>
      </c>
      <c r="G358" s="11">
        <v>0.08</v>
      </c>
      <c r="H358" s="6" t="s">
        <v>585</v>
      </c>
      <c r="I358" s="6" t="str">
        <f t="shared" si="15"/>
        <v>Medium</v>
      </c>
      <c r="J358" s="7">
        <f t="shared" si="16"/>
        <v>23</v>
      </c>
      <c r="K358" s="12">
        <f t="shared" si="17"/>
        <v>8.1</v>
      </c>
    </row>
    <row r="359" spans="1:11" x14ac:dyDescent="0.25">
      <c r="A359" s="6">
        <v>358</v>
      </c>
      <c r="B359" s="6" t="s">
        <v>889</v>
      </c>
      <c r="C359" s="6" t="s">
        <v>40</v>
      </c>
      <c r="D359" s="7">
        <v>210</v>
      </c>
      <c r="E359" s="6">
        <v>23</v>
      </c>
      <c r="F359" s="11">
        <v>0.12</v>
      </c>
      <c r="G359" s="11">
        <v>0.47</v>
      </c>
      <c r="H359" s="6" t="s">
        <v>589</v>
      </c>
      <c r="I359" s="6" t="str">
        <f t="shared" si="15"/>
        <v>Easy</v>
      </c>
      <c r="J359" s="7">
        <f t="shared" si="16"/>
        <v>23</v>
      </c>
      <c r="K359" s="12">
        <f t="shared" si="17"/>
        <v>9.1</v>
      </c>
    </row>
    <row r="360" spans="1:11" x14ac:dyDescent="0.25">
      <c r="A360" s="6">
        <v>359</v>
      </c>
      <c r="B360" s="6" t="s">
        <v>890</v>
      </c>
      <c r="C360" s="6" t="s">
        <v>179</v>
      </c>
      <c r="D360" s="7">
        <v>170</v>
      </c>
      <c r="E360" s="6">
        <v>12</v>
      </c>
      <c r="F360" s="11">
        <v>0.1</v>
      </c>
      <c r="G360" s="11">
        <v>0.17</v>
      </c>
      <c r="H360" s="6" t="s">
        <v>585</v>
      </c>
      <c r="I360" s="6" t="str">
        <f t="shared" si="15"/>
        <v>Very Easy</v>
      </c>
      <c r="J360" s="7">
        <f t="shared" si="16"/>
        <v>19</v>
      </c>
      <c r="K360" s="12">
        <f t="shared" si="17"/>
        <v>14.2</v>
      </c>
    </row>
    <row r="361" spans="1:11" x14ac:dyDescent="0.25">
      <c r="A361" s="6">
        <v>360</v>
      </c>
      <c r="B361" s="6" t="s">
        <v>891</v>
      </c>
      <c r="C361" s="6" t="s">
        <v>179</v>
      </c>
      <c r="D361" s="7">
        <v>170</v>
      </c>
      <c r="E361" s="6">
        <v>10</v>
      </c>
      <c r="F361" s="11">
        <v>0.1</v>
      </c>
      <c r="G361" s="11">
        <v>0.26</v>
      </c>
      <c r="H361" s="6" t="s">
        <v>592</v>
      </c>
      <c r="I361" s="6" t="str">
        <f t="shared" si="15"/>
        <v>Very Easy</v>
      </c>
      <c r="J361" s="7">
        <f t="shared" si="16"/>
        <v>19</v>
      </c>
      <c r="K361" s="12">
        <f t="shared" si="17"/>
        <v>17</v>
      </c>
    </row>
    <row r="362" spans="1:11" x14ac:dyDescent="0.25">
      <c r="A362" s="6">
        <v>361</v>
      </c>
      <c r="B362" s="6" t="s">
        <v>892</v>
      </c>
      <c r="C362" s="6" t="s">
        <v>40</v>
      </c>
      <c r="D362" s="7">
        <v>170</v>
      </c>
      <c r="E362" s="6">
        <v>15</v>
      </c>
      <c r="F362" s="11">
        <v>0.09</v>
      </c>
      <c r="G362" s="11">
        <v>0.51</v>
      </c>
      <c r="H362" s="6" t="s">
        <v>585</v>
      </c>
      <c r="I362" s="6" t="str">
        <f t="shared" si="15"/>
        <v>Very Easy</v>
      </c>
      <c r="J362" s="7">
        <f t="shared" si="16"/>
        <v>19</v>
      </c>
      <c r="K362" s="12">
        <f t="shared" si="17"/>
        <v>11.3</v>
      </c>
    </row>
    <row r="363" spans="1:11" x14ac:dyDescent="0.25">
      <c r="A363" s="6">
        <v>362</v>
      </c>
      <c r="B363" s="6" t="s">
        <v>893</v>
      </c>
      <c r="C363" s="6" t="s">
        <v>40</v>
      </c>
      <c r="D363" s="7">
        <v>170</v>
      </c>
      <c r="E363" s="6">
        <v>20</v>
      </c>
      <c r="F363" s="11">
        <v>0.13</v>
      </c>
      <c r="G363" s="11">
        <v>0.32</v>
      </c>
      <c r="H363" s="6" t="s">
        <v>592</v>
      </c>
      <c r="I363" s="6" t="str">
        <f t="shared" si="15"/>
        <v>Easy</v>
      </c>
      <c r="J363" s="7">
        <f t="shared" si="16"/>
        <v>19</v>
      </c>
      <c r="K363" s="12">
        <f t="shared" si="17"/>
        <v>8.5</v>
      </c>
    </row>
    <row r="364" spans="1:11" x14ac:dyDescent="0.25">
      <c r="A364" s="6">
        <v>363</v>
      </c>
      <c r="B364" s="6" t="s">
        <v>894</v>
      </c>
      <c r="C364" s="6" t="s">
        <v>40</v>
      </c>
      <c r="D364" s="7">
        <v>170</v>
      </c>
      <c r="E364" s="6">
        <v>36</v>
      </c>
      <c r="F364" s="11">
        <v>0.1</v>
      </c>
      <c r="G364" s="11">
        <v>0.38</v>
      </c>
      <c r="H364" s="6" t="s">
        <v>616</v>
      </c>
      <c r="I364" s="6" t="str">
        <f t="shared" si="15"/>
        <v>Medium</v>
      </c>
      <c r="J364" s="7">
        <f t="shared" si="16"/>
        <v>19</v>
      </c>
      <c r="K364" s="12">
        <f t="shared" si="17"/>
        <v>4.7</v>
      </c>
    </row>
    <row r="366" spans="1:11" x14ac:dyDescent="0.25">
      <c r="B366" s="9" t="s">
        <v>895</v>
      </c>
      <c r="D366" s="9">
        <f>COUNT(D2:D364)</f>
        <v>363</v>
      </c>
    </row>
    <row r="367" spans="1:11" x14ac:dyDescent="0.25">
      <c r="B367" s="9" t="s">
        <v>896</v>
      </c>
      <c r="D367" s="10">
        <f>SUM(D2:D364)</f>
        <v>1244720</v>
      </c>
    </row>
    <row r="368" spans="1:11" x14ac:dyDescent="0.25">
      <c r="B368" s="9" t="s">
        <v>897</v>
      </c>
      <c r="D368" s="9">
        <f>COUNTIF(E2:E364,"&lt;=20")</f>
        <v>250</v>
      </c>
    </row>
    <row r="369" spans="2:4" x14ac:dyDescent="0.25">
      <c r="B369" s="9" t="s">
        <v>898</v>
      </c>
      <c r="D369" s="10">
        <f>SUMIF(E2:E364,"&lt;=20",D2:D364)</f>
        <v>748820</v>
      </c>
    </row>
    <row r="371" spans="2:4" x14ac:dyDescent="0.25">
      <c r="B371" s="2" t="s">
        <v>899</v>
      </c>
    </row>
    <row r="372" spans="2:4" x14ac:dyDescent="0.25">
      <c r="B372" s="2" t="s">
        <v>900</v>
      </c>
    </row>
  </sheetData>
  <autoFilter ref="A1:K364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"/>
  <sheetViews>
    <sheetView zoomScale="164" zoomScaleNormal="164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B25" sqref="B25"/>
    </sheetView>
  </sheetViews>
  <sheetFormatPr defaultColWidth="8.7109375" defaultRowHeight="15" x14ac:dyDescent="0.25"/>
  <cols>
    <col min="1" max="1" width="7" customWidth="1"/>
    <col min="2" max="2" width="46" customWidth="1"/>
    <col min="3" max="3" width="15" customWidth="1"/>
    <col min="4" max="4" width="11" customWidth="1"/>
    <col min="5" max="5" width="7" customWidth="1"/>
    <col min="6" max="6" width="20" customWidth="1"/>
    <col min="7" max="7" width="11" customWidth="1"/>
    <col min="8" max="8" width="14" customWidth="1"/>
    <col min="9" max="9" width="30" customWidth="1"/>
  </cols>
  <sheetData>
    <row r="1" spans="1:9" ht="18" x14ac:dyDescent="0.25">
      <c r="A1" s="13" t="s">
        <v>901</v>
      </c>
    </row>
    <row r="2" spans="1:9" x14ac:dyDescent="0.25">
      <c r="A2" s="2" t="s">
        <v>902</v>
      </c>
    </row>
    <row r="4" spans="1:9" ht="30" customHeight="1" x14ac:dyDescent="0.25">
      <c r="A4" s="5" t="s">
        <v>903</v>
      </c>
      <c r="B4" s="5" t="s">
        <v>575</v>
      </c>
      <c r="C4" s="5" t="s">
        <v>576</v>
      </c>
      <c r="D4" s="5" t="s">
        <v>577</v>
      </c>
      <c r="E4" s="5" t="s">
        <v>47</v>
      </c>
      <c r="F4" s="5" t="s">
        <v>24</v>
      </c>
      <c r="G4" s="5" t="s">
        <v>578</v>
      </c>
      <c r="H4" s="5" t="s">
        <v>582</v>
      </c>
      <c r="I4" s="5" t="s">
        <v>904</v>
      </c>
    </row>
    <row r="5" spans="1:9" x14ac:dyDescent="0.25">
      <c r="A5" s="14">
        <v>1</v>
      </c>
      <c r="B5" s="14" t="s">
        <v>591</v>
      </c>
      <c r="C5" s="14" t="s">
        <v>584</v>
      </c>
      <c r="D5" s="15">
        <v>22200</v>
      </c>
      <c r="E5" s="14">
        <v>10</v>
      </c>
      <c r="F5" s="14" t="s">
        <v>592</v>
      </c>
      <c r="G5" s="16">
        <v>0.1</v>
      </c>
      <c r="H5" s="17">
        <f t="shared" ref="H5:H68" si="0">ROUND(D5/MAX(E5,1),1)</f>
        <v>2220</v>
      </c>
      <c r="I5" s="14" t="s">
        <v>905</v>
      </c>
    </row>
    <row r="6" spans="1:9" x14ac:dyDescent="0.25">
      <c r="A6" s="14">
        <v>2</v>
      </c>
      <c r="B6" s="14" t="s">
        <v>590</v>
      </c>
      <c r="C6" s="14" t="s">
        <v>584</v>
      </c>
      <c r="D6" s="15">
        <v>27100</v>
      </c>
      <c r="E6" s="14">
        <v>15</v>
      </c>
      <c r="F6" s="14" t="s">
        <v>585</v>
      </c>
      <c r="G6" s="16">
        <v>0.04</v>
      </c>
      <c r="H6" s="17">
        <f t="shared" si="0"/>
        <v>1806.7</v>
      </c>
      <c r="I6" s="14" t="s">
        <v>905</v>
      </c>
    </row>
    <row r="7" spans="1:9" x14ac:dyDescent="0.25">
      <c r="A7" s="14">
        <v>3</v>
      </c>
      <c r="B7" s="14" t="s">
        <v>595</v>
      </c>
      <c r="C7" s="14" t="s">
        <v>77</v>
      </c>
      <c r="D7" s="15">
        <v>22200</v>
      </c>
      <c r="E7" s="14">
        <v>17</v>
      </c>
      <c r="F7" s="14" t="s">
        <v>596</v>
      </c>
      <c r="G7" s="16">
        <v>0.05</v>
      </c>
      <c r="H7" s="17">
        <f t="shared" si="0"/>
        <v>1305.9000000000001</v>
      </c>
      <c r="I7" s="14" t="s">
        <v>906</v>
      </c>
    </row>
    <row r="8" spans="1:9" x14ac:dyDescent="0.25">
      <c r="A8" s="14">
        <v>4</v>
      </c>
      <c r="B8" s="14" t="s">
        <v>601</v>
      </c>
      <c r="C8" s="14" t="s">
        <v>594</v>
      </c>
      <c r="D8" s="15">
        <v>14800</v>
      </c>
      <c r="E8" s="14">
        <v>13</v>
      </c>
      <c r="F8" s="14" t="s">
        <v>602</v>
      </c>
      <c r="G8" s="16">
        <v>0</v>
      </c>
      <c r="H8" s="17">
        <f t="shared" si="0"/>
        <v>1138.5</v>
      </c>
      <c r="I8" s="14" t="s">
        <v>905</v>
      </c>
    </row>
    <row r="9" spans="1:9" x14ac:dyDescent="0.25">
      <c r="A9" s="14">
        <v>5</v>
      </c>
      <c r="B9" s="14" t="s">
        <v>604</v>
      </c>
      <c r="C9" s="14" t="s">
        <v>77</v>
      </c>
      <c r="D9" s="15">
        <v>14800</v>
      </c>
      <c r="E9" s="14">
        <v>13</v>
      </c>
      <c r="F9" s="14" t="s">
        <v>585</v>
      </c>
      <c r="G9" s="16">
        <v>0.12</v>
      </c>
      <c r="H9" s="17">
        <f t="shared" si="0"/>
        <v>1138.5</v>
      </c>
      <c r="I9" s="14" t="s">
        <v>906</v>
      </c>
    </row>
    <row r="10" spans="1:9" x14ac:dyDescent="0.25">
      <c r="A10" s="14">
        <v>6</v>
      </c>
      <c r="B10" s="14" t="s">
        <v>593</v>
      </c>
      <c r="C10" s="14" t="s">
        <v>594</v>
      </c>
      <c r="D10" s="15">
        <v>22200</v>
      </c>
      <c r="E10" s="14">
        <v>20</v>
      </c>
      <c r="F10" s="14" t="s">
        <v>585</v>
      </c>
      <c r="G10" s="16">
        <v>0</v>
      </c>
      <c r="H10" s="17">
        <f t="shared" si="0"/>
        <v>1110</v>
      </c>
      <c r="I10" s="14" t="s">
        <v>906</v>
      </c>
    </row>
    <row r="11" spans="1:9" x14ac:dyDescent="0.25">
      <c r="A11" s="14">
        <v>7</v>
      </c>
      <c r="B11" s="14" t="s">
        <v>613</v>
      </c>
      <c r="C11" s="14" t="s">
        <v>584</v>
      </c>
      <c r="D11" s="15">
        <v>9900</v>
      </c>
      <c r="E11" s="14">
        <v>10</v>
      </c>
      <c r="F11" s="14" t="s">
        <v>585</v>
      </c>
      <c r="G11" s="16">
        <v>0.13</v>
      </c>
      <c r="H11" s="17">
        <f t="shared" si="0"/>
        <v>990</v>
      </c>
      <c r="I11" s="14" t="s">
        <v>906</v>
      </c>
    </row>
    <row r="12" spans="1:9" x14ac:dyDescent="0.25">
      <c r="A12" s="14">
        <v>8</v>
      </c>
      <c r="B12" s="14" t="s">
        <v>603</v>
      </c>
      <c r="C12" s="14" t="s">
        <v>594</v>
      </c>
      <c r="D12" s="15">
        <v>14800</v>
      </c>
      <c r="E12" s="14">
        <v>15</v>
      </c>
      <c r="F12" s="14" t="s">
        <v>585</v>
      </c>
      <c r="G12" s="16">
        <v>0.31</v>
      </c>
      <c r="H12" s="17">
        <f t="shared" si="0"/>
        <v>986.7</v>
      </c>
      <c r="I12" s="14" t="s">
        <v>906</v>
      </c>
    </row>
    <row r="13" spans="1:9" x14ac:dyDescent="0.25">
      <c r="A13" s="14">
        <v>9</v>
      </c>
      <c r="B13" s="14" t="s">
        <v>600</v>
      </c>
      <c r="C13" s="14" t="s">
        <v>170</v>
      </c>
      <c r="D13" s="15">
        <v>14800</v>
      </c>
      <c r="E13" s="14">
        <v>17</v>
      </c>
      <c r="F13" s="14" t="s">
        <v>585</v>
      </c>
      <c r="G13" s="16">
        <v>0</v>
      </c>
      <c r="H13" s="17">
        <f t="shared" si="0"/>
        <v>870.6</v>
      </c>
      <c r="I13" s="14" t="s">
        <v>906</v>
      </c>
    </row>
    <row r="14" spans="1:9" x14ac:dyDescent="0.25">
      <c r="A14" s="14">
        <v>10</v>
      </c>
      <c r="B14" s="14" t="s">
        <v>608</v>
      </c>
      <c r="C14" s="14" t="s">
        <v>584</v>
      </c>
      <c r="D14" s="15">
        <v>12100</v>
      </c>
      <c r="E14" s="14">
        <v>14</v>
      </c>
      <c r="F14" s="14" t="s">
        <v>592</v>
      </c>
      <c r="G14" s="16">
        <v>0.22</v>
      </c>
      <c r="H14" s="17">
        <f t="shared" si="0"/>
        <v>864.3</v>
      </c>
      <c r="I14" s="14" t="s">
        <v>905</v>
      </c>
    </row>
    <row r="15" spans="1:9" x14ac:dyDescent="0.25">
      <c r="A15" s="14">
        <v>11</v>
      </c>
      <c r="B15" s="14" t="s">
        <v>614</v>
      </c>
      <c r="C15" s="14" t="s">
        <v>210</v>
      </c>
      <c r="D15" s="15">
        <v>8100</v>
      </c>
      <c r="E15" s="14">
        <v>10</v>
      </c>
      <c r="F15" s="14" t="s">
        <v>585</v>
      </c>
      <c r="G15" s="16">
        <v>0.13</v>
      </c>
      <c r="H15" s="17">
        <f t="shared" si="0"/>
        <v>810</v>
      </c>
      <c r="I15" s="14" t="s">
        <v>906</v>
      </c>
    </row>
    <row r="16" spans="1:9" x14ac:dyDescent="0.25">
      <c r="A16" s="14">
        <v>12</v>
      </c>
      <c r="B16" s="14" t="s">
        <v>622</v>
      </c>
      <c r="C16" s="14" t="s">
        <v>77</v>
      </c>
      <c r="D16" s="15">
        <v>8100</v>
      </c>
      <c r="E16" s="14">
        <v>10</v>
      </c>
      <c r="F16" s="14" t="s">
        <v>602</v>
      </c>
      <c r="G16" s="16">
        <v>0.08</v>
      </c>
      <c r="H16" s="17">
        <f t="shared" si="0"/>
        <v>810</v>
      </c>
      <c r="I16" s="14" t="s">
        <v>905</v>
      </c>
    </row>
    <row r="17" spans="1:9" x14ac:dyDescent="0.25">
      <c r="A17" s="14">
        <v>13</v>
      </c>
      <c r="B17" s="14" t="s">
        <v>607</v>
      </c>
      <c r="C17" s="14" t="s">
        <v>584</v>
      </c>
      <c r="D17" s="15">
        <v>12100</v>
      </c>
      <c r="E17" s="14">
        <v>15</v>
      </c>
      <c r="F17" s="14" t="s">
        <v>592</v>
      </c>
      <c r="G17" s="16">
        <v>0.05</v>
      </c>
      <c r="H17" s="17">
        <f t="shared" si="0"/>
        <v>806.7</v>
      </c>
      <c r="I17" s="14" t="s">
        <v>905</v>
      </c>
    </row>
    <row r="18" spans="1:9" x14ac:dyDescent="0.25">
      <c r="A18" s="14">
        <v>14</v>
      </c>
      <c r="B18" s="14" t="s">
        <v>599</v>
      </c>
      <c r="C18" s="14" t="s">
        <v>584</v>
      </c>
      <c r="D18" s="15">
        <v>14800</v>
      </c>
      <c r="E18" s="14">
        <v>19</v>
      </c>
      <c r="F18" s="14" t="s">
        <v>585</v>
      </c>
      <c r="G18" s="16">
        <v>0.04</v>
      </c>
      <c r="H18" s="17">
        <f t="shared" si="0"/>
        <v>778.9</v>
      </c>
      <c r="I18" s="14" t="s">
        <v>906</v>
      </c>
    </row>
    <row r="19" spans="1:9" x14ac:dyDescent="0.25">
      <c r="A19" s="14">
        <v>15</v>
      </c>
      <c r="B19" s="14" t="s">
        <v>606</v>
      </c>
      <c r="C19" s="14" t="s">
        <v>210</v>
      </c>
      <c r="D19" s="15">
        <v>12100</v>
      </c>
      <c r="E19" s="14">
        <v>20</v>
      </c>
      <c r="F19" s="14" t="s">
        <v>585</v>
      </c>
      <c r="G19" s="16">
        <v>0.08</v>
      </c>
      <c r="H19" s="17">
        <f t="shared" si="0"/>
        <v>605</v>
      </c>
      <c r="I19" s="14" t="s">
        <v>906</v>
      </c>
    </row>
    <row r="20" spans="1:9" x14ac:dyDescent="0.25">
      <c r="A20" s="14">
        <v>16</v>
      </c>
      <c r="B20" s="14" t="s">
        <v>618</v>
      </c>
      <c r="C20" s="14" t="s">
        <v>584</v>
      </c>
      <c r="D20" s="15">
        <v>8100</v>
      </c>
      <c r="E20" s="14">
        <v>14</v>
      </c>
      <c r="F20" s="14" t="s">
        <v>602</v>
      </c>
      <c r="G20" s="16">
        <v>0.11</v>
      </c>
      <c r="H20" s="17">
        <f t="shared" si="0"/>
        <v>578.6</v>
      </c>
      <c r="I20" s="14" t="s">
        <v>905</v>
      </c>
    </row>
    <row r="21" spans="1:9" x14ac:dyDescent="0.25">
      <c r="A21" s="14">
        <v>17</v>
      </c>
      <c r="B21" s="14" t="s">
        <v>621</v>
      </c>
      <c r="C21" s="14" t="s">
        <v>77</v>
      </c>
      <c r="D21" s="15">
        <v>8100</v>
      </c>
      <c r="E21" s="14">
        <v>14</v>
      </c>
      <c r="F21" s="14" t="s">
        <v>585</v>
      </c>
      <c r="G21" s="16">
        <v>0.03</v>
      </c>
      <c r="H21" s="17">
        <f t="shared" si="0"/>
        <v>578.6</v>
      </c>
      <c r="I21" s="14" t="s">
        <v>906</v>
      </c>
    </row>
    <row r="22" spans="1:9" x14ac:dyDescent="0.25">
      <c r="A22" s="14">
        <v>18</v>
      </c>
      <c r="B22" s="14" t="s">
        <v>516</v>
      </c>
      <c r="C22" s="14" t="s">
        <v>605</v>
      </c>
      <c r="D22" s="15">
        <v>4400</v>
      </c>
      <c r="E22" s="14">
        <v>8</v>
      </c>
      <c r="F22" s="14" t="s">
        <v>592</v>
      </c>
      <c r="G22" s="16">
        <v>0.08</v>
      </c>
      <c r="H22" s="17">
        <f t="shared" si="0"/>
        <v>550</v>
      </c>
      <c r="I22" s="14" t="s">
        <v>905</v>
      </c>
    </row>
    <row r="23" spans="1:9" x14ac:dyDescent="0.25">
      <c r="A23" s="14">
        <v>19</v>
      </c>
      <c r="B23" s="14" t="s">
        <v>140</v>
      </c>
      <c r="C23" s="14" t="s">
        <v>170</v>
      </c>
      <c r="D23" s="15">
        <v>6600</v>
      </c>
      <c r="E23" s="14">
        <v>12</v>
      </c>
      <c r="F23" s="14" t="s">
        <v>602</v>
      </c>
      <c r="G23" s="16">
        <v>0.04</v>
      </c>
      <c r="H23" s="17">
        <f t="shared" si="0"/>
        <v>550</v>
      </c>
      <c r="I23" s="14" t="s">
        <v>905</v>
      </c>
    </row>
    <row r="24" spans="1:9" x14ac:dyDescent="0.25">
      <c r="A24" s="14">
        <v>20</v>
      </c>
      <c r="B24" s="14" t="s">
        <v>630</v>
      </c>
      <c r="C24" s="14" t="s">
        <v>584</v>
      </c>
      <c r="D24" s="15">
        <v>6600</v>
      </c>
      <c r="E24" s="14">
        <v>12</v>
      </c>
      <c r="F24" s="14" t="s">
        <v>602</v>
      </c>
      <c r="G24" s="16">
        <v>0.04</v>
      </c>
      <c r="H24" s="17">
        <f t="shared" si="0"/>
        <v>550</v>
      </c>
      <c r="I24" s="14" t="s">
        <v>905</v>
      </c>
    </row>
    <row r="25" spans="1:9" x14ac:dyDescent="0.25">
      <c r="A25" s="6">
        <v>21</v>
      </c>
      <c r="B25" s="6" t="s">
        <v>660</v>
      </c>
      <c r="C25" s="6" t="s">
        <v>77</v>
      </c>
      <c r="D25" s="7">
        <v>4400</v>
      </c>
      <c r="E25" s="6">
        <v>8</v>
      </c>
      <c r="F25" s="6" t="s">
        <v>585</v>
      </c>
      <c r="G25" s="11">
        <v>0.05</v>
      </c>
      <c r="H25" s="12">
        <f t="shared" si="0"/>
        <v>550</v>
      </c>
      <c r="I25" s="6" t="s">
        <v>906</v>
      </c>
    </row>
    <row r="26" spans="1:9" x14ac:dyDescent="0.25">
      <c r="A26" s="6">
        <v>22</v>
      </c>
      <c r="B26" s="6" t="s">
        <v>641</v>
      </c>
      <c r="C26" s="6" t="s">
        <v>639</v>
      </c>
      <c r="D26" s="7">
        <v>6600</v>
      </c>
      <c r="E26" s="6">
        <v>12</v>
      </c>
      <c r="F26" s="6" t="s">
        <v>602</v>
      </c>
      <c r="G26" s="11">
        <v>0.02</v>
      </c>
      <c r="H26" s="12">
        <f t="shared" si="0"/>
        <v>550</v>
      </c>
      <c r="I26" s="6" t="s">
        <v>905</v>
      </c>
    </row>
    <row r="27" spans="1:9" x14ac:dyDescent="0.25">
      <c r="A27" s="6">
        <v>23</v>
      </c>
      <c r="B27" s="6" t="s">
        <v>109</v>
      </c>
      <c r="C27" s="6" t="s">
        <v>77</v>
      </c>
      <c r="D27" s="7">
        <v>6600</v>
      </c>
      <c r="E27" s="6">
        <v>13</v>
      </c>
      <c r="F27" s="6" t="s">
        <v>602</v>
      </c>
      <c r="G27" s="11">
        <v>0.03</v>
      </c>
      <c r="H27" s="12">
        <f t="shared" si="0"/>
        <v>507.7</v>
      </c>
      <c r="I27" s="6" t="s">
        <v>905</v>
      </c>
    </row>
    <row r="28" spans="1:9" x14ac:dyDescent="0.25">
      <c r="A28" s="6">
        <v>24</v>
      </c>
      <c r="B28" s="6" t="s">
        <v>664</v>
      </c>
      <c r="C28" s="6" t="s">
        <v>77</v>
      </c>
      <c r="D28" s="7">
        <v>4400</v>
      </c>
      <c r="E28" s="6">
        <v>9</v>
      </c>
      <c r="F28" s="6" t="s">
        <v>585</v>
      </c>
      <c r="G28" s="11">
        <v>0.04</v>
      </c>
      <c r="H28" s="12">
        <f t="shared" si="0"/>
        <v>488.9</v>
      </c>
      <c r="I28" s="6" t="s">
        <v>906</v>
      </c>
    </row>
    <row r="29" spans="1:9" x14ac:dyDescent="0.25">
      <c r="A29" s="6">
        <v>25</v>
      </c>
      <c r="B29" s="6" t="s">
        <v>631</v>
      </c>
      <c r="C29" s="6" t="s">
        <v>584</v>
      </c>
      <c r="D29" s="7">
        <v>6600</v>
      </c>
      <c r="E29" s="6">
        <v>14</v>
      </c>
      <c r="F29" s="6" t="s">
        <v>592</v>
      </c>
      <c r="G29" s="11">
        <v>0.13</v>
      </c>
      <c r="H29" s="12">
        <f t="shared" si="0"/>
        <v>471.4</v>
      </c>
      <c r="I29" s="6" t="s">
        <v>906</v>
      </c>
    </row>
    <row r="30" spans="1:9" x14ac:dyDescent="0.25">
      <c r="A30" s="6">
        <v>26</v>
      </c>
      <c r="B30" s="6" t="s">
        <v>632</v>
      </c>
      <c r="C30" s="6" t="s">
        <v>584</v>
      </c>
      <c r="D30" s="7">
        <v>6600</v>
      </c>
      <c r="E30" s="6">
        <v>14</v>
      </c>
      <c r="F30" s="6" t="s">
        <v>585</v>
      </c>
      <c r="G30" s="11">
        <v>0.21</v>
      </c>
      <c r="H30" s="12">
        <f t="shared" si="0"/>
        <v>471.4</v>
      </c>
      <c r="I30" s="6" t="s">
        <v>906</v>
      </c>
    </row>
    <row r="31" spans="1:9" x14ac:dyDescent="0.25">
      <c r="A31" s="6">
        <v>27</v>
      </c>
      <c r="B31" s="6" t="s">
        <v>640</v>
      </c>
      <c r="C31" s="6" t="s">
        <v>639</v>
      </c>
      <c r="D31" s="7">
        <v>6600</v>
      </c>
      <c r="E31" s="6">
        <v>14</v>
      </c>
      <c r="F31" s="6" t="s">
        <v>596</v>
      </c>
      <c r="G31" s="11">
        <v>0.03</v>
      </c>
      <c r="H31" s="12">
        <f t="shared" si="0"/>
        <v>471.4</v>
      </c>
      <c r="I31" s="6" t="s">
        <v>906</v>
      </c>
    </row>
    <row r="32" spans="1:9" x14ac:dyDescent="0.25">
      <c r="A32" s="6">
        <v>28</v>
      </c>
      <c r="B32" s="6" t="s">
        <v>650</v>
      </c>
      <c r="C32" s="6" t="s">
        <v>77</v>
      </c>
      <c r="D32" s="7">
        <v>5400</v>
      </c>
      <c r="E32" s="6">
        <v>13</v>
      </c>
      <c r="F32" s="6" t="s">
        <v>651</v>
      </c>
      <c r="G32" s="11">
        <v>0.13</v>
      </c>
      <c r="H32" s="12">
        <f t="shared" si="0"/>
        <v>415.4</v>
      </c>
      <c r="I32" s="6" t="s">
        <v>906</v>
      </c>
    </row>
    <row r="33" spans="1:9" x14ac:dyDescent="0.25">
      <c r="A33" s="6">
        <v>29</v>
      </c>
      <c r="B33" s="6" t="s">
        <v>694</v>
      </c>
      <c r="C33" s="6" t="s">
        <v>605</v>
      </c>
      <c r="D33" s="7">
        <v>2900</v>
      </c>
      <c r="E33" s="6">
        <v>7</v>
      </c>
      <c r="F33" s="6" t="s">
        <v>585</v>
      </c>
      <c r="G33" s="11">
        <v>0.13</v>
      </c>
      <c r="H33" s="12">
        <f t="shared" si="0"/>
        <v>414.3</v>
      </c>
      <c r="I33" s="6" t="s">
        <v>907</v>
      </c>
    </row>
    <row r="34" spans="1:9" x14ac:dyDescent="0.25">
      <c r="A34" s="6">
        <v>30</v>
      </c>
      <c r="B34" s="6" t="s">
        <v>627</v>
      </c>
      <c r="C34" s="6" t="s">
        <v>170</v>
      </c>
      <c r="D34" s="7">
        <v>6600</v>
      </c>
      <c r="E34" s="6">
        <v>16</v>
      </c>
      <c r="F34" s="6" t="s">
        <v>585</v>
      </c>
      <c r="G34" s="11">
        <v>0.19</v>
      </c>
      <c r="H34" s="12">
        <f t="shared" si="0"/>
        <v>412.5</v>
      </c>
      <c r="I34" s="6" t="s">
        <v>906</v>
      </c>
    </row>
    <row r="35" spans="1:9" x14ac:dyDescent="0.25">
      <c r="A35" s="6">
        <v>31</v>
      </c>
      <c r="B35" s="6" t="s">
        <v>615</v>
      </c>
      <c r="C35" s="6" t="s">
        <v>584</v>
      </c>
      <c r="D35" s="7">
        <v>8100</v>
      </c>
      <c r="E35" s="6">
        <v>20</v>
      </c>
      <c r="F35" s="6" t="s">
        <v>602</v>
      </c>
      <c r="G35" s="11">
        <v>7.0000000000000007E-2</v>
      </c>
      <c r="H35" s="12">
        <f t="shared" si="0"/>
        <v>405</v>
      </c>
      <c r="I35" s="6" t="s">
        <v>905</v>
      </c>
    </row>
    <row r="36" spans="1:9" x14ac:dyDescent="0.25">
      <c r="A36" s="6">
        <v>32</v>
      </c>
      <c r="B36" s="6" t="s">
        <v>255</v>
      </c>
      <c r="C36" s="6" t="s">
        <v>584</v>
      </c>
      <c r="D36" s="7">
        <v>8100</v>
      </c>
      <c r="E36" s="6">
        <v>20</v>
      </c>
      <c r="F36" s="6" t="s">
        <v>616</v>
      </c>
      <c r="G36" s="11">
        <v>0.12</v>
      </c>
      <c r="H36" s="12">
        <f t="shared" si="0"/>
        <v>405</v>
      </c>
      <c r="I36" s="6" t="s">
        <v>907</v>
      </c>
    </row>
    <row r="37" spans="1:9" x14ac:dyDescent="0.25">
      <c r="A37" s="6">
        <v>33</v>
      </c>
      <c r="B37" s="6" t="s">
        <v>551</v>
      </c>
      <c r="C37" s="6" t="s">
        <v>584</v>
      </c>
      <c r="D37" s="7">
        <v>8100</v>
      </c>
      <c r="E37" s="6">
        <v>20</v>
      </c>
      <c r="F37" s="6" t="s">
        <v>602</v>
      </c>
      <c r="G37" s="11">
        <v>0.1</v>
      </c>
      <c r="H37" s="12">
        <f t="shared" si="0"/>
        <v>405</v>
      </c>
      <c r="I37" s="6" t="s">
        <v>905</v>
      </c>
    </row>
    <row r="38" spans="1:9" x14ac:dyDescent="0.25">
      <c r="A38" s="6">
        <v>34</v>
      </c>
      <c r="B38" s="6" t="s">
        <v>619</v>
      </c>
      <c r="C38" s="6" t="s">
        <v>584</v>
      </c>
      <c r="D38" s="7">
        <v>8100</v>
      </c>
      <c r="E38" s="6">
        <v>20</v>
      </c>
      <c r="F38" s="6" t="s">
        <v>585</v>
      </c>
      <c r="G38" s="11">
        <v>0.09</v>
      </c>
      <c r="H38" s="12">
        <f t="shared" si="0"/>
        <v>405</v>
      </c>
      <c r="I38" s="6" t="s">
        <v>906</v>
      </c>
    </row>
    <row r="39" spans="1:9" x14ac:dyDescent="0.25">
      <c r="A39" s="6">
        <v>35</v>
      </c>
      <c r="B39" s="6" t="s">
        <v>722</v>
      </c>
      <c r="C39" s="6" t="s">
        <v>588</v>
      </c>
      <c r="D39" s="7">
        <v>2400</v>
      </c>
      <c r="E39" s="6">
        <v>6</v>
      </c>
      <c r="F39" s="6" t="s">
        <v>585</v>
      </c>
      <c r="G39" s="11">
        <v>0.03</v>
      </c>
      <c r="H39" s="12">
        <f t="shared" si="0"/>
        <v>400</v>
      </c>
      <c r="I39" s="6" t="s">
        <v>906</v>
      </c>
    </row>
    <row r="40" spans="1:9" x14ac:dyDescent="0.25">
      <c r="A40" s="6">
        <v>36</v>
      </c>
      <c r="B40" s="6" t="s">
        <v>532</v>
      </c>
      <c r="C40" s="6" t="s">
        <v>77</v>
      </c>
      <c r="D40" s="7">
        <v>6600</v>
      </c>
      <c r="E40" s="6">
        <v>17</v>
      </c>
      <c r="F40" s="6" t="s">
        <v>585</v>
      </c>
      <c r="G40" s="11">
        <v>0.13</v>
      </c>
      <c r="H40" s="12">
        <f t="shared" si="0"/>
        <v>388.2</v>
      </c>
      <c r="I40" s="6" t="s">
        <v>906</v>
      </c>
    </row>
    <row r="41" spans="1:9" x14ac:dyDescent="0.25">
      <c r="A41" s="6">
        <v>37</v>
      </c>
      <c r="B41" s="6" t="s">
        <v>196</v>
      </c>
      <c r="C41" s="6" t="s">
        <v>644</v>
      </c>
      <c r="D41" s="7">
        <v>4400</v>
      </c>
      <c r="E41" s="6">
        <v>12</v>
      </c>
      <c r="F41" s="6" t="s">
        <v>592</v>
      </c>
      <c r="G41" s="11">
        <v>0.16</v>
      </c>
      <c r="H41" s="12">
        <f t="shared" si="0"/>
        <v>366.7</v>
      </c>
      <c r="I41" s="6" t="s">
        <v>906</v>
      </c>
    </row>
    <row r="42" spans="1:9" x14ac:dyDescent="0.25">
      <c r="A42" s="6">
        <v>38</v>
      </c>
      <c r="B42" s="6" t="s">
        <v>626</v>
      </c>
      <c r="C42" s="6" t="s">
        <v>210</v>
      </c>
      <c r="D42" s="7">
        <v>6600</v>
      </c>
      <c r="E42" s="6">
        <v>18</v>
      </c>
      <c r="F42" s="6" t="s">
        <v>585</v>
      </c>
      <c r="G42" s="11">
        <v>0.12</v>
      </c>
      <c r="H42" s="12">
        <f t="shared" si="0"/>
        <v>366.7</v>
      </c>
      <c r="I42" s="6" t="s">
        <v>906</v>
      </c>
    </row>
    <row r="43" spans="1:9" x14ac:dyDescent="0.25">
      <c r="A43" s="6">
        <v>39</v>
      </c>
      <c r="B43" s="6" t="s">
        <v>697</v>
      </c>
      <c r="C43" s="6" t="s">
        <v>605</v>
      </c>
      <c r="D43" s="7">
        <v>2900</v>
      </c>
      <c r="E43" s="6">
        <v>8</v>
      </c>
      <c r="F43" s="6" t="s">
        <v>602</v>
      </c>
      <c r="G43" s="11">
        <v>0.04</v>
      </c>
      <c r="H43" s="12">
        <f t="shared" si="0"/>
        <v>362.5</v>
      </c>
      <c r="I43" s="6" t="s">
        <v>905</v>
      </c>
    </row>
    <row r="44" spans="1:9" x14ac:dyDescent="0.25">
      <c r="A44" s="6">
        <v>40</v>
      </c>
      <c r="B44" s="6" t="s">
        <v>638</v>
      </c>
      <c r="C44" s="6" t="s">
        <v>639</v>
      </c>
      <c r="D44" s="7">
        <v>6600</v>
      </c>
      <c r="E44" s="6">
        <v>19</v>
      </c>
      <c r="F44" s="6" t="s">
        <v>596</v>
      </c>
      <c r="G44" s="11">
        <v>0.19</v>
      </c>
      <c r="H44" s="12">
        <f t="shared" si="0"/>
        <v>347.4</v>
      </c>
      <c r="I44" s="6" t="s">
        <v>906</v>
      </c>
    </row>
    <row r="45" spans="1:9" x14ac:dyDescent="0.25">
      <c r="A45" s="6">
        <v>41</v>
      </c>
      <c r="B45" s="6" t="s">
        <v>642</v>
      </c>
      <c r="C45" s="6" t="s">
        <v>40</v>
      </c>
      <c r="D45" s="7">
        <v>6600</v>
      </c>
      <c r="E45" s="6">
        <v>19</v>
      </c>
      <c r="F45" s="6" t="s">
        <v>589</v>
      </c>
      <c r="G45" s="11">
        <v>0.13</v>
      </c>
      <c r="H45" s="12">
        <f t="shared" si="0"/>
        <v>347.4</v>
      </c>
      <c r="I45" s="6" t="s">
        <v>908</v>
      </c>
    </row>
    <row r="46" spans="1:9" x14ac:dyDescent="0.25">
      <c r="A46" s="6">
        <v>42</v>
      </c>
      <c r="B46" s="6" t="s">
        <v>663</v>
      </c>
      <c r="C46" s="6" t="s">
        <v>77</v>
      </c>
      <c r="D46" s="7">
        <v>4400</v>
      </c>
      <c r="E46" s="6">
        <v>13</v>
      </c>
      <c r="F46" s="6" t="s">
        <v>602</v>
      </c>
      <c r="G46" s="11">
        <v>0.08</v>
      </c>
      <c r="H46" s="12">
        <f t="shared" si="0"/>
        <v>338.5</v>
      </c>
      <c r="I46" s="6" t="s">
        <v>905</v>
      </c>
    </row>
    <row r="47" spans="1:9" x14ac:dyDescent="0.25">
      <c r="A47" s="6">
        <v>43</v>
      </c>
      <c r="B47" s="6" t="s">
        <v>665</v>
      </c>
      <c r="C47" s="6" t="s">
        <v>77</v>
      </c>
      <c r="D47" s="7">
        <v>4400</v>
      </c>
      <c r="E47" s="6">
        <v>13</v>
      </c>
      <c r="F47" s="6" t="s">
        <v>585</v>
      </c>
      <c r="G47" s="11">
        <v>0.2</v>
      </c>
      <c r="H47" s="12">
        <f t="shared" si="0"/>
        <v>338.5</v>
      </c>
      <c r="I47" s="6" t="s">
        <v>906</v>
      </c>
    </row>
    <row r="48" spans="1:9" x14ac:dyDescent="0.25">
      <c r="A48" s="6">
        <v>44</v>
      </c>
      <c r="B48" s="6" t="s">
        <v>666</v>
      </c>
      <c r="C48" s="6" t="s">
        <v>639</v>
      </c>
      <c r="D48" s="7">
        <v>4400</v>
      </c>
      <c r="E48" s="6">
        <v>13</v>
      </c>
      <c r="F48" s="6" t="s">
        <v>585</v>
      </c>
      <c r="G48" s="11">
        <v>0.04</v>
      </c>
      <c r="H48" s="12">
        <f t="shared" si="0"/>
        <v>338.5</v>
      </c>
      <c r="I48" s="6" t="s">
        <v>906</v>
      </c>
    </row>
    <row r="49" spans="1:9" x14ac:dyDescent="0.25">
      <c r="A49" s="6">
        <v>45</v>
      </c>
      <c r="B49" s="6" t="s">
        <v>635</v>
      </c>
      <c r="C49" s="6" t="s">
        <v>77</v>
      </c>
      <c r="D49" s="7">
        <v>6600</v>
      </c>
      <c r="E49" s="6">
        <v>20</v>
      </c>
      <c r="F49" s="6" t="s">
        <v>602</v>
      </c>
      <c r="G49" s="11">
        <v>0.22</v>
      </c>
      <c r="H49" s="12">
        <f t="shared" si="0"/>
        <v>330</v>
      </c>
      <c r="I49" s="6" t="s">
        <v>909</v>
      </c>
    </row>
    <row r="50" spans="1:9" x14ac:dyDescent="0.25">
      <c r="A50" s="6">
        <v>46</v>
      </c>
      <c r="B50" s="6" t="s">
        <v>185</v>
      </c>
      <c r="C50" s="6" t="s">
        <v>644</v>
      </c>
      <c r="D50" s="7">
        <v>3600</v>
      </c>
      <c r="E50" s="6">
        <v>11</v>
      </c>
      <c r="F50" s="6" t="s">
        <v>585</v>
      </c>
      <c r="G50" s="11">
        <v>0.17</v>
      </c>
      <c r="H50" s="12">
        <f t="shared" si="0"/>
        <v>327.3</v>
      </c>
      <c r="I50" s="6" t="s">
        <v>906</v>
      </c>
    </row>
    <row r="51" spans="1:9" x14ac:dyDescent="0.25">
      <c r="A51" s="6">
        <v>47</v>
      </c>
      <c r="B51" s="6" t="s">
        <v>707</v>
      </c>
      <c r="C51" s="6" t="s">
        <v>77</v>
      </c>
      <c r="D51" s="7">
        <v>2900</v>
      </c>
      <c r="E51" s="6">
        <v>9</v>
      </c>
      <c r="F51" s="6" t="s">
        <v>585</v>
      </c>
      <c r="G51" s="11">
        <v>0.14000000000000001</v>
      </c>
      <c r="H51" s="12">
        <f t="shared" si="0"/>
        <v>322.2</v>
      </c>
      <c r="I51" s="6" t="s">
        <v>906</v>
      </c>
    </row>
    <row r="52" spans="1:9" x14ac:dyDescent="0.25">
      <c r="A52" s="6">
        <v>48</v>
      </c>
      <c r="B52" s="6" t="s">
        <v>567</v>
      </c>
      <c r="C52" s="6" t="s">
        <v>170</v>
      </c>
      <c r="D52" s="7">
        <v>5400</v>
      </c>
      <c r="E52" s="6">
        <v>17</v>
      </c>
      <c r="F52" s="6" t="s">
        <v>585</v>
      </c>
      <c r="G52" s="11">
        <v>0.18</v>
      </c>
      <c r="H52" s="12">
        <f t="shared" si="0"/>
        <v>317.60000000000002</v>
      </c>
      <c r="I52" s="6" t="s">
        <v>906</v>
      </c>
    </row>
    <row r="53" spans="1:9" x14ac:dyDescent="0.25">
      <c r="A53" s="6">
        <v>49</v>
      </c>
      <c r="B53" s="6" t="s">
        <v>381</v>
      </c>
      <c r="C53" s="6" t="s">
        <v>210</v>
      </c>
      <c r="D53" s="7">
        <v>4400</v>
      </c>
      <c r="E53" s="6">
        <v>14</v>
      </c>
      <c r="F53" s="6" t="s">
        <v>592</v>
      </c>
      <c r="G53" s="11">
        <v>0.11</v>
      </c>
      <c r="H53" s="12">
        <f t="shared" si="0"/>
        <v>314.3</v>
      </c>
      <c r="I53" s="6" t="s">
        <v>907</v>
      </c>
    </row>
    <row r="54" spans="1:9" x14ac:dyDescent="0.25">
      <c r="A54" s="6">
        <v>50</v>
      </c>
      <c r="B54" s="6" t="s">
        <v>674</v>
      </c>
      <c r="C54" s="6" t="s">
        <v>170</v>
      </c>
      <c r="D54" s="7">
        <v>3600</v>
      </c>
      <c r="E54" s="6">
        <v>12</v>
      </c>
      <c r="F54" s="6" t="s">
        <v>585</v>
      </c>
      <c r="G54" s="11">
        <v>0.03</v>
      </c>
      <c r="H54" s="12">
        <f t="shared" si="0"/>
        <v>300</v>
      </c>
      <c r="I54" s="6" t="s">
        <v>905</v>
      </c>
    </row>
    <row r="55" spans="1:9" x14ac:dyDescent="0.25">
      <c r="A55" s="6">
        <v>51</v>
      </c>
      <c r="B55" s="6" t="s">
        <v>676</v>
      </c>
      <c r="C55" s="6" t="s">
        <v>77</v>
      </c>
      <c r="D55" s="7">
        <v>3600</v>
      </c>
      <c r="E55" s="6">
        <v>12</v>
      </c>
      <c r="F55" s="6" t="s">
        <v>585</v>
      </c>
      <c r="G55" s="11">
        <v>0.13</v>
      </c>
      <c r="H55" s="12">
        <f t="shared" si="0"/>
        <v>300</v>
      </c>
      <c r="I55" s="6" t="s">
        <v>906</v>
      </c>
    </row>
    <row r="56" spans="1:9" x14ac:dyDescent="0.25">
      <c r="A56" s="6">
        <v>52</v>
      </c>
      <c r="B56" s="6" t="s">
        <v>687</v>
      </c>
      <c r="C56" s="6" t="s">
        <v>639</v>
      </c>
      <c r="D56" s="7">
        <v>3600</v>
      </c>
      <c r="E56" s="6">
        <v>12</v>
      </c>
      <c r="F56" s="6" t="s">
        <v>602</v>
      </c>
      <c r="G56" s="11">
        <v>0.02</v>
      </c>
      <c r="H56" s="12">
        <f t="shared" si="0"/>
        <v>300</v>
      </c>
      <c r="I56" s="6" t="s">
        <v>905</v>
      </c>
    </row>
    <row r="57" spans="1:9" x14ac:dyDescent="0.25">
      <c r="A57" s="6">
        <v>53</v>
      </c>
      <c r="B57" s="6" t="s">
        <v>510</v>
      </c>
      <c r="C57" s="6" t="s">
        <v>644</v>
      </c>
      <c r="D57" s="7">
        <v>4400</v>
      </c>
      <c r="E57" s="6">
        <v>15</v>
      </c>
      <c r="F57" s="6" t="s">
        <v>602</v>
      </c>
      <c r="G57" s="11">
        <v>0.13</v>
      </c>
      <c r="H57" s="12">
        <f t="shared" si="0"/>
        <v>293.3</v>
      </c>
      <c r="I57" s="6" t="s">
        <v>905</v>
      </c>
    </row>
    <row r="58" spans="1:9" x14ac:dyDescent="0.25">
      <c r="A58" s="6">
        <v>54</v>
      </c>
      <c r="B58" s="6" t="s">
        <v>655</v>
      </c>
      <c r="C58" s="6" t="s">
        <v>605</v>
      </c>
      <c r="D58" s="7">
        <v>4400</v>
      </c>
      <c r="E58" s="6">
        <v>15</v>
      </c>
      <c r="F58" s="6" t="s">
        <v>602</v>
      </c>
      <c r="G58" s="11">
        <v>0.04</v>
      </c>
      <c r="H58" s="12">
        <f t="shared" si="0"/>
        <v>293.3</v>
      </c>
      <c r="I58" s="6" t="s">
        <v>905</v>
      </c>
    </row>
    <row r="59" spans="1:9" x14ac:dyDescent="0.25">
      <c r="A59" s="6">
        <v>55</v>
      </c>
      <c r="B59" s="6" t="s">
        <v>643</v>
      </c>
      <c r="C59" s="6" t="s">
        <v>644</v>
      </c>
      <c r="D59" s="7">
        <v>5400</v>
      </c>
      <c r="E59" s="6">
        <v>19</v>
      </c>
      <c r="F59" s="6" t="s">
        <v>585</v>
      </c>
      <c r="G59" s="11">
        <v>0.04</v>
      </c>
      <c r="H59" s="12">
        <f t="shared" si="0"/>
        <v>284.2</v>
      </c>
      <c r="I59" s="6" t="s">
        <v>906</v>
      </c>
    </row>
    <row r="60" spans="1:9" x14ac:dyDescent="0.25">
      <c r="A60" s="6">
        <v>56</v>
      </c>
      <c r="B60" s="6" t="s">
        <v>649</v>
      </c>
      <c r="C60" s="6" t="s">
        <v>77</v>
      </c>
      <c r="D60" s="7">
        <v>5400</v>
      </c>
      <c r="E60" s="6">
        <v>19</v>
      </c>
      <c r="F60" s="6" t="s">
        <v>585</v>
      </c>
      <c r="G60" s="11">
        <v>0.09</v>
      </c>
      <c r="H60" s="12">
        <f t="shared" si="0"/>
        <v>284.2</v>
      </c>
      <c r="I60" s="6" t="s">
        <v>906</v>
      </c>
    </row>
    <row r="61" spans="1:9" x14ac:dyDescent="0.25">
      <c r="A61" s="6">
        <v>57</v>
      </c>
      <c r="B61" s="6" t="s">
        <v>177</v>
      </c>
      <c r="C61" s="6" t="s">
        <v>605</v>
      </c>
      <c r="D61" s="7">
        <v>3600</v>
      </c>
      <c r="E61" s="6">
        <v>13</v>
      </c>
      <c r="F61" s="6" t="s">
        <v>585</v>
      </c>
      <c r="G61" s="11">
        <v>0.04</v>
      </c>
      <c r="H61" s="12">
        <f t="shared" si="0"/>
        <v>276.89999999999998</v>
      </c>
      <c r="I61" s="6" t="s">
        <v>906</v>
      </c>
    </row>
    <row r="62" spans="1:9" x14ac:dyDescent="0.25">
      <c r="A62" s="6">
        <v>58</v>
      </c>
      <c r="B62" s="6" t="s">
        <v>680</v>
      </c>
      <c r="C62" s="6" t="s">
        <v>77</v>
      </c>
      <c r="D62" s="7">
        <v>3600</v>
      </c>
      <c r="E62" s="6">
        <v>13</v>
      </c>
      <c r="F62" s="6" t="s">
        <v>592</v>
      </c>
      <c r="G62" s="11">
        <v>0.02</v>
      </c>
      <c r="H62" s="12">
        <f t="shared" si="0"/>
        <v>276.89999999999998</v>
      </c>
      <c r="I62" s="6" t="s">
        <v>905</v>
      </c>
    </row>
    <row r="63" spans="1:9" x14ac:dyDescent="0.25">
      <c r="A63" s="6">
        <v>59</v>
      </c>
      <c r="B63" s="6" t="s">
        <v>684</v>
      </c>
      <c r="C63" s="6" t="s">
        <v>685</v>
      </c>
      <c r="D63" s="7">
        <v>3600</v>
      </c>
      <c r="E63" s="6">
        <v>13</v>
      </c>
      <c r="F63" s="6" t="s">
        <v>585</v>
      </c>
      <c r="G63" s="11">
        <v>0.17</v>
      </c>
      <c r="H63" s="12">
        <f t="shared" si="0"/>
        <v>276.89999999999998</v>
      </c>
      <c r="I63" s="6" t="s">
        <v>906</v>
      </c>
    </row>
    <row r="64" spans="1:9" x14ac:dyDescent="0.25">
      <c r="A64" s="6">
        <v>60</v>
      </c>
      <c r="B64" s="6" t="s">
        <v>656</v>
      </c>
      <c r="C64" s="6" t="s">
        <v>605</v>
      </c>
      <c r="D64" s="7">
        <v>4400</v>
      </c>
      <c r="E64" s="6">
        <v>16</v>
      </c>
      <c r="F64" s="6" t="s">
        <v>585</v>
      </c>
      <c r="G64" s="11">
        <v>0.13</v>
      </c>
      <c r="H64" s="12">
        <f t="shared" si="0"/>
        <v>275</v>
      </c>
      <c r="I64" s="6" t="s">
        <v>906</v>
      </c>
    </row>
    <row r="65" spans="1:9" x14ac:dyDescent="0.25">
      <c r="A65" s="6">
        <v>61</v>
      </c>
      <c r="B65" s="6" t="s">
        <v>658</v>
      </c>
      <c r="C65" s="6" t="s">
        <v>170</v>
      </c>
      <c r="D65" s="7">
        <v>4400</v>
      </c>
      <c r="E65" s="6">
        <v>16</v>
      </c>
      <c r="F65" s="6" t="s">
        <v>585</v>
      </c>
      <c r="G65" s="11">
        <v>0.04</v>
      </c>
      <c r="H65" s="12">
        <f t="shared" si="0"/>
        <v>275</v>
      </c>
      <c r="I65" s="6" t="s">
        <v>906</v>
      </c>
    </row>
    <row r="66" spans="1:9" x14ac:dyDescent="0.25">
      <c r="A66" s="6">
        <v>62</v>
      </c>
      <c r="B66" s="6" t="s">
        <v>734</v>
      </c>
      <c r="C66" s="6" t="s">
        <v>170</v>
      </c>
      <c r="D66" s="7">
        <v>1900</v>
      </c>
      <c r="E66" s="6">
        <v>7</v>
      </c>
      <c r="F66" s="6" t="s">
        <v>585</v>
      </c>
      <c r="G66" s="11">
        <v>7.0000000000000007E-2</v>
      </c>
      <c r="H66" s="12">
        <f t="shared" si="0"/>
        <v>271.39999999999998</v>
      </c>
      <c r="I66" s="6" t="s">
        <v>906</v>
      </c>
    </row>
    <row r="67" spans="1:9" x14ac:dyDescent="0.25">
      <c r="A67" s="6">
        <v>63</v>
      </c>
      <c r="B67" s="6" t="s">
        <v>646</v>
      </c>
      <c r="C67" s="6" t="s">
        <v>170</v>
      </c>
      <c r="D67" s="7">
        <v>5400</v>
      </c>
      <c r="E67" s="6">
        <v>20</v>
      </c>
      <c r="F67" s="6" t="s">
        <v>602</v>
      </c>
      <c r="G67" s="11">
        <v>0.13</v>
      </c>
      <c r="H67" s="12">
        <f t="shared" si="0"/>
        <v>270</v>
      </c>
      <c r="I67" s="6" t="s">
        <v>905</v>
      </c>
    </row>
    <row r="68" spans="1:9" x14ac:dyDescent="0.25">
      <c r="A68" s="6">
        <v>64</v>
      </c>
      <c r="B68" s="6" t="s">
        <v>481</v>
      </c>
      <c r="C68" s="6" t="s">
        <v>584</v>
      </c>
      <c r="D68" s="7">
        <v>2400</v>
      </c>
      <c r="E68" s="6">
        <v>9</v>
      </c>
      <c r="F68" s="6" t="s">
        <v>585</v>
      </c>
      <c r="G68" s="11">
        <v>0.13</v>
      </c>
      <c r="H68" s="12">
        <f t="shared" si="0"/>
        <v>266.7</v>
      </c>
      <c r="I68" s="6" t="s">
        <v>906</v>
      </c>
    </row>
    <row r="69" spans="1:9" x14ac:dyDescent="0.25">
      <c r="A69" s="6">
        <v>65</v>
      </c>
      <c r="B69" s="6" t="s">
        <v>696</v>
      </c>
      <c r="C69" s="6" t="s">
        <v>644</v>
      </c>
      <c r="D69" s="7">
        <v>2900</v>
      </c>
      <c r="E69" s="6">
        <v>11</v>
      </c>
      <c r="F69" s="6" t="s">
        <v>592</v>
      </c>
      <c r="G69" s="11">
        <v>7.0000000000000007E-2</v>
      </c>
      <c r="H69" s="12">
        <f t="shared" ref="H69:H132" si="1">ROUND(D69/MAX(E69,1),1)</f>
        <v>263.60000000000002</v>
      </c>
      <c r="I69" s="6" t="s">
        <v>905</v>
      </c>
    </row>
    <row r="70" spans="1:9" x14ac:dyDescent="0.25">
      <c r="A70" s="6">
        <v>66</v>
      </c>
      <c r="B70" s="6" t="s">
        <v>701</v>
      </c>
      <c r="C70" s="6" t="s">
        <v>77</v>
      </c>
      <c r="D70" s="7">
        <v>2900</v>
      </c>
      <c r="E70" s="6">
        <v>11</v>
      </c>
      <c r="F70" s="6" t="s">
        <v>602</v>
      </c>
      <c r="G70" s="11">
        <v>7.0000000000000007E-2</v>
      </c>
      <c r="H70" s="12">
        <f t="shared" si="1"/>
        <v>263.60000000000002</v>
      </c>
      <c r="I70" s="6" t="s">
        <v>905</v>
      </c>
    </row>
    <row r="71" spans="1:9" x14ac:dyDescent="0.25">
      <c r="A71" s="6">
        <v>67</v>
      </c>
      <c r="B71" s="6" t="s">
        <v>706</v>
      </c>
      <c r="C71" s="6" t="s">
        <v>77</v>
      </c>
      <c r="D71" s="7">
        <v>2900</v>
      </c>
      <c r="E71" s="6">
        <v>11</v>
      </c>
      <c r="F71" s="6" t="s">
        <v>602</v>
      </c>
      <c r="G71" s="11">
        <v>0.09</v>
      </c>
      <c r="H71" s="12">
        <f t="shared" si="1"/>
        <v>263.60000000000002</v>
      </c>
      <c r="I71" s="6" t="s">
        <v>905</v>
      </c>
    </row>
    <row r="72" spans="1:9" x14ac:dyDescent="0.25">
      <c r="A72" s="6">
        <v>68</v>
      </c>
      <c r="B72" s="6" t="s">
        <v>659</v>
      </c>
      <c r="C72" s="6" t="s">
        <v>77</v>
      </c>
      <c r="D72" s="7">
        <v>4400</v>
      </c>
      <c r="E72" s="6">
        <v>17</v>
      </c>
      <c r="F72" s="6" t="s">
        <v>585</v>
      </c>
      <c r="G72" s="11">
        <v>0.09</v>
      </c>
      <c r="H72" s="12">
        <f t="shared" si="1"/>
        <v>258.8</v>
      </c>
      <c r="I72" s="6" t="s">
        <v>906</v>
      </c>
    </row>
    <row r="73" spans="1:9" x14ac:dyDescent="0.25">
      <c r="A73" s="6">
        <v>69</v>
      </c>
      <c r="B73" s="6" t="s">
        <v>667</v>
      </c>
      <c r="C73" s="6" t="s">
        <v>639</v>
      </c>
      <c r="D73" s="7">
        <v>4400</v>
      </c>
      <c r="E73" s="6">
        <v>17</v>
      </c>
      <c r="F73" s="6" t="s">
        <v>668</v>
      </c>
      <c r="G73" s="11">
        <v>0.13</v>
      </c>
      <c r="H73" s="12">
        <f t="shared" si="1"/>
        <v>258.8</v>
      </c>
      <c r="I73" s="6" t="s">
        <v>905</v>
      </c>
    </row>
    <row r="74" spans="1:9" x14ac:dyDescent="0.25">
      <c r="A74" s="6">
        <v>70</v>
      </c>
      <c r="B74" s="6" t="s">
        <v>675</v>
      </c>
      <c r="C74" s="6" t="s">
        <v>170</v>
      </c>
      <c r="D74" s="7">
        <v>3600</v>
      </c>
      <c r="E74" s="6">
        <v>14</v>
      </c>
      <c r="F74" s="6" t="s">
        <v>602</v>
      </c>
      <c r="G74" s="11">
        <v>0.05</v>
      </c>
      <c r="H74" s="12">
        <f t="shared" si="1"/>
        <v>257.10000000000002</v>
      </c>
      <c r="I74" s="6" t="s">
        <v>905</v>
      </c>
    </row>
    <row r="75" spans="1:9" x14ac:dyDescent="0.25">
      <c r="A75" s="6">
        <v>71</v>
      </c>
      <c r="B75" s="6" t="s">
        <v>678</v>
      </c>
      <c r="C75" s="6" t="s">
        <v>77</v>
      </c>
      <c r="D75" s="7">
        <v>3600</v>
      </c>
      <c r="E75" s="6">
        <v>14</v>
      </c>
      <c r="F75" s="6" t="s">
        <v>592</v>
      </c>
      <c r="G75" s="11">
        <v>0.11</v>
      </c>
      <c r="H75" s="12">
        <f t="shared" si="1"/>
        <v>257.10000000000002</v>
      </c>
      <c r="I75" s="6" t="s">
        <v>907</v>
      </c>
    </row>
    <row r="76" spans="1:9" x14ac:dyDescent="0.25">
      <c r="A76" s="6">
        <v>72</v>
      </c>
      <c r="B76" s="6" t="s">
        <v>702</v>
      </c>
      <c r="C76" s="6" t="s">
        <v>77</v>
      </c>
      <c r="D76" s="7">
        <v>2900</v>
      </c>
      <c r="E76" s="6">
        <v>12</v>
      </c>
      <c r="F76" s="6" t="s">
        <v>585</v>
      </c>
      <c r="G76" s="11">
        <v>0.03</v>
      </c>
      <c r="H76" s="12">
        <f t="shared" si="1"/>
        <v>241.7</v>
      </c>
      <c r="I76" s="6" t="s">
        <v>906</v>
      </c>
    </row>
    <row r="77" spans="1:9" x14ac:dyDescent="0.25">
      <c r="A77" s="6">
        <v>73</v>
      </c>
      <c r="B77" s="6" t="s">
        <v>672</v>
      </c>
      <c r="C77" s="6" t="s">
        <v>210</v>
      </c>
      <c r="D77" s="7">
        <v>3600</v>
      </c>
      <c r="E77" s="6">
        <v>15</v>
      </c>
      <c r="F77" s="6" t="s">
        <v>585</v>
      </c>
      <c r="G77" s="11">
        <v>0.08</v>
      </c>
      <c r="H77" s="12">
        <f t="shared" si="1"/>
        <v>240</v>
      </c>
      <c r="I77" s="6" t="s">
        <v>906</v>
      </c>
    </row>
    <row r="78" spans="1:9" x14ac:dyDescent="0.25">
      <c r="A78" s="6">
        <v>74</v>
      </c>
      <c r="B78" s="6" t="s">
        <v>736</v>
      </c>
      <c r="C78" s="6" t="s">
        <v>648</v>
      </c>
      <c r="D78" s="7">
        <v>1900</v>
      </c>
      <c r="E78" s="6">
        <v>8</v>
      </c>
      <c r="F78" s="6" t="s">
        <v>585</v>
      </c>
      <c r="G78" s="11">
        <v>7.0000000000000007E-2</v>
      </c>
      <c r="H78" s="12">
        <f t="shared" si="1"/>
        <v>237.5</v>
      </c>
      <c r="I78" s="6" t="s">
        <v>906</v>
      </c>
    </row>
    <row r="79" spans="1:9" x14ac:dyDescent="0.25">
      <c r="A79" s="6">
        <v>75</v>
      </c>
      <c r="B79" s="6" t="s">
        <v>745</v>
      </c>
      <c r="C79" s="6" t="s">
        <v>605</v>
      </c>
      <c r="D79" s="7">
        <v>1600</v>
      </c>
      <c r="E79" s="6">
        <v>7</v>
      </c>
      <c r="F79" s="6" t="s">
        <v>592</v>
      </c>
      <c r="G79" s="11">
        <v>0.14000000000000001</v>
      </c>
      <c r="H79" s="12">
        <f t="shared" si="1"/>
        <v>228.6</v>
      </c>
      <c r="I79" s="6" t="s">
        <v>907</v>
      </c>
    </row>
    <row r="80" spans="1:9" x14ac:dyDescent="0.25">
      <c r="A80" s="6">
        <v>76</v>
      </c>
      <c r="B80" s="6" t="s">
        <v>522</v>
      </c>
      <c r="C80" s="6" t="s">
        <v>605</v>
      </c>
      <c r="D80" s="7">
        <v>3600</v>
      </c>
      <c r="E80" s="6">
        <v>16</v>
      </c>
      <c r="F80" s="6" t="s">
        <v>592</v>
      </c>
      <c r="G80" s="11">
        <v>0.04</v>
      </c>
      <c r="H80" s="12">
        <f t="shared" si="1"/>
        <v>225</v>
      </c>
      <c r="I80" s="6" t="s">
        <v>905</v>
      </c>
    </row>
    <row r="81" spans="1:9" x14ac:dyDescent="0.25">
      <c r="A81" s="6">
        <v>77</v>
      </c>
      <c r="B81" s="6" t="s">
        <v>683</v>
      </c>
      <c r="C81" s="6" t="s">
        <v>77</v>
      </c>
      <c r="D81" s="7">
        <v>3600</v>
      </c>
      <c r="E81" s="6">
        <v>16</v>
      </c>
      <c r="F81" s="6" t="s">
        <v>585</v>
      </c>
      <c r="G81" s="11">
        <v>0.12</v>
      </c>
      <c r="H81" s="12">
        <f t="shared" si="1"/>
        <v>225</v>
      </c>
      <c r="I81" s="6" t="s">
        <v>906</v>
      </c>
    </row>
    <row r="82" spans="1:9" x14ac:dyDescent="0.25">
      <c r="A82" s="6">
        <v>78</v>
      </c>
      <c r="B82" s="6" t="s">
        <v>695</v>
      </c>
      <c r="C82" s="6" t="s">
        <v>605</v>
      </c>
      <c r="D82" s="7">
        <v>2900</v>
      </c>
      <c r="E82" s="6">
        <v>13</v>
      </c>
      <c r="F82" s="6" t="s">
        <v>585</v>
      </c>
      <c r="G82" s="11">
        <v>0.06</v>
      </c>
      <c r="H82" s="12">
        <f t="shared" si="1"/>
        <v>223.1</v>
      </c>
      <c r="I82" s="6" t="s">
        <v>906</v>
      </c>
    </row>
    <row r="83" spans="1:9" x14ac:dyDescent="0.25">
      <c r="A83" s="6">
        <v>79</v>
      </c>
      <c r="B83" s="6" t="s">
        <v>704</v>
      </c>
      <c r="C83" s="6" t="s">
        <v>77</v>
      </c>
      <c r="D83" s="7">
        <v>2900</v>
      </c>
      <c r="E83" s="6">
        <v>13</v>
      </c>
      <c r="F83" s="6" t="s">
        <v>616</v>
      </c>
      <c r="G83" s="11">
        <v>0.08</v>
      </c>
      <c r="H83" s="12">
        <f t="shared" si="1"/>
        <v>223.1</v>
      </c>
      <c r="I83" s="6" t="s">
        <v>906</v>
      </c>
    </row>
    <row r="84" spans="1:9" x14ac:dyDescent="0.25">
      <c r="A84" s="6">
        <v>80</v>
      </c>
      <c r="B84" s="6" t="s">
        <v>784</v>
      </c>
      <c r="C84" s="6" t="s">
        <v>588</v>
      </c>
      <c r="D84" s="7">
        <v>1300</v>
      </c>
      <c r="E84" s="6">
        <v>6</v>
      </c>
      <c r="F84" s="6" t="s">
        <v>585</v>
      </c>
      <c r="G84" s="11">
        <v>0.14000000000000001</v>
      </c>
      <c r="H84" s="12">
        <f t="shared" si="1"/>
        <v>216.7</v>
      </c>
      <c r="I84" s="6" t="s">
        <v>906</v>
      </c>
    </row>
    <row r="85" spans="1:9" x14ac:dyDescent="0.25">
      <c r="A85" s="6">
        <v>81</v>
      </c>
      <c r="B85" s="6" t="s">
        <v>682</v>
      </c>
      <c r="C85" s="6" t="s">
        <v>77</v>
      </c>
      <c r="D85" s="7">
        <v>3600</v>
      </c>
      <c r="E85" s="6">
        <v>17</v>
      </c>
      <c r="F85" s="6" t="s">
        <v>596</v>
      </c>
      <c r="G85" s="11">
        <v>0.08</v>
      </c>
      <c r="H85" s="12">
        <f t="shared" si="1"/>
        <v>211.8</v>
      </c>
      <c r="I85" s="6" t="s">
        <v>906</v>
      </c>
    </row>
    <row r="86" spans="1:9" x14ac:dyDescent="0.25">
      <c r="A86" s="6">
        <v>82</v>
      </c>
      <c r="B86" s="6" t="s">
        <v>80</v>
      </c>
      <c r="C86" s="6" t="s">
        <v>77</v>
      </c>
      <c r="D86" s="7">
        <v>3600</v>
      </c>
      <c r="E86" s="6">
        <v>17</v>
      </c>
      <c r="F86" s="6" t="s">
        <v>585</v>
      </c>
      <c r="G86" s="11">
        <v>0.12</v>
      </c>
      <c r="H86" s="12">
        <f t="shared" si="1"/>
        <v>211.8</v>
      </c>
      <c r="I86" s="6" t="s">
        <v>906</v>
      </c>
    </row>
    <row r="87" spans="1:9" x14ac:dyDescent="0.25">
      <c r="A87" s="6">
        <v>83</v>
      </c>
      <c r="B87" s="6" t="s">
        <v>689</v>
      </c>
      <c r="C87" s="6" t="s">
        <v>639</v>
      </c>
      <c r="D87" s="7">
        <v>3600</v>
      </c>
      <c r="E87" s="6">
        <v>17</v>
      </c>
      <c r="F87" s="6" t="s">
        <v>602</v>
      </c>
      <c r="G87" s="11">
        <v>0.02</v>
      </c>
      <c r="H87" s="12">
        <f t="shared" si="1"/>
        <v>211.8</v>
      </c>
      <c r="I87" s="6" t="s">
        <v>905</v>
      </c>
    </row>
    <row r="88" spans="1:9" x14ac:dyDescent="0.25">
      <c r="A88" s="6">
        <v>84</v>
      </c>
      <c r="B88" s="6" t="s">
        <v>690</v>
      </c>
      <c r="C88" s="6" t="s">
        <v>639</v>
      </c>
      <c r="D88" s="7">
        <v>3600</v>
      </c>
      <c r="E88" s="6">
        <v>17</v>
      </c>
      <c r="F88" s="6" t="s">
        <v>596</v>
      </c>
      <c r="G88" s="11">
        <v>0.08</v>
      </c>
      <c r="H88" s="12">
        <f t="shared" si="1"/>
        <v>211.8</v>
      </c>
      <c r="I88" s="6" t="s">
        <v>906</v>
      </c>
    </row>
    <row r="89" spans="1:9" x14ac:dyDescent="0.25">
      <c r="A89" s="6">
        <v>85</v>
      </c>
      <c r="B89" s="6" t="s">
        <v>691</v>
      </c>
      <c r="C89" s="6" t="s">
        <v>639</v>
      </c>
      <c r="D89" s="7">
        <v>3600</v>
      </c>
      <c r="E89" s="6">
        <v>17</v>
      </c>
      <c r="F89" s="6" t="s">
        <v>602</v>
      </c>
      <c r="G89" s="11">
        <v>0.01</v>
      </c>
      <c r="H89" s="12">
        <f t="shared" si="1"/>
        <v>211.8</v>
      </c>
      <c r="I89" s="6" t="s">
        <v>905</v>
      </c>
    </row>
    <row r="90" spans="1:9" x14ac:dyDescent="0.25">
      <c r="A90" s="6">
        <v>86</v>
      </c>
      <c r="B90" s="6" t="s">
        <v>747</v>
      </c>
      <c r="C90" s="6" t="s">
        <v>605</v>
      </c>
      <c r="D90" s="7">
        <v>1600</v>
      </c>
      <c r="E90" s="6">
        <v>8</v>
      </c>
      <c r="F90" s="6" t="s">
        <v>585</v>
      </c>
      <c r="G90" s="11">
        <v>7.0000000000000007E-2</v>
      </c>
      <c r="H90" s="12">
        <f t="shared" si="1"/>
        <v>200</v>
      </c>
      <c r="I90" s="6" t="s">
        <v>906</v>
      </c>
    </row>
    <row r="91" spans="1:9" x14ac:dyDescent="0.25">
      <c r="A91" s="6">
        <v>87</v>
      </c>
      <c r="B91" s="6" t="s">
        <v>671</v>
      </c>
      <c r="C91" s="6" t="s">
        <v>605</v>
      </c>
      <c r="D91" s="7">
        <v>3600</v>
      </c>
      <c r="E91" s="6">
        <v>19</v>
      </c>
      <c r="F91" s="6" t="s">
        <v>585</v>
      </c>
      <c r="G91" s="11">
        <v>0.06</v>
      </c>
      <c r="H91" s="12">
        <f t="shared" si="1"/>
        <v>189.5</v>
      </c>
      <c r="I91" s="6" t="s">
        <v>906</v>
      </c>
    </row>
    <row r="92" spans="1:9" x14ac:dyDescent="0.25">
      <c r="A92" s="6">
        <v>88</v>
      </c>
      <c r="B92" s="6" t="s">
        <v>679</v>
      </c>
      <c r="C92" s="6" t="s">
        <v>77</v>
      </c>
      <c r="D92" s="7">
        <v>3600</v>
      </c>
      <c r="E92" s="6">
        <v>19</v>
      </c>
      <c r="F92" s="6" t="s">
        <v>592</v>
      </c>
      <c r="G92" s="11">
        <v>0.11</v>
      </c>
      <c r="H92" s="12">
        <f t="shared" si="1"/>
        <v>189.5</v>
      </c>
      <c r="I92" s="6" t="s">
        <v>906</v>
      </c>
    </row>
    <row r="93" spans="1:9" x14ac:dyDescent="0.25">
      <c r="A93" s="6">
        <v>89</v>
      </c>
      <c r="B93" s="6" t="s">
        <v>681</v>
      </c>
      <c r="C93" s="6" t="s">
        <v>77</v>
      </c>
      <c r="D93" s="7">
        <v>3600</v>
      </c>
      <c r="E93" s="6">
        <v>19</v>
      </c>
      <c r="F93" s="6" t="s">
        <v>589</v>
      </c>
      <c r="G93" s="11">
        <v>0.04</v>
      </c>
      <c r="H93" s="12">
        <f t="shared" si="1"/>
        <v>189.5</v>
      </c>
      <c r="I93" s="6" t="s">
        <v>909</v>
      </c>
    </row>
    <row r="94" spans="1:9" x14ac:dyDescent="0.25">
      <c r="A94" s="6">
        <v>90</v>
      </c>
      <c r="B94" s="6" t="s">
        <v>763</v>
      </c>
      <c r="C94" s="6" t="s">
        <v>605</v>
      </c>
      <c r="D94" s="7">
        <v>1300</v>
      </c>
      <c r="E94" s="6">
        <v>7</v>
      </c>
      <c r="F94" s="6" t="s">
        <v>585</v>
      </c>
      <c r="G94" s="11">
        <v>7.0000000000000007E-2</v>
      </c>
      <c r="H94" s="12">
        <f t="shared" si="1"/>
        <v>185.7</v>
      </c>
      <c r="I94" s="6" t="s">
        <v>907</v>
      </c>
    </row>
    <row r="95" spans="1:9" x14ac:dyDescent="0.25">
      <c r="A95" s="6">
        <v>91</v>
      </c>
      <c r="B95" s="6" t="s">
        <v>764</v>
      </c>
      <c r="C95" s="6" t="s">
        <v>644</v>
      </c>
      <c r="D95" s="7">
        <v>1300</v>
      </c>
      <c r="E95" s="6">
        <v>7</v>
      </c>
      <c r="F95" s="6" t="s">
        <v>602</v>
      </c>
      <c r="G95" s="11">
        <v>0.04</v>
      </c>
      <c r="H95" s="12">
        <f t="shared" si="1"/>
        <v>185.7</v>
      </c>
      <c r="I95" s="6" t="s">
        <v>905</v>
      </c>
    </row>
    <row r="96" spans="1:9" x14ac:dyDescent="0.25">
      <c r="A96" s="6">
        <v>92</v>
      </c>
      <c r="B96" s="6" t="s">
        <v>772</v>
      </c>
      <c r="C96" s="6" t="s">
        <v>210</v>
      </c>
      <c r="D96" s="7">
        <v>1300</v>
      </c>
      <c r="E96" s="6">
        <v>7</v>
      </c>
      <c r="F96" s="6" t="s">
        <v>651</v>
      </c>
      <c r="G96" s="11">
        <v>0.03</v>
      </c>
      <c r="H96" s="12">
        <f t="shared" si="1"/>
        <v>185.7</v>
      </c>
      <c r="I96" s="6" t="s">
        <v>906</v>
      </c>
    </row>
    <row r="97" spans="1:9" x14ac:dyDescent="0.25">
      <c r="A97" s="6">
        <v>93</v>
      </c>
      <c r="B97" s="6" t="s">
        <v>432</v>
      </c>
      <c r="C97" s="6" t="s">
        <v>605</v>
      </c>
      <c r="D97" s="7">
        <v>2400</v>
      </c>
      <c r="E97" s="6">
        <v>13</v>
      </c>
      <c r="F97" s="6" t="s">
        <v>585</v>
      </c>
      <c r="G97" s="11">
        <v>0.17</v>
      </c>
      <c r="H97" s="12">
        <f t="shared" si="1"/>
        <v>184.6</v>
      </c>
      <c r="I97" s="6" t="s">
        <v>906</v>
      </c>
    </row>
    <row r="98" spans="1:9" x14ac:dyDescent="0.25">
      <c r="A98" s="6">
        <v>94</v>
      </c>
      <c r="B98" s="6" t="s">
        <v>705</v>
      </c>
      <c r="C98" s="6" t="s">
        <v>77</v>
      </c>
      <c r="D98" s="7">
        <v>2900</v>
      </c>
      <c r="E98" s="6">
        <v>16</v>
      </c>
      <c r="F98" s="6" t="s">
        <v>585</v>
      </c>
      <c r="G98" s="11">
        <v>0.06</v>
      </c>
      <c r="H98" s="12">
        <f t="shared" si="1"/>
        <v>181.3</v>
      </c>
      <c r="I98" s="6" t="s">
        <v>906</v>
      </c>
    </row>
    <row r="99" spans="1:9" x14ac:dyDescent="0.25">
      <c r="A99" s="6">
        <v>95</v>
      </c>
      <c r="B99" s="6" t="s">
        <v>708</v>
      </c>
      <c r="C99" s="6" t="s">
        <v>624</v>
      </c>
      <c r="D99" s="7">
        <v>2900</v>
      </c>
      <c r="E99" s="6">
        <v>16</v>
      </c>
      <c r="F99" s="6" t="s">
        <v>602</v>
      </c>
      <c r="G99" s="11">
        <v>0.02</v>
      </c>
      <c r="H99" s="12">
        <f t="shared" si="1"/>
        <v>181.3</v>
      </c>
      <c r="I99" s="6" t="s">
        <v>905</v>
      </c>
    </row>
    <row r="100" spans="1:9" x14ac:dyDescent="0.25">
      <c r="A100" s="6">
        <v>96</v>
      </c>
      <c r="B100" s="6" t="s">
        <v>673</v>
      </c>
      <c r="C100" s="6" t="s">
        <v>170</v>
      </c>
      <c r="D100" s="7">
        <v>3600</v>
      </c>
      <c r="E100" s="6">
        <v>20</v>
      </c>
      <c r="F100" s="6" t="s">
        <v>592</v>
      </c>
      <c r="G100" s="11">
        <v>0.12</v>
      </c>
      <c r="H100" s="12">
        <f t="shared" si="1"/>
        <v>180</v>
      </c>
      <c r="I100" s="6" t="s">
        <v>907</v>
      </c>
    </row>
    <row r="101" spans="1:9" x14ac:dyDescent="0.25">
      <c r="A101" s="6">
        <v>97</v>
      </c>
      <c r="B101" s="6" t="s">
        <v>686</v>
      </c>
      <c r="C101" s="6" t="s">
        <v>588</v>
      </c>
      <c r="D101" s="7">
        <v>3600</v>
      </c>
      <c r="E101" s="6">
        <v>20</v>
      </c>
      <c r="F101" s="6" t="s">
        <v>589</v>
      </c>
      <c r="G101" s="11">
        <v>0.02</v>
      </c>
      <c r="H101" s="12">
        <f t="shared" si="1"/>
        <v>180</v>
      </c>
      <c r="I101" s="6" t="s">
        <v>909</v>
      </c>
    </row>
    <row r="102" spans="1:9" x14ac:dyDescent="0.25">
      <c r="A102" s="6">
        <v>98</v>
      </c>
      <c r="B102" s="6" t="s">
        <v>753</v>
      </c>
      <c r="C102" s="6" t="s">
        <v>210</v>
      </c>
      <c r="D102" s="7">
        <v>1600</v>
      </c>
      <c r="E102" s="6">
        <v>9</v>
      </c>
      <c r="F102" s="6" t="s">
        <v>585</v>
      </c>
      <c r="G102" s="11">
        <v>0.14000000000000001</v>
      </c>
      <c r="H102" s="12">
        <f t="shared" si="1"/>
        <v>177.8</v>
      </c>
      <c r="I102" s="6" t="s">
        <v>906</v>
      </c>
    </row>
    <row r="103" spans="1:9" x14ac:dyDescent="0.25">
      <c r="A103" s="6">
        <v>99</v>
      </c>
      <c r="B103" s="6" t="s">
        <v>725</v>
      </c>
      <c r="C103" s="6" t="s">
        <v>605</v>
      </c>
      <c r="D103" s="7">
        <v>1900</v>
      </c>
      <c r="E103" s="6">
        <v>11</v>
      </c>
      <c r="F103" s="6" t="s">
        <v>585</v>
      </c>
      <c r="G103" s="11">
        <v>0.13</v>
      </c>
      <c r="H103" s="12">
        <f t="shared" si="1"/>
        <v>172.7</v>
      </c>
      <c r="I103" s="6" t="s">
        <v>906</v>
      </c>
    </row>
    <row r="104" spans="1:9" x14ac:dyDescent="0.25">
      <c r="A104" s="6">
        <v>100</v>
      </c>
      <c r="B104" s="6" t="s">
        <v>728</v>
      </c>
      <c r="C104" s="6" t="s">
        <v>605</v>
      </c>
      <c r="D104" s="7">
        <v>1900</v>
      </c>
      <c r="E104" s="6">
        <v>11</v>
      </c>
      <c r="F104" s="6" t="s">
        <v>585</v>
      </c>
      <c r="G104" s="11">
        <v>0.02</v>
      </c>
      <c r="H104" s="12">
        <f t="shared" si="1"/>
        <v>172.7</v>
      </c>
      <c r="I104" s="6" t="s">
        <v>905</v>
      </c>
    </row>
    <row r="105" spans="1:9" x14ac:dyDescent="0.25">
      <c r="A105" s="6">
        <v>101</v>
      </c>
      <c r="B105" s="6" t="s">
        <v>712</v>
      </c>
      <c r="C105" s="6" t="s">
        <v>644</v>
      </c>
      <c r="D105" s="7">
        <v>2400</v>
      </c>
      <c r="E105" s="6">
        <v>14</v>
      </c>
      <c r="F105" s="6" t="s">
        <v>596</v>
      </c>
      <c r="G105" s="11">
        <v>0.05</v>
      </c>
      <c r="H105" s="12">
        <f t="shared" si="1"/>
        <v>171.4</v>
      </c>
      <c r="I105" s="6" t="s">
        <v>906</v>
      </c>
    </row>
    <row r="106" spans="1:9" x14ac:dyDescent="0.25">
      <c r="A106" s="6">
        <v>102</v>
      </c>
      <c r="B106" s="6" t="s">
        <v>713</v>
      </c>
      <c r="C106" s="6" t="s">
        <v>605</v>
      </c>
      <c r="D106" s="7">
        <v>2400</v>
      </c>
      <c r="E106" s="6">
        <v>14</v>
      </c>
      <c r="F106" s="6" t="s">
        <v>592</v>
      </c>
      <c r="G106" s="11">
        <v>0.09</v>
      </c>
      <c r="H106" s="12">
        <f t="shared" si="1"/>
        <v>171.4</v>
      </c>
      <c r="I106" s="6" t="s">
        <v>905</v>
      </c>
    </row>
    <row r="107" spans="1:9" x14ac:dyDescent="0.25">
      <c r="A107" s="6">
        <v>103</v>
      </c>
      <c r="B107" s="6" t="s">
        <v>769</v>
      </c>
      <c r="C107" s="6" t="s">
        <v>605</v>
      </c>
      <c r="D107" s="7">
        <v>1300</v>
      </c>
      <c r="E107" s="6">
        <v>8</v>
      </c>
      <c r="F107" s="6" t="s">
        <v>602</v>
      </c>
      <c r="G107" s="11">
        <v>0.03</v>
      </c>
      <c r="H107" s="12">
        <f t="shared" si="1"/>
        <v>162.5</v>
      </c>
      <c r="I107" s="6" t="s">
        <v>905</v>
      </c>
    </row>
    <row r="108" spans="1:9" x14ac:dyDescent="0.25">
      <c r="A108" s="6">
        <v>104</v>
      </c>
      <c r="B108" s="6" t="s">
        <v>698</v>
      </c>
      <c r="C108" s="6" t="s">
        <v>210</v>
      </c>
      <c r="D108" s="7">
        <v>2900</v>
      </c>
      <c r="E108" s="6">
        <v>18</v>
      </c>
      <c r="F108" s="6" t="s">
        <v>585</v>
      </c>
      <c r="G108" s="11">
        <v>0.06</v>
      </c>
      <c r="H108" s="12">
        <f t="shared" si="1"/>
        <v>161.1</v>
      </c>
      <c r="I108" s="6" t="s">
        <v>906</v>
      </c>
    </row>
    <row r="109" spans="1:9" x14ac:dyDescent="0.25">
      <c r="A109" s="6">
        <v>105</v>
      </c>
      <c r="B109" s="6" t="s">
        <v>699</v>
      </c>
      <c r="C109" s="6" t="s">
        <v>170</v>
      </c>
      <c r="D109" s="7">
        <v>2900</v>
      </c>
      <c r="E109" s="6">
        <v>18</v>
      </c>
      <c r="F109" s="6" t="s">
        <v>585</v>
      </c>
      <c r="G109" s="11">
        <v>0.15</v>
      </c>
      <c r="H109" s="12">
        <f t="shared" si="1"/>
        <v>161.1</v>
      </c>
      <c r="I109" s="6" t="s">
        <v>906</v>
      </c>
    </row>
    <row r="110" spans="1:9" x14ac:dyDescent="0.25">
      <c r="A110" s="6">
        <v>106</v>
      </c>
      <c r="B110" s="6" t="s">
        <v>709</v>
      </c>
      <c r="C110" s="6" t="s">
        <v>624</v>
      </c>
      <c r="D110" s="7">
        <v>2900</v>
      </c>
      <c r="E110" s="6">
        <v>18</v>
      </c>
      <c r="F110" s="6" t="s">
        <v>596</v>
      </c>
      <c r="G110" s="11">
        <v>0.01</v>
      </c>
      <c r="H110" s="12">
        <f t="shared" si="1"/>
        <v>161.1</v>
      </c>
      <c r="I110" s="6" t="s">
        <v>906</v>
      </c>
    </row>
    <row r="111" spans="1:9" x14ac:dyDescent="0.25">
      <c r="A111" s="6">
        <v>107</v>
      </c>
      <c r="B111" s="6" t="s">
        <v>115</v>
      </c>
      <c r="C111" s="6" t="s">
        <v>644</v>
      </c>
      <c r="D111" s="7">
        <v>1600</v>
      </c>
      <c r="E111" s="6">
        <v>10</v>
      </c>
      <c r="F111" s="6" t="s">
        <v>592</v>
      </c>
      <c r="G111" s="11">
        <v>0.13</v>
      </c>
      <c r="H111" s="12">
        <f t="shared" si="1"/>
        <v>160</v>
      </c>
      <c r="I111" s="6" t="s">
        <v>907</v>
      </c>
    </row>
    <row r="112" spans="1:9" x14ac:dyDescent="0.25">
      <c r="A112" s="6">
        <v>108</v>
      </c>
      <c r="B112" s="6" t="s">
        <v>166</v>
      </c>
      <c r="C112" s="6" t="s">
        <v>210</v>
      </c>
      <c r="D112" s="7">
        <v>1600</v>
      </c>
      <c r="E112" s="6">
        <v>10</v>
      </c>
      <c r="F112" s="6" t="s">
        <v>602</v>
      </c>
      <c r="G112" s="11">
        <v>0.05</v>
      </c>
      <c r="H112" s="12">
        <f t="shared" si="1"/>
        <v>160</v>
      </c>
      <c r="I112" s="6" t="s">
        <v>905</v>
      </c>
    </row>
    <row r="113" spans="1:9" x14ac:dyDescent="0.25">
      <c r="A113" s="6">
        <v>109</v>
      </c>
      <c r="B113" s="6" t="s">
        <v>721</v>
      </c>
      <c r="C113" s="6" t="s">
        <v>624</v>
      </c>
      <c r="D113" s="7">
        <v>2400</v>
      </c>
      <c r="E113" s="6">
        <v>15</v>
      </c>
      <c r="F113" s="6" t="s">
        <v>668</v>
      </c>
      <c r="G113" s="11">
        <v>0.05</v>
      </c>
      <c r="H113" s="12">
        <f t="shared" si="1"/>
        <v>160</v>
      </c>
      <c r="I113" s="6" t="s">
        <v>906</v>
      </c>
    </row>
    <row r="114" spans="1:9" x14ac:dyDescent="0.25">
      <c r="A114" s="6">
        <v>110</v>
      </c>
      <c r="B114" s="6" t="s">
        <v>460</v>
      </c>
      <c r="C114" s="6" t="s">
        <v>644</v>
      </c>
      <c r="D114" s="7">
        <v>1900</v>
      </c>
      <c r="E114" s="6">
        <v>12</v>
      </c>
      <c r="F114" s="6" t="s">
        <v>585</v>
      </c>
      <c r="G114" s="11">
        <v>0.17</v>
      </c>
      <c r="H114" s="12">
        <f t="shared" si="1"/>
        <v>158.30000000000001</v>
      </c>
      <c r="I114" s="6" t="s">
        <v>906</v>
      </c>
    </row>
    <row r="115" spans="1:9" x14ac:dyDescent="0.25">
      <c r="A115" s="6">
        <v>111</v>
      </c>
      <c r="B115" s="6" t="s">
        <v>441</v>
      </c>
      <c r="C115" s="6" t="s">
        <v>77</v>
      </c>
      <c r="D115" s="7">
        <v>2900</v>
      </c>
      <c r="E115" s="6">
        <v>19</v>
      </c>
      <c r="F115" s="6" t="s">
        <v>596</v>
      </c>
      <c r="G115" s="11">
        <v>0.12</v>
      </c>
      <c r="H115" s="12">
        <f t="shared" si="1"/>
        <v>152.6</v>
      </c>
      <c r="I115" s="6" t="s">
        <v>906</v>
      </c>
    </row>
    <row r="116" spans="1:9" x14ac:dyDescent="0.25">
      <c r="A116" s="6">
        <v>112</v>
      </c>
      <c r="B116" s="6" t="s">
        <v>718</v>
      </c>
      <c r="C116" s="6" t="s">
        <v>210</v>
      </c>
      <c r="D116" s="7">
        <v>2400</v>
      </c>
      <c r="E116" s="6">
        <v>16</v>
      </c>
      <c r="F116" s="6" t="s">
        <v>616</v>
      </c>
      <c r="G116" s="11">
        <v>0.12</v>
      </c>
      <c r="H116" s="12">
        <f t="shared" si="1"/>
        <v>150</v>
      </c>
      <c r="I116" s="6" t="s">
        <v>906</v>
      </c>
    </row>
    <row r="117" spans="1:9" x14ac:dyDescent="0.25">
      <c r="A117" s="6">
        <v>113</v>
      </c>
      <c r="B117" s="6" t="s">
        <v>823</v>
      </c>
      <c r="C117" s="6" t="s">
        <v>624</v>
      </c>
      <c r="D117" s="7">
        <v>880</v>
      </c>
      <c r="E117" s="6">
        <v>6</v>
      </c>
      <c r="F117" s="6" t="s">
        <v>596</v>
      </c>
      <c r="G117" s="11">
        <v>0.02</v>
      </c>
      <c r="H117" s="12">
        <f t="shared" si="1"/>
        <v>146.69999999999999</v>
      </c>
      <c r="I117" s="6" t="s">
        <v>906</v>
      </c>
    </row>
    <row r="118" spans="1:9" x14ac:dyDescent="0.25">
      <c r="A118" s="6">
        <v>114</v>
      </c>
      <c r="B118" s="6" t="s">
        <v>732</v>
      </c>
      <c r="C118" s="6" t="s">
        <v>210</v>
      </c>
      <c r="D118" s="7">
        <v>1900</v>
      </c>
      <c r="E118" s="6">
        <v>13</v>
      </c>
      <c r="F118" s="6" t="s">
        <v>585</v>
      </c>
      <c r="G118" s="11">
        <v>0.12</v>
      </c>
      <c r="H118" s="12">
        <f t="shared" si="1"/>
        <v>146.19999999999999</v>
      </c>
      <c r="I118" s="6" t="s">
        <v>906</v>
      </c>
    </row>
    <row r="119" spans="1:9" x14ac:dyDescent="0.25">
      <c r="A119" s="6">
        <v>115</v>
      </c>
      <c r="B119" s="6" t="s">
        <v>735</v>
      </c>
      <c r="C119" s="6" t="s">
        <v>170</v>
      </c>
      <c r="D119" s="7">
        <v>1900</v>
      </c>
      <c r="E119" s="6">
        <v>13</v>
      </c>
      <c r="F119" s="6" t="s">
        <v>585</v>
      </c>
      <c r="G119" s="11">
        <v>0.14000000000000001</v>
      </c>
      <c r="H119" s="12">
        <f t="shared" si="1"/>
        <v>146.19999999999999</v>
      </c>
      <c r="I119" s="6" t="s">
        <v>906</v>
      </c>
    </row>
    <row r="120" spans="1:9" x14ac:dyDescent="0.25">
      <c r="A120" s="6">
        <v>116</v>
      </c>
      <c r="B120" s="6" t="s">
        <v>739</v>
      </c>
      <c r="C120" s="6" t="s">
        <v>624</v>
      </c>
      <c r="D120" s="7">
        <v>1900</v>
      </c>
      <c r="E120" s="6">
        <v>13</v>
      </c>
      <c r="F120" s="6" t="s">
        <v>585</v>
      </c>
      <c r="G120" s="11">
        <v>0.01</v>
      </c>
      <c r="H120" s="12">
        <f t="shared" si="1"/>
        <v>146.19999999999999</v>
      </c>
      <c r="I120" s="6" t="s">
        <v>906</v>
      </c>
    </row>
    <row r="121" spans="1:9" x14ac:dyDescent="0.25">
      <c r="A121" s="6">
        <v>117</v>
      </c>
      <c r="B121" s="6" t="s">
        <v>758</v>
      </c>
      <c r="C121" s="6" t="s">
        <v>648</v>
      </c>
      <c r="D121" s="7">
        <v>1600</v>
      </c>
      <c r="E121" s="6">
        <v>11</v>
      </c>
      <c r="F121" s="6" t="s">
        <v>602</v>
      </c>
      <c r="G121" s="11">
        <v>0.08</v>
      </c>
      <c r="H121" s="12">
        <f t="shared" si="1"/>
        <v>145.5</v>
      </c>
      <c r="I121" s="6" t="s">
        <v>905</v>
      </c>
    </row>
    <row r="122" spans="1:9" x14ac:dyDescent="0.25">
      <c r="A122" s="6">
        <v>118</v>
      </c>
      <c r="B122" s="6" t="s">
        <v>765</v>
      </c>
      <c r="C122" s="6" t="s">
        <v>644</v>
      </c>
      <c r="D122" s="7">
        <v>1300</v>
      </c>
      <c r="E122" s="6">
        <v>9</v>
      </c>
      <c r="F122" s="6" t="s">
        <v>585</v>
      </c>
      <c r="G122" s="11">
        <v>7.0000000000000007E-2</v>
      </c>
      <c r="H122" s="12">
        <f t="shared" si="1"/>
        <v>144.4</v>
      </c>
      <c r="I122" s="6" t="s">
        <v>906</v>
      </c>
    </row>
    <row r="123" spans="1:9" x14ac:dyDescent="0.25">
      <c r="A123" s="6">
        <v>119</v>
      </c>
      <c r="B123" s="6" t="s">
        <v>773</v>
      </c>
      <c r="C123" s="6" t="s">
        <v>210</v>
      </c>
      <c r="D123" s="7">
        <v>1300</v>
      </c>
      <c r="E123" s="6">
        <v>9</v>
      </c>
      <c r="F123" s="6" t="s">
        <v>585</v>
      </c>
      <c r="G123" s="11">
        <v>0.11</v>
      </c>
      <c r="H123" s="12">
        <f t="shared" si="1"/>
        <v>144.4</v>
      </c>
      <c r="I123" s="6" t="s">
        <v>906</v>
      </c>
    </row>
    <row r="124" spans="1:9" x14ac:dyDescent="0.25">
      <c r="A124" s="6">
        <v>120</v>
      </c>
      <c r="B124" s="6" t="s">
        <v>780</v>
      </c>
      <c r="C124" s="6" t="s">
        <v>648</v>
      </c>
      <c r="D124" s="7">
        <v>1300</v>
      </c>
      <c r="E124" s="6">
        <v>9</v>
      </c>
      <c r="F124" s="6" t="s">
        <v>585</v>
      </c>
      <c r="G124" s="11">
        <v>0.37</v>
      </c>
      <c r="H124" s="12">
        <f t="shared" si="1"/>
        <v>144.4</v>
      </c>
      <c r="I124" s="6" t="s">
        <v>906</v>
      </c>
    </row>
    <row r="125" spans="1:9" x14ac:dyDescent="0.25">
      <c r="A125" s="6">
        <v>121</v>
      </c>
      <c r="B125" s="6" t="s">
        <v>785</v>
      </c>
      <c r="C125" s="6" t="s">
        <v>588</v>
      </c>
      <c r="D125" s="7">
        <v>1300</v>
      </c>
      <c r="E125" s="6">
        <v>9</v>
      </c>
      <c r="F125" s="6" t="s">
        <v>585</v>
      </c>
      <c r="G125" s="11">
        <v>0.06</v>
      </c>
      <c r="H125" s="12">
        <f t="shared" si="1"/>
        <v>144.4</v>
      </c>
      <c r="I125" s="6" t="s">
        <v>906</v>
      </c>
    </row>
    <row r="126" spans="1:9" x14ac:dyDescent="0.25">
      <c r="A126" s="6">
        <v>122</v>
      </c>
      <c r="B126" s="6" t="s">
        <v>790</v>
      </c>
      <c r="C126" s="6" t="s">
        <v>210</v>
      </c>
      <c r="D126" s="7">
        <v>1000</v>
      </c>
      <c r="E126" s="6">
        <v>7</v>
      </c>
      <c r="F126" s="6" t="s">
        <v>602</v>
      </c>
      <c r="G126" s="11">
        <v>0.09</v>
      </c>
      <c r="H126" s="12">
        <f t="shared" si="1"/>
        <v>142.9</v>
      </c>
      <c r="I126" s="6" t="s">
        <v>905</v>
      </c>
    </row>
    <row r="127" spans="1:9" x14ac:dyDescent="0.25">
      <c r="A127" s="6">
        <v>123</v>
      </c>
      <c r="B127" s="6" t="s">
        <v>714</v>
      </c>
      <c r="C127" s="6" t="s">
        <v>210</v>
      </c>
      <c r="D127" s="7">
        <v>2400</v>
      </c>
      <c r="E127" s="6">
        <v>17</v>
      </c>
      <c r="F127" s="6" t="s">
        <v>596</v>
      </c>
      <c r="G127" s="11">
        <v>0.05</v>
      </c>
      <c r="H127" s="12">
        <f t="shared" si="1"/>
        <v>141.19999999999999</v>
      </c>
      <c r="I127" s="6" t="s">
        <v>906</v>
      </c>
    </row>
    <row r="128" spans="1:9" x14ac:dyDescent="0.25">
      <c r="A128" s="6">
        <v>124</v>
      </c>
      <c r="B128" s="6" t="s">
        <v>233</v>
      </c>
      <c r="C128" s="6" t="s">
        <v>179</v>
      </c>
      <c r="D128" s="7">
        <v>2400</v>
      </c>
      <c r="E128" s="6">
        <v>18</v>
      </c>
      <c r="F128" s="6" t="s">
        <v>616</v>
      </c>
      <c r="G128" s="11">
        <v>0.1</v>
      </c>
      <c r="H128" s="12">
        <f t="shared" si="1"/>
        <v>133.30000000000001</v>
      </c>
      <c r="I128" s="6" t="s">
        <v>906</v>
      </c>
    </row>
    <row r="129" spans="1:9" x14ac:dyDescent="0.25">
      <c r="A129" s="6">
        <v>125</v>
      </c>
      <c r="B129" s="6" t="s">
        <v>759</v>
      </c>
      <c r="C129" s="6" t="s">
        <v>624</v>
      </c>
      <c r="D129" s="7">
        <v>1600</v>
      </c>
      <c r="E129" s="6">
        <v>12</v>
      </c>
      <c r="F129" s="6" t="s">
        <v>596</v>
      </c>
      <c r="G129" s="11">
        <v>0.03</v>
      </c>
      <c r="H129" s="12">
        <f t="shared" si="1"/>
        <v>133.30000000000001</v>
      </c>
      <c r="I129" s="6" t="s">
        <v>906</v>
      </c>
    </row>
    <row r="130" spans="1:9" x14ac:dyDescent="0.25">
      <c r="A130" s="6">
        <v>126</v>
      </c>
      <c r="B130" s="6" t="s">
        <v>356</v>
      </c>
      <c r="C130" s="6" t="s">
        <v>605</v>
      </c>
      <c r="D130" s="7">
        <v>1300</v>
      </c>
      <c r="E130" s="6">
        <v>10</v>
      </c>
      <c r="F130" s="6" t="s">
        <v>585</v>
      </c>
      <c r="G130" s="11">
        <v>0.03</v>
      </c>
      <c r="H130" s="12">
        <f t="shared" si="1"/>
        <v>130</v>
      </c>
      <c r="I130" s="6" t="s">
        <v>905</v>
      </c>
    </row>
    <row r="131" spans="1:9" x14ac:dyDescent="0.25">
      <c r="A131" s="6">
        <v>127</v>
      </c>
      <c r="B131" s="6" t="s">
        <v>189</v>
      </c>
      <c r="C131" s="6" t="s">
        <v>644</v>
      </c>
      <c r="D131" s="7">
        <v>1300</v>
      </c>
      <c r="E131" s="6">
        <v>10</v>
      </c>
      <c r="F131" s="6" t="s">
        <v>592</v>
      </c>
      <c r="G131" s="11">
        <v>0.11</v>
      </c>
      <c r="H131" s="12">
        <f t="shared" si="1"/>
        <v>130</v>
      </c>
      <c r="I131" s="6" t="s">
        <v>905</v>
      </c>
    </row>
    <row r="132" spans="1:9" x14ac:dyDescent="0.25">
      <c r="A132" s="6">
        <v>128</v>
      </c>
      <c r="B132" s="6" t="s">
        <v>771</v>
      </c>
      <c r="C132" s="6" t="s">
        <v>210</v>
      </c>
      <c r="D132" s="7">
        <v>1300</v>
      </c>
      <c r="E132" s="6">
        <v>10</v>
      </c>
      <c r="F132" s="6" t="s">
        <v>592</v>
      </c>
      <c r="G132" s="11">
        <v>0.04</v>
      </c>
      <c r="H132" s="12">
        <f t="shared" si="1"/>
        <v>130</v>
      </c>
      <c r="I132" s="6" t="s">
        <v>905</v>
      </c>
    </row>
    <row r="133" spans="1:9" x14ac:dyDescent="0.25">
      <c r="A133" s="6">
        <v>129</v>
      </c>
      <c r="B133" s="6" t="s">
        <v>740</v>
      </c>
      <c r="C133" s="6" t="s">
        <v>588</v>
      </c>
      <c r="D133" s="7">
        <v>1900</v>
      </c>
      <c r="E133" s="6">
        <v>15</v>
      </c>
      <c r="F133" s="6" t="s">
        <v>585</v>
      </c>
      <c r="G133" s="11">
        <v>0.05</v>
      </c>
      <c r="H133" s="12">
        <f t="shared" ref="H133:H196" si="2">ROUND(D133/MAX(E133,1),1)</f>
        <v>126.7</v>
      </c>
      <c r="I133" s="6" t="s">
        <v>906</v>
      </c>
    </row>
    <row r="134" spans="1:9" x14ac:dyDescent="0.25">
      <c r="A134" s="6">
        <v>130</v>
      </c>
      <c r="B134" s="6" t="s">
        <v>715</v>
      </c>
      <c r="C134" s="6" t="s">
        <v>210</v>
      </c>
      <c r="D134" s="7">
        <v>2400</v>
      </c>
      <c r="E134" s="6">
        <v>19</v>
      </c>
      <c r="F134" s="6" t="s">
        <v>585</v>
      </c>
      <c r="G134" s="11">
        <v>7.0000000000000007E-2</v>
      </c>
      <c r="H134" s="12">
        <f t="shared" si="2"/>
        <v>126.3</v>
      </c>
      <c r="I134" s="6" t="s">
        <v>906</v>
      </c>
    </row>
    <row r="135" spans="1:9" x14ac:dyDescent="0.25">
      <c r="A135" s="6">
        <v>131</v>
      </c>
      <c r="B135" s="6" t="s">
        <v>717</v>
      </c>
      <c r="C135" s="6" t="s">
        <v>210</v>
      </c>
      <c r="D135" s="7">
        <v>2400</v>
      </c>
      <c r="E135" s="6">
        <v>19</v>
      </c>
      <c r="F135" s="6" t="s">
        <v>585</v>
      </c>
      <c r="G135" s="11">
        <v>0.13</v>
      </c>
      <c r="H135" s="12">
        <f t="shared" si="2"/>
        <v>126.3</v>
      </c>
      <c r="I135" s="6" t="s">
        <v>906</v>
      </c>
    </row>
    <row r="136" spans="1:9" x14ac:dyDescent="0.25">
      <c r="A136" s="6">
        <v>132</v>
      </c>
      <c r="B136" s="6" t="s">
        <v>563</v>
      </c>
      <c r="C136" s="6" t="s">
        <v>210</v>
      </c>
      <c r="D136" s="7">
        <v>880</v>
      </c>
      <c r="E136" s="6">
        <v>7</v>
      </c>
      <c r="F136" s="6" t="s">
        <v>616</v>
      </c>
      <c r="G136" s="11">
        <v>0.1</v>
      </c>
      <c r="H136" s="12">
        <f t="shared" si="2"/>
        <v>125.7</v>
      </c>
      <c r="I136" s="6" t="s">
        <v>906</v>
      </c>
    </row>
    <row r="137" spans="1:9" x14ac:dyDescent="0.25">
      <c r="A137" s="6">
        <v>133</v>
      </c>
      <c r="B137" s="6" t="s">
        <v>816</v>
      </c>
      <c r="C137" s="6" t="s">
        <v>170</v>
      </c>
      <c r="D137" s="7">
        <v>880</v>
      </c>
      <c r="E137" s="6">
        <v>7</v>
      </c>
      <c r="F137" s="6" t="s">
        <v>602</v>
      </c>
      <c r="G137" s="11">
        <v>0.16</v>
      </c>
      <c r="H137" s="12">
        <f t="shared" si="2"/>
        <v>125.7</v>
      </c>
      <c r="I137" s="6" t="s">
        <v>905</v>
      </c>
    </row>
    <row r="138" spans="1:9" x14ac:dyDescent="0.25">
      <c r="A138" s="6">
        <v>134</v>
      </c>
      <c r="B138" s="6" t="s">
        <v>798</v>
      </c>
      <c r="C138" s="6" t="s">
        <v>648</v>
      </c>
      <c r="D138" s="7">
        <v>1000</v>
      </c>
      <c r="E138" s="6">
        <v>8</v>
      </c>
      <c r="F138" s="6" t="s">
        <v>585</v>
      </c>
      <c r="G138" s="11">
        <v>0.32</v>
      </c>
      <c r="H138" s="12">
        <f t="shared" si="2"/>
        <v>125</v>
      </c>
      <c r="I138" s="6" t="s">
        <v>906</v>
      </c>
    </row>
    <row r="139" spans="1:9" x14ac:dyDescent="0.25">
      <c r="A139" s="6">
        <v>135</v>
      </c>
      <c r="B139" s="6" t="s">
        <v>757</v>
      </c>
      <c r="C139" s="6" t="s">
        <v>170</v>
      </c>
      <c r="D139" s="7">
        <v>1600</v>
      </c>
      <c r="E139" s="6">
        <v>13</v>
      </c>
      <c r="F139" s="6" t="s">
        <v>592</v>
      </c>
      <c r="G139" s="11">
        <v>0.02</v>
      </c>
      <c r="H139" s="12">
        <f t="shared" si="2"/>
        <v>123.1</v>
      </c>
      <c r="I139" s="6" t="s">
        <v>905</v>
      </c>
    </row>
    <row r="140" spans="1:9" x14ac:dyDescent="0.25">
      <c r="A140" s="6">
        <v>136</v>
      </c>
      <c r="B140" s="6" t="s">
        <v>716</v>
      </c>
      <c r="C140" s="6" t="s">
        <v>210</v>
      </c>
      <c r="D140" s="7">
        <v>2400</v>
      </c>
      <c r="E140" s="6">
        <v>20</v>
      </c>
      <c r="F140" s="6" t="s">
        <v>589</v>
      </c>
      <c r="G140" s="11">
        <v>0.05</v>
      </c>
      <c r="H140" s="12">
        <f t="shared" si="2"/>
        <v>120</v>
      </c>
      <c r="I140" s="6" t="s">
        <v>909</v>
      </c>
    </row>
    <row r="141" spans="1:9" x14ac:dyDescent="0.25">
      <c r="A141" s="6">
        <v>137</v>
      </c>
      <c r="B141" s="6" t="s">
        <v>827</v>
      </c>
      <c r="C141" s="6" t="s">
        <v>210</v>
      </c>
      <c r="D141" s="7">
        <v>720</v>
      </c>
      <c r="E141" s="6">
        <v>6</v>
      </c>
      <c r="F141" s="6" t="s">
        <v>602</v>
      </c>
      <c r="G141" s="11">
        <v>0.05</v>
      </c>
      <c r="H141" s="12">
        <f t="shared" si="2"/>
        <v>120</v>
      </c>
      <c r="I141" s="6" t="s">
        <v>905</v>
      </c>
    </row>
    <row r="142" spans="1:9" x14ac:dyDescent="0.25">
      <c r="A142" s="6">
        <v>138</v>
      </c>
      <c r="B142" s="6" t="s">
        <v>835</v>
      </c>
      <c r="C142" s="6" t="s">
        <v>648</v>
      </c>
      <c r="D142" s="7">
        <v>720</v>
      </c>
      <c r="E142" s="6">
        <v>6</v>
      </c>
      <c r="F142" s="6" t="s">
        <v>585</v>
      </c>
      <c r="G142" s="11">
        <v>7.0000000000000007E-2</v>
      </c>
      <c r="H142" s="12">
        <f t="shared" si="2"/>
        <v>120</v>
      </c>
      <c r="I142" s="6" t="s">
        <v>906</v>
      </c>
    </row>
    <row r="143" spans="1:9" x14ac:dyDescent="0.25">
      <c r="A143" s="6">
        <v>139</v>
      </c>
      <c r="B143" s="6" t="s">
        <v>777</v>
      </c>
      <c r="C143" s="6" t="s">
        <v>170</v>
      </c>
      <c r="D143" s="7">
        <v>1300</v>
      </c>
      <c r="E143" s="6">
        <v>11</v>
      </c>
      <c r="F143" s="6" t="s">
        <v>602</v>
      </c>
      <c r="G143" s="11">
        <v>0.04</v>
      </c>
      <c r="H143" s="12">
        <f t="shared" si="2"/>
        <v>118.2</v>
      </c>
      <c r="I143" s="6" t="s">
        <v>905</v>
      </c>
    </row>
    <row r="144" spans="1:9" x14ac:dyDescent="0.25">
      <c r="A144" s="6">
        <v>140</v>
      </c>
      <c r="B144" s="6" t="s">
        <v>782</v>
      </c>
      <c r="C144" s="6" t="s">
        <v>624</v>
      </c>
      <c r="D144" s="7">
        <v>1300</v>
      </c>
      <c r="E144" s="6">
        <v>11</v>
      </c>
      <c r="F144" s="6" t="s">
        <v>602</v>
      </c>
      <c r="G144" s="11">
        <v>0.03</v>
      </c>
      <c r="H144" s="12">
        <f t="shared" si="2"/>
        <v>118.2</v>
      </c>
      <c r="I144" s="6" t="s">
        <v>905</v>
      </c>
    </row>
    <row r="145" spans="1:9" x14ac:dyDescent="0.25">
      <c r="A145" s="6">
        <v>141</v>
      </c>
      <c r="B145" s="6" t="s">
        <v>851</v>
      </c>
      <c r="C145" s="6" t="s">
        <v>685</v>
      </c>
      <c r="D145" s="7">
        <v>590</v>
      </c>
      <c r="E145" s="6">
        <v>5</v>
      </c>
      <c r="F145" s="6" t="s">
        <v>668</v>
      </c>
      <c r="G145" s="11">
        <v>0.24</v>
      </c>
      <c r="H145" s="12">
        <f t="shared" si="2"/>
        <v>118</v>
      </c>
      <c r="I145" s="6" t="s">
        <v>905</v>
      </c>
    </row>
    <row r="146" spans="1:9" x14ac:dyDescent="0.25">
      <c r="A146" s="6">
        <v>142</v>
      </c>
      <c r="B146" s="6" t="s">
        <v>756</v>
      </c>
      <c r="C146" s="6" t="s">
        <v>170</v>
      </c>
      <c r="D146" s="7">
        <v>1600</v>
      </c>
      <c r="E146" s="6">
        <v>14</v>
      </c>
      <c r="F146" s="6" t="s">
        <v>585</v>
      </c>
      <c r="G146" s="11">
        <v>0.05</v>
      </c>
      <c r="H146" s="12">
        <f t="shared" si="2"/>
        <v>114.3</v>
      </c>
      <c r="I146" s="6" t="s">
        <v>906</v>
      </c>
    </row>
    <row r="147" spans="1:9" x14ac:dyDescent="0.25">
      <c r="A147" s="6">
        <v>143</v>
      </c>
      <c r="B147" s="6" t="s">
        <v>560</v>
      </c>
      <c r="C147" s="6" t="s">
        <v>605</v>
      </c>
      <c r="D147" s="7">
        <v>1900</v>
      </c>
      <c r="E147" s="6">
        <v>17</v>
      </c>
      <c r="F147" s="6" t="s">
        <v>651</v>
      </c>
      <c r="G147" s="11">
        <v>0.11</v>
      </c>
      <c r="H147" s="12">
        <f t="shared" si="2"/>
        <v>111.8</v>
      </c>
      <c r="I147" s="6" t="s">
        <v>906</v>
      </c>
    </row>
    <row r="148" spans="1:9" x14ac:dyDescent="0.25">
      <c r="A148" s="6">
        <v>144</v>
      </c>
      <c r="B148" s="6" t="s">
        <v>789</v>
      </c>
      <c r="C148" s="6" t="s">
        <v>210</v>
      </c>
      <c r="D148" s="7">
        <v>1000</v>
      </c>
      <c r="E148" s="6">
        <v>9</v>
      </c>
      <c r="F148" s="6" t="s">
        <v>602</v>
      </c>
      <c r="G148" s="11">
        <v>0.03</v>
      </c>
      <c r="H148" s="12">
        <f t="shared" si="2"/>
        <v>111.1</v>
      </c>
      <c r="I148" s="6" t="s">
        <v>905</v>
      </c>
    </row>
    <row r="149" spans="1:9" x14ac:dyDescent="0.25">
      <c r="A149" s="6">
        <v>145</v>
      </c>
      <c r="B149" s="6" t="s">
        <v>730</v>
      </c>
      <c r="C149" s="6" t="s">
        <v>210</v>
      </c>
      <c r="D149" s="7">
        <v>1900</v>
      </c>
      <c r="E149" s="6">
        <v>18</v>
      </c>
      <c r="F149" s="6" t="s">
        <v>585</v>
      </c>
      <c r="G149" s="11">
        <v>0.11</v>
      </c>
      <c r="H149" s="12">
        <f t="shared" si="2"/>
        <v>105.6</v>
      </c>
      <c r="I149" s="6" t="s">
        <v>906</v>
      </c>
    </row>
    <row r="150" spans="1:9" x14ac:dyDescent="0.25">
      <c r="A150" s="6">
        <v>146</v>
      </c>
      <c r="B150" s="6" t="s">
        <v>319</v>
      </c>
      <c r="C150" s="6" t="s">
        <v>648</v>
      </c>
      <c r="D150" s="7">
        <v>720</v>
      </c>
      <c r="E150" s="6">
        <v>7</v>
      </c>
      <c r="F150" s="6" t="s">
        <v>585</v>
      </c>
      <c r="G150" s="11">
        <v>0.06</v>
      </c>
      <c r="H150" s="12">
        <f t="shared" si="2"/>
        <v>102.9</v>
      </c>
      <c r="I150" s="6" t="s">
        <v>906</v>
      </c>
    </row>
    <row r="151" spans="1:9" x14ac:dyDescent="0.25">
      <c r="A151" s="6">
        <v>147</v>
      </c>
      <c r="B151" s="6" t="s">
        <v>839</v>
      </c>
      <c r="C151" s="6" t="s">
        <v>624</v>
      </c>
      <c r="D151" s="7">
        <v>720</v>
      </c>
      <c r="E151" s="6">
        <v>7</v>
      </c>
      <c r="F151" s="6" t="s">
        <v>592</v>
      </c>
      <c r="G151" s="11">
        <v>0.02</v>
      </c>
      <c r="H151" s="12">
        <f t="shared" si="2"/>
        <v>102.9</v>
      </c>
      <c r="I151" s="6" t="s">
        <v>905</v>
      </c>
    </row>
    <row r="152" spans="1:9" x14ac:dyDescent="0.25">
      <c r="A152" s="6">
        <v>148</v>
      </c>
      <c r="B152" s="6" t="s">
        <v>744</v>
      </c>
      <c r="C152" s="6" t="s">
        <v>644</v>
      </c>
      <c r="D152" s="7">
        <v>1600</v>
      </c>
      <c r="E152" s="6">
        <v>16</v>
      </c>
      <c r="F152" s="6" t="s">
        <v>596</v>
      </c>
      <c r="G152" s="11">
        <v>0.17</v>
      </c>
      <c r="H152" s="12">
        <f t="shared" si="2"/>
        <v>100</v>
      </c>
      <c r="I152" s="6" t="s">
        <v>906</v>
      </c>
    </row>
    <row r="153" spans="1:9" x14ac:dyDescent="0.25">
      <c r="A153" s="6">
        <v>149</v>
      </c>
      <c r="B153" s="6" t="s">
        <v>766</v>
      </c>
      <c r="C153" s="6" t="s">
        <v>605</v>
      </c>
      <c r="D153" s="7">
        <v>1300</v>
      </c>
      <c r="E153" s="6">
        <v>13</v>
      </c>
      <c r="F153" s="6" t="s">
        <v>589</v>
      </c>
      <c r="G153" s="11">
        <v>0.13</v>
      </c>
      <c r="H153" s="12">
        <f t="shared" si="2"/>
        <v>100</v>
      </c>
      <c r="I153" s="6" t="s">
        <v>909</v>
      </c>
    </row>
    <row r="154" spans="1:9" x14ac:dyDescent="0.25">
      <c r="A154" s="6">
        <v>150</v>
      </c>
      <c r="B154" s="6" t="s">
        <v>131</v>
      </c>
      <c r="C154" s="6" t="s">
        <v>644</v>
      </c>
      <c r="D154" s="7">
        <v>1300</v>
      </c>
      <c r="E154" s="6">
        <v>13</v>
      </c>
      <c r="F154" s="6" t="s">
        <v>602</v>
      </c>
      <c r="G154" s="11">
        <v>0.06</v>
      </c>
      <c r="H154" s="12">
        <f t="shared" si="2"/>
        <v>100</v>
      </c>
      <c r="I154" s="6" t="s">
        <v>905</v>
      </c>
    </row>
    <row r="155" spans="1:9" x14ac:dyDescent="0.25">
      <c r="A155" s="6">
        <v>151</v>
      </c>
      <c r="B155" s="6" t="s">
        <v>729</v>
      </c>
      <c r="C155" s="6" t="s">
        <v>210</v>
      </c>
      <c r="D155" s="7">
        <v>1900</v>
      </c>
      <c r="E155" s="6">
        <v>19</v>
      </c>
      <c r="F155" s="6" t="s">
        <v>592</v>
      </c>
      <c r="G155" s="11">
        <v>0.09</v>
      </c>
      <c r="H155" s="12">
        <f t="shared" si="2"/>
        <v>100</v>
      </c>
      <c r="I155" s="6" t="s">
        <v>907</v>
      </c>
    </row>
    <row r="156" spans="1:9" x14ac:dyDescent="0.25">
      <c r="A156" s="6">
        <v>152</v>
      </c>
      <c r="B156" s="6" t="s">
        <v>788</v>
      </c>
      <c r="C156" s="6" t="s">
        <v>210</v>
      </c>
      <c r="D156" s="7">
        <v>1000</v>
      </c>
      <c r="E156" s="6">
        <v>10</v>
      </c>
      <c r="F156" s="6" t="s">
        <v>592</v>
      </c>
      <c r="G156" s="11">
        <v>0.11</v>
      </c>
      <c r="H156" s="12">
        <f t="shared" si="2"/>
        <v>100</v>
      </c>
      <c r="I156" s="6" t="s">
        <v>907</v>
      </c>
    </row>
    <row r="157" spans="1:9" x14ac:dyDescent="0.25">
      <c r="A157" s="6">
        <v>153</v>
      </c>
      <c r="B157" s="6" t="s">
        <v>778</v>
      </c>
      <c r="C157" s="6" t="s">
        <v>170</v>
      </c>
      <c r="D157" s="7">
        <v>1300</v>
      </c>
      <c r="E157" s="6">
        <v>13</v>
      </c>
      <c r="F157" s="6" t="s">
        <v>585</v>
      </c>
      <c r="G157" s="11">
        <v>0.08</v>
      </c>
      <c r="H157" s="12">
        <f t="shared" si="2"/>
        <v>100</v>
      </c>
      <c r="I157" s="6" t="s">
        <v>906</v>
      </c>
    </row>
    <row r="158" spans="1:9" x14ac:dyDescent="0.25">
      <c r="A158" s="6">
        <v>154</v>
      </c>
      <c r="B158" s="6" t="s">
        <v>225</v>
      </c>
      <c r="C158" s="6" t="s">
        <v>179</v>
      </c>
      <c r="D158" s="7">
        <v>1000</v>
      </c>
      <c r="E158" s="6">
        <v>10</v>
      </c>
      <c r="F158" s="6" t="s">
        <v>585</v>
      </c>
      <c r="G158" s="11">
        <v>0.09</v>
      </c>
      <c r="H158" s="12">
        <f t="shared" si="2"/>
        <v>100</v>
      </c>
      <c r="I158" s="6" t="s">
        <v>906</v>
      </c>
    </row>
    <row r="159" spans="1:9" x14ac:dyDescent="0.25">
      <c r="A159" s="6">
        <v>155</v>
      </c>
      <c r="B159" s="6" t="s">
        <v>804</v>
      </c>
      <c r="C159" s="6" t="s">
        <v>685</v>
      </c>
      <c r="D159" s="7">
        <v>1000</v>
      </c>
      <c r="E159" s="6">
        <v>10</v>
      </c>
      <c r="F159" s="6" t="s">
        <v>592</v>
      </c>
      <c r="G159" s="11">
        <v>0.11</v>
      </c>
      <c r="H159" s="12">
        <f t="shared" si="2"/>
        <v>100</v>
      </c>
      <c r="I159" s="6" t="s">
        <v>907</v>
      </c>
    </row>
    <row r="160" spans="1:9" x14ac:dyDescent="0.25">
      <c r="A160" s="6">
        <v>156</v>
      </c>
      <c r="B160" s="6" t="s">
        <v>847</v>
      </c>
      <c r="C160" s="6" t="s">
        <v>648</v>
      </c>
      <c r="D160" s="7">
        <v>590</v>
      </c>
      <c r="E160" s="6">
        <v>6</v>
      </c>
      <c r="F160" s="6" t="s">
        <v>585</v>
      </c>
      <c r="G160" s="11">
        <v>0.17</v>
      </c>
      <c r="H160" s="12">
        <f t="shared" si="2"/>
        <v>98.3</v>
      </c>
      <c r="I160" s="6" t="s">
        <v>906</v>
      </c>
    </row>
    <row r="161" spans="1:9" x14ac:dyDescent="0.25">
      <c r="A161" s="6">
        <v>157</v>
      </c>
      <c r="B161" s="6" t="s">
        <v>738</v>
      </c>
      <c r="C161" s="6" t="s">
        <v>685</v>
      </c>
      <c r="D161" s="7">
        <v>1900</v>
      </c>
      <c r="E161" s="6">
        <v>20</v>
      </c>
      <c r="F161" s="6" t="s">
        <v>616</v>
      </c>
      <c r="G161" s="11">
        <v>0.16</v>
      </c>
      <c r="H161" s="12">
        <f t="shared" si="2"/>
        <v>95</v>
      </c>
      <c r="I161" s="6" t="s">
        <v>906</v>
      </c>
    </row>
    <row r="162" spans="1:9" x14ac:dyDescent="0.25">
      <c r="A162" s="6">
        <v>158</v>
      </c>
      <c r="B162" s="6" t="s">
        <v>752</v>
      </c>
      <c r="C162" s="6" t="s">
        <v>210</v>
      </c>
      <c r="D162" s="7">
        <v>1600</v>
      </c>
      <c r="E162" s="6">
        <v>17</v>
      </c>
      <c r="F162" s="6" t="s">
        <v>592</v>
      </c>
      <c r="G162" s="11">
        <v>0.09</v>
      </c>
      <c r="H162" s="12">
        <f t="shared" si="2"/>
        <v>94.1</v>
      </c>
      <c r="I162" s="6" t="s">
        <v>907</v>
      </c>
    </row>
    <row r="163" spans="1:9" x14ac:dyDescent="0.25">
      <c r="A163" s="6">
        <v>159</v>
      </c>
      <c r="B163" s="6" t="s">
        <v>838</v>
      </c>
      <c r="C163" s="6" t="s">
        <v>179</v>
      </c>
      <c r="D163" s="7">
        <v>720</v>
      </c>
      <c r="E163" s="6">
        <v>8</v>
      </c>
      <c r="F163" s="6" t="s">
        <v>592</v>
      </c>
      <c r="G163" s="11">
        <v>0.06</v>
      </c>
      <c r="H163" s="12">
        <f t="shared" si="2"/>
        <v>90</v>
      </c>
      <c r="I163" s="6" t="s">
        <v>905</v>
      </c>
    </row>
    <row r="164" spans="1:9" x14ac:dyDescent="0.25">
      <c r="A164" s="6">
        <v>160</v>
      </c>
      <c r="B164" s="6" t="s">
        <v>122</v>
      </c>
      <c r="C164" s="6" t="s">
        <v>605</v>
      </c>
      <c r="D164" s="7">
        <v>1600</v>
      </c>
      <c r="E164" s="6">
        <v>18</v>
      </c>
      <c r="F164" s="6" t="s">
        <v>585</v>
      </c>
      <c r="G164" s="11">
        <v>0.08</v>
      </c>
      <c r="H164" s="12">
        <f t="shared" si="2"/>
        <v>88.9</v>
      </c>
      <c r="I164" s="6" t="s">
        <v>910</v>
      </c>
    </row>
    <row r="165" spans="1:9" x14ac:dyDescent="0.25">
      <c r="A165" s="6">
        <v>161</v>
      </c>
      <c r="B165" s="6" t="s">
        <v>815</v>
      </c>
      <c r="C165" s="6" t="s">
        <v>210</v>
      </c>
      <c r="D165" s="7">
        <v>880</v>
      </c>
      <c r="E165" s="6">
        <v>10</v>
      </c>
      <c r="F165" s="6" t="s">
        <v>585</v>
      </c>
      <c r="G165" s="11">
        <v>0.11</v>
      </c>
      <c r="H165" s="12">
        <f t="shared" si="2"/>
        <v>88</v>
      </c>
      <c r="I165" s="6" t="s">
        <v>906</v>
      </c>
    </row>
    <row r="166" spans="1:9" x14ac:dyDescent="0.25">
      <c r="A166" s="6">
        <v>162</v>
      </c>
      <c r="B166" s="6" t="s">
        <v>819</v>
      </c>
      <c r="C166" s="6" t="s">
        <v>648</v>
      </c>
      <c r="D166" s="7">
        <v>880</v>
      </c>
      <c r="E166" s="6">
        <v>10</v>
      </c>
      <c r="F166" s="6" t="s">
        <v>585</v>
      </c>
      <c r="G166" s="11">
        <v>0.1</v>
      </c>
      <c r="H166" s="12">
        <f t="shared" si="2"/>
        <v>88</v>
      </c>
      <c r="I166" s="6" t="s">
        <v>906</v>
      </c>
    </row>
    <row r="167" spans="1:9" x14ac:dyDescent="0.25">
      <c r="A167" s="6">
        <v>163</v>
      </c>
      <c r="B167" s="6" t="s">
        <v>776</v>
      </c>
      <c r="C167" s="6" t="s">
        <v>170</v>
      </c>
      <c r="D167" s="7">
        <v>1300</v>
      </c>
      <c r="E167" s="6">
        <v>15</v>
      </c>
      <c r="F167" s="6" t="s">
        <v>596</v>
      </c>
      <c r="G167" s="11">
        <v>0.11</v>
      </c>
      <c r="H167" s="12">
        <f t="shared" si="2"/>
        <v>86.7</v>
      </c>
      <c r="I167" s="6" t="s">
        <v>906</v>
      </c>
    </row>
    <row r="168" spans="1:9" x14ac:dyDescent="0.25">
      <c r="A168" s="6">
        <v>164</v>
      </c>
      <c r="B168" s="6" t="s">
        <v>849</v>
      </c>
      <c r="C168" s="6" t="s">
        <v>685</v>
      </c>
      <c r="D168" s="7">
        <v>590</v>
      </c>
      <c r="E168" s="6">
        <v>7</v>
      </c>
      <c r="F168" s="6" t="s">
        <v>585</v>
      </c>
      <c r="G168" s="11">
        <v>0.13</v>
      </c>
      <c r="H168" s="12">
        <f t="shared" si="2"/>
        <v>84.3</v>
      </c>
      <c r="I168" s="6" t="s">
        <v>906</v>
      </c>
    </row>
    <row r="169" spans="1:9" x14ac:dyDescent="0.25">
      <c r="A169" s="6">
        <v>165</v>
      </c>
      <c r="B169" s="6" t="s">
        <v>748</v>
      </c>
      <c r="C169" s="6" t="s">
        <v>644</v>
      </c>
      <c r="D169" s="7">
        <v>1600</v>
      </c>
      <c r="E169" s="6">
        <v>19</v>
      </c>
      <c r="F169" s="6" t="s">
        <v>616</v>
      </c>
      <c r="G169" s="11">
        <v>0.06</v>
      </c>
      <c r="H169" s="12">
        <f t="shared" si="2"/>
        <v>84.2</v>
      </c>
      <c r="I169" s="6" t="s">
        <v>906</v>
      </c>
    </row>
    <row r="170" spans="1:9" x14ac:dyDescent="0.25">
      <c r="A170" s="6">
        <v>166</v>
      </c>
      <c r="B170" s="6" t="s">
        <v>751</v>
      </c>
      <c r="C170" s="6" t="s">
        <v>605</v>
      </c>
      <c r="D170" s="7">
        <v>1600</v>
      </c>
      <c r="E170" s="6">
        <v>19</v>
      </c>
      <c r="F170" s="6" t="s">
        <v>585</v>
      </c>
      <c r="G170" s="11">
        <v>0.16</v>
      </c>
      <c r="H170" s="12">
        <f t="shared" si="2"/>
        <v>84.2</v>
      </c>
      <c r="I170" s="6" t="s">
        <v>906</v>
      </c>
    </row>
    <row r="171" spans="1:9" x14ac:dyDescent="0.25">
      <c r="A171" s="6">
        <v>167</v>
      </c>
      <c r="B171" s="6" t="s">
        <v>755</v>
      </c>
      <c r="C171" s="6" t="s">
        <v>170</v>
      </c>
      <c r="D171" s="7">
        <v>1600</v>
      </c>
      <c r="E171" s="6">
        <v>19</v>
      </c>
      <c r="F171" s="6" t="s">
        <v>585</v>
      </c>
      <c r="G171" s="11">
        <v>0.05</v>
      </c>
      <c r="H171" s="12">
        <f t="shared" si="2"/>
        <v>84.2</v>
      </c>
      <c r="I171" s="6" t="s">
        <v>906</v>
      </c>
    </row>
    <row r="172" spans="1:9" x14ac:dyDescent="0.25">
      <c r="A172" s="6">
        <v>168</v>
      </c>
      <c r="B172" s="6" t="s">
        <v>762</v>
      </c>
      <c r="C172" s="6" t="s">
        <v>40</v>
      </c>
      <c r="D172" s="7">
        <v>1600</v>
      </c>
      <c r="E172" s="6">
        <v>19</v>
      </c>
      <c r="F172" s="6" t="s">
        <v>592</v>
      </c>
      <c r="G172" s="11">
        <v>0.16</v>
      </c>
      <c r="H172" s="12">
        <f t="shared" si="2"/>
        <v>84.2</v>
      </c>
      <c r="I172" s="6" t="s">
        <v>907</v>
      </c>
    </row>
    <row r="173" spans="1:9" x14ac:dyDescent="0.25">
      <c r="A173" s="6">
        <v>169</v>
      </c>
      <c r="B173" s="6" t="s">
        <v>802</v>
      </c>
      <c r="C173" s="6" t="s">
        <v>648</v>
      </c>
      <c r="D173" s="7">
        <v>1000</v>
      </c>
      <c r="E173" s="6">
        <v>12</v>
      </c>
      <c r="F173" s="6" t="s">
        <v>585</v>
      </c>
      <c r="G173" s="11">
        <v>0.08</v>
      </c>
      <c r="H173" s="12">
        <f t="shared" si="2"/>
        <v>83.3</v>
      </c>
      <c r="I173" s="6" t="s">
        <v>906</v>
      </c>
    </row>
    <row r="174" spans="1:9" x14ac:dyDescent="0.25">
      <c r="A174" s="6">
        <v>170</v>
      </c>
      <c r="B174" s="6" t="s">
        <v>805</v>
      </c>
      <c r="C174" s="6" t="s">
        <v>624</v>
      </c>
      <c r="D174" s="7">
        <v>1000</v>
      </c>
      <c r="E174" s="6">
        <v>12</v>
      </c>
      <c r="F174" s="6" t="s">
        <v>589</v>
      </c>
      <c r="G174" s="11">
        <v>0.05</v>
      </c>
      <c r="H174" s="12">
        <f t="shared" si="2"/>
        <v>83.3</v>
      </c>
      <c r="I174" s="6" t="s">
        <v>909</v>
      </c>
    </row>
    <row r="175" spans="1:9" x14ac:dyDescent="0.25">
      <c r="A175" s="6">
        <v>171</v>
      </c>
      <c r="B175" s="6" t="s">
        <v>244</v>
      </c>
      <c r="C175" s="6" t="s">
        <v>605</v>
      </c>
      <c r="D175" s="7">
        <v>1300</v>
      </c>
      <c r="E175" s="6">
        <v>16</v>
      </c>
      <c r="F175" s="6" t="s">
        <v>585</v>
      </c>
      <c r="G175" s="11">
        <v>0.13</v>
      </c>
      <c r="H175" s="12">
        <f t="shared" si="2"/>
        <v>81.3</v>
      </c>
      <c r="I175" s="6" t="s">
        <v>906</v>
      </c>
    </row>
    <row r="176" spans="1:9" x14ac:dyDescent="0.25">
      <c r="A176" s="6">
        <v>172</v>
      </c>
      <c r="B176" s="6" t="s">
        <v>273</v>
      </c>
      <c r="C176" s="6" t="s">
        <v>644</v>
      </c>
      <c r="D176" s="7">
        <v>1300</v>
      </c>
      <c r="E176" s="6">
        <v>16</v>
      </c>
      <c r="F176" s="6" t="s">
        <v>585</v>
      </c>
      <c r="G176" s="11">
        <v>0.12</v>
      </c>
      <c r="H176" s="12">
        <f t="shared" si="2"/>
        <v>81.3</v>
      </c>
      <c r="I176" s="6" t="s">
        <v>906</v>
      </c>
    </row>
    <row r="177" spans="1:9" x14ac:dyDescent="0.25">
      <c r="A177" s="6">
        <v>173</v>
      </c>
      <c r="B177" s="6" t="s">
        <v>495</v>
      </c>
      <c r="C177" s="6" t="s">
        <v>605</v>
      </c>
      <c r="D177" s="7">
        <v>1300</v>
      </c>
      <c r="E177" s="6">
        <v>16</v>
      </c>
      <c r="F177" s="6" t="s">
        <v>585</v>
      </c>
      <c r="G177" s="11">
        <v>0.08</v>
      </c>
      <c r="H177" s="12">
        <f t="shared" si="2"/>
        <v>81.3</v>
      </c>
      <c r="I177" s="6" t="s">
        <v>906</v>
      </c>
    </row>
    <row r="178" spans="1:9" x14ac:dyDescent="0.25">
      <c r="A178" s="6">
        <v>174</v>
      </c>
      <c r="B178" s="6" t="s">
        <v>814</v>
      </c>
      <c r="C178" s="6" t="s">
        <v>210</v>
      </c>
      <c r="D178" s="7">
        <v>880</v>
      </c>
      <c r="E178" s="6">
        <v>11</v>
      </c>
      <c r="F178" s="6" t="s">
        <v>602</v>
      </c>
      <c r="G178" s="11">
        <v>0.03</v>
      </c>
      <c r="H178" s="12">
        <f t="shared" si="2"/>
        <v>80</v>
      </c>
      <c r="I178" s="6" t="s">
        <v>905</v>
      </c>
    </row>
    <row r="179" spans="1:9" x14ac:dyDescent="0.25">
      <c r="A179" s="6">
        <v>175</v>
      </c>
      <c r="B179" s="6" t="s">
        <v>799</v>
      </c>
      <c r="C179" s="6" t="s">
        <v>648</v>
      </c>
      <c r="D179" s="7">
        <v>1000</v>
      </c>
      <c r="E179" s="6">
        <v>13</v>
      </c>
      <c r="F179" s="6" t="s">
        <v>592</v>
      </c>
      <c r="G179" s="11">
        <v>0.06</v>
      </c>
      <c r="H179" s="12">
        <f t="shared" si="2"/>
        <v>76.900000000000006</v>
      </c>
      <c r="I179" s="6" t="s">
        <v>907</v>
      </c>
    </row>
    <row r="180" spans="1:9" x14ac:dyDescent="0.25">
      <c r="A180" s="6">
        <v>176</v>
      </c>
      <c r="B180" s="6" t="s">
        <v>807</v>
      </c>
      <c r="C180" s="6" t="s">
        <v>588</v>
      </c>
      <c r="D180" s="7">
        <v>1000</v>
      </c>
      <c r="E180" s="6">
        <v>13</v>
      </c>
      <c r="F180" s="6" t="s">
        <v>585</v>
      </c>
      <c r="G180" s="11">
        <v>0.03</v>
      </c>
      <c r="H180" s="12">
        <f t="shared" si="2"/>
        <v>76.900000000000006</v>
      </c>
      <c r="I180" s="6" t="s">
        <v>906</v>
      </c>
    </row>
    <row r="181" spans="1:9" x14ac:dyDescent="0.25">
      <c r="A181" s="6">
        <v>177</v>
      </c>
      <c r="B181" s="6" t="s">
        <v>335</v>
      </c>
      <c r="C181" s="6" t="s">
        <v>588</v>
      </c>
      <c r="D181" s="7">
        <v>1000</v>
      </c>
      <c r="E181" s="6">
        <v>13</v>
      </c>
      <c r="F181" s="6" t="s">
        <v>585</v>
      </c>
      <c r="G181" s="11">
        <v>0.04</v>
      </c>
      <c r="H181" s="12">
        <f t="shared" si="2"/>
        <v>76.900000000000006</v>
      </c>
      <c r="I181" s="6" t="s">
        <v>906</v>
      </c>
    </row>
    <row r="182" spans="1:9" x14ac:dyDescent="0.25">
      <c r="A182" s="6">
        <v>178</v>
      </c>
      <c r="B182" s="6" t="s">
        <v>779</v>
      </c>
      <c r="C182" s="6" t="s">
        <v>170</v>
      </c>
      <c r="D182" s="7">
        <v>1300</v>
      </c>
      <c r="E182" s="6">
        <v>17</v>
      </c>
      <c r="F182" s="6" t="s">
        <v>585</v>
      </c>
      <c r="G182" s="11">
        <v>0.06</v>
      </c>
      <c r="H182" s="12">
        <f t="shared" si="2"/>
        <v>76.5</v>
      </c>
      <c r="I182" s="6" t="s">
        <v>906</v>
      </c>
    </row>
    <row r="183" spans="1:9" x14ac:dyDescent="0.25">
      <c r="A183" s="6">
        <v>179</v>
      </c>
      <c r="B183" s="6" t="s">
        <v>846</v>
      </c>
      <c r="C183" s="6" t="s">
        <v>648</v>
      </c>
      <c r="D183" s="7">
        <v>590</v>
      </c>
      <c r="E183" s="6">
        <v>8</v>
      </c>
      <c r="F183" s="6" t="s">
        <v>585</v>
      </c>
      <c r="G183" s="11">
        <v>0.03</v>
      </c>
      <c r="H183" s="12">
        <f t="shared" si="2"/>
        <v>73.8</v>
      </c>
      <c r="I183" s="6" t="s">
        <v>906</v>
      </c>
    </row>
    <row r="184" spans="1:9" x14ac:dyDescent="0.25">
      <c r="A184" s="6">
        <v>180</v>
      </c>
      <c r="B184" s="6" t="s">
        <v>818</v>
      </c>
      <c r="C184" s="6" t="s">
        <v>170</v>
      </c>
      <c r="D184" s="7">
        <v>880</v>
      </c>
      <c r="E184" s="6">
        <v>12</v>
      </c>
      <c r="F184" s="6" t="s">
        <v>602</v>
      </c>
      <c r="G184" s="11">
        <v>0.03</v>
      </c>
      <c r="H184" s="12">
        <f t="shared" si="2"/>
        <v>73.3</v>
      </c>
      <c r="I184" s="6" t="s">
        <v>905</v>
      </c>
    </row>
    <row r="185" spans="1:9" x14ac:dyDescent="0.25">
      <c r="A185" s="6">
        <v>181</v>
      </c>
      <c r="B185" s="6" t="s">
        <v>786</v>
      </c>
      <c r="C185" s="6" t="s">
        <v>588</v>
      </c>
      <c r="D185" s="7">
        <v>1300</v>
      </c>
      <c r="E185" s="6">
        <v>18</v>
      </c>
      <c r="F185" s="6" t="s">
        <v>585</v>
      </c>
      <c r="G185" s="11">
        <v>0.06</v>
      </c>
      <c r="H185" s="12">
        <f t="shared" si="2"/>
        <v>72.2</v>
      </c>
      <c r="I185" s="6" t="s">
        <v>906</v>
      </c>
    </row>
    <row r="186" spans="1:9" x14ac:dyDescent="0.25">
      <c r="A186" s="6">
        <v>182</v>
      </c>
      <c r="B186" s="6" t="s">
        <v>834</v>
      </c>
      <c r="C186" s="6" t="s">
        <v>170</v>
      </c>
      <c r="D186" s="7">
        <v>720</v>
      </c>
      <c r="E186" s="6">
        <v>10</v>
      </c>
      <c r="F186" s="6" t="s">
        <v>602</v>
      </c>
      <c r="G186" s="11">
        <v>7.0000000000000007E-2</v>
      </c>
      <c r="H186" s="12">
        <f t="shared" si="2"/>
        <v>72</v>
      </c>
      <c r="I186" s="6" t="s">
        <v>905</v>
      </c>
    </row>
    <row r="187" spans="1:9" x14ac:dyDescent="0.25">
      <c r="A187" s="6">
        <v>183</v>
      </c>
      <c r="B187" s="6" t="s">
        <v>793</v>
      </c>
      <c r="C187" s="6" t="s">
        <v>170</v>
      </c>
      <c r="D187" s="7">
        <v>1000</v>
      </c>
      <c r="E187" s="6">
        <v>14</v>
      </c>
      <c r="F187" s="6" t="s">
        <v>585</v>
      </c>
      <c r="G187" s="11">
        <v>0.18</v>
      </c>
      <c r="H187" s="12">
        <f t="shared" si="2"/>
        <v>71.400000000000006</v>
      </c>
      <c r="I187" s="6" t="s">
        <v>906</v>
      </c>
    </row>
    <row r="188" spans="1:9" x14ac:dyDescent="0.25">
      <c r="A188" s="6">
        <v>184</v>
      </c>
      <c r="B188" s="6" t="s">
        <v>796</v>
      </c>
      <c r="C188" s="6" t="s">
        <v>170</v>
      </c>
      <c r="D188" s="7">
        <v>1000</v>
      </c>
      <c r="E188" s="6">
        <v>14</v>
      </c>
      <c r="F188" s="6" t="s">
        <v>585</v>
      </c>
      <c r="G188" s="11">
        <v>7.0000000000000007E-2</v>
      </c>
      <c r="H188" s="12">
        <f t="shared" si="2"/>
        <v>71.400000000000006</v>
      </c>
      <c r="I188" s="6" t="s">
        <v>906</v>
      </c>
    </row>
    <row r="189" spans="1:9" x14ac:dyDescent="0.25">
      <c r="A189" s="6">
        <v>185</v>
      </c>
      <c r="B189" s="6" t="s">
        <v>813</v>
      </c>
      <c r="C189" s="6" t="s">
        <v>210</v>
      </c>
      <c r="D189" s="7">
        <v>880</v>
      </c>
      <c r="E189" s="6">
        <v>13</v>
      </c>
      <c r="F189" s="6" t="s">
        <v>585</v>
      </c>
      <c r="G189" s="11">
        <v>7.0000000000000007E-2</v>
      </c>
      <c r="H189" s="12">
        <f t="shared" si="2"/>
        <v>67.7</v>
      </c>
      <c r="I189" s="6" t="s">
        <v>906</v>
      </c>
    </row>
    <row r="190" spans="1:9" x14ac:dyDescent="0.25">
      <c r="A190" s="6">
        <v>186</v>
      </c>
      <c r="B190" s="6" t="s">
        <v>824</v>
      </c>
      <c r="C190" s="6" t="s">
        <v>624</v>
      </c>
      <c r="D190" s="7">
        <v>880</v>
      </c>
      <c r="E190" s="6">
        <v>13</v>
      </c>
      <c r="F190" s="6" t="s">
        <v>585</v>
      </c>
      <c r="G190" s="11">
        <v>0.03</v>
      </c>
      <c r="H190" s="12">
        <f t="shared" si="2"/>
        <v>67.7</v>
      </c>
      <c r="I190" s="6" t="s">
        <v>906</v>
      </c>
    </row>
    <row r="191" spans="1:9" x14ac:dyDescent="0.25">
      <c r="A191" s="6">
        <v>187</v>
      </c>
      <c r="B191" s="6" t="s">
        <v>791</v>
      </c>
      <c r="C191" s="6" t="s">
        <v>210</v>
      </c>
      <c r="D191" s="7">
        <v>1000</v>
      </c>
      <c r="E191" s="6">
        <v>15</v>
      </c>
      <c r="F191" s="6" t="s">
        <v>592</v>
      </c>
      <c r="G191" s="11">
        <v>0.08</v>
      </c>
      <c r="H191" s="12">
        <f t="shared" si="2"/>
        <v>66.7</v>
      </c>
      <c r="I191" s="6" t="s">
        <v>905</v>
      </c>
    </row>
    <row r="192" spans="1:9" x14ac:dyDescent="0.25">
      <c r="A192" s="6">
        <v>188</v>
      </c>
      <c r="B192" s="6" t="s">
        <v>792</v>
      </c>
      <c r="C192" s="6" t="s">
        <v>210</v>
      </c>
      <c r="D192" s="7">
        <v>1000</v>
      </c>
      <c r="E192" s="6">
        <v>15</v>
      </c>
      <c r="F192" s="6" t="s">
        <v>585</v>
      </c>
      <c r="G192" s="11">
        <v>0.09</v>
      </c>
      <c r="H192" s="12">
        <f t="shared" si="2"/>
        <v>66.7</v>
      </c>
      <c r="I192" s="6" t="s">
        <v>906</v>
      </c>
    </row>
    <row r="193" spans="1:9" x14ac:dyDescent="0.25">
      <c r="A193" s="6">
        <v>189</v>
      </c>
      <c r="B193" s="6" t="s">
        <v>770</v>
      </c>
      <c r="C193" s="6" t="s">
        <v>210</v>
      </c>
      <c r="D193" s="7">
        <v>1300</v>
      </c>
      <c r="E193" s="6">
        <v>20</v>
      </c>
      <c r="F193" s="6" t="s">
        <v>585</v>
      </c>
      <c r="G193" s="11">
        <v>0.12</v>
      </c>
      <c r="H193" s="12">
        <f t="shared" si="2"/>
        <v>65</v>
      </c>
      <c r="I193" s="6" t="s">
        <v>906</v>
      </c>
    </row>
    <row r="194" spans="1:9" x14ac:dyDescent="0.25">
      <c r="A194" s="6">
        <v>190</v>
      </c>
      <c r="B194" s="6" t="s">
        <v>820</v>
      </c>
      <c r="C194" s="6" t="s">
        <v>648</v>
      </c>
      <c r="D194" s="7">
        <v>880</v>
      </c>
      <c r="E194" s="6">
        <v>14</v>
      </c>
      <c r="F194" s="6" t="s">
        <v>592</v>
      </c>
      <c r="G194" s="11">
        <v>0.05</v>
      </c>
      <c r="H194" s="12">
        <f t="shared" si="2"/>
        <v>62.9</v>
      </c>
      <c r="I194" s="6" t="s">
        <v>907</v>
      </c>
    </row>
    <row r="195" spans="1:9" x14ac:dyDescent="0.25">
      <c r="A195" s="6">
        <v>191</v>
      </c>
      <c r="B195" s="6" t="s">
        <v>828</v>
      </c>
      <c r="C195" s="6" t="s">
        <v>210</v>
      </c>
      <c r="D195" s="7">
        <v>720</v>
      </c>
      <c r="E195" s="6">
        <v>12</v>
      </c>
      <c r="F195" s="6" t="s">
        <v>585</v>
      </c>
      <c r="G195" s="11">
        <v>0.14000000000000001</v>
      </c>
      <c r="H195" s="12">
        <f t="shared" si="2"/>
        <v>60</v>
      </c>
      <c r="I195" s="6" t="s">
        <v>906</v>
      </c>
    </row>
    <row r="196" spans="1:9" x14ac:dyDescent="0.25">
      <c r="A196" s="6">
        <v>192</v>
      </c>
      <c r="B196" s="6" t="s">
        <v>498</v>
      </c>
      <c r="C196" s="6" t="s">
        <v>210</v>
      </c>
      <c r="D196" s="7">
        <v>1000</v>
      </c>
      <c r="E196" s="6">
        <v>17</v>
      </c>
      <c r="F196" s="6" t="s">
        <v>585</v>
      </c>
      <c r="G196" s="11">
        <v>0.12</v>
      </c>
      <c r="H196" s="12">
        <f t="shared" si="2"/>
        <v>58.8</v>
      </c>
      <c r="I196" s="6" t="s">
        <v>906</v>
      </c>
    </row>
    <row r="197" spans="1:9" x14ac:dyDescent="0.25">
      <c r="A197" s="6">
        <v>193</v>
      </c>
      <c r="B197" s="6" t="s">
        <v>801</v>
      </c>
      <c r="C197" s="6" t="s">
        <v>648</v>
      </c>
      <c r="D197" s="7">
        <v>1000</v>
      </c>
      <c r="E197" s="6">
        <v>17</v>
      </c>
      <c r="F197" s="6" t="s">
        <v>585</v>
      </c>
      <c r="G197" s="11">
        <v>0</v>
      </c>
      <c r="H197" s="12">
        <f t="shared" ref="H197:H225" si="3">ROUND(D197/MAX(E197,1),1)</f>
        <v>58.8</v>
      </c>
      <c r="I197" s="6" t="s">
        <v>906</v>
      </c>
    </row>
    <row r="198" spans="1:9" x14ac:dyDescent="0.25">
      <c r="A198" s="6">
        <v>194</v>
      </c>
      <c r="B198" s="6" t="s">
        <v>806</v>
      </c>
      <c r="C198" s="6" t="s">
        <v>624</v>
      </c>
      <c r="D198" s="7">
        <v>1000</v>
      </c>
      <c r="E198" s="6">
        <v>17</v>
      </c>
      <c r="F198" s="6" t="s">
        <v>596</v>
      </c>
      <c r="G198" s="11">
        <v>0.02</v>
      </c>
      <c r="H198" s="12">
        <f t="shared" si="3"/>
        <v>58.8</v>
      </c>
      <c r="I198" s="6" t="s">
        <v>906</v>
      </c>
    </row>
    <row r="199" spans="1:9" x14ac:dyDescent="0.25">
      <c r="A199" s="6">
        <v>195</v>
      </c>
      <c r="B199" s="6" t="s">
        <v>812</v>
      </c>
      <c r="C199" s="6" t="s">
        <v>210</v>
      </c>
      <c r="D199" s="7">
        <v>880</v>
      </c>
      <c r="E199" s="6">
        <v>15</v>
      </c>
      <c r="F199" s="6" t="s">
        <v>592</v>
      </c>
      <c r="G199" s="11">
        <v>0.09</v>
      </c>
      <c r="H199" s="12">
        <f t="shared" si="3"/>
        <v>58.7</v>
      </c>
      <c r="I199" s="6" t="s">
        <v>907</v>
      </c>
    </row>
    <row r="200" spans="1:9" x14ac:dyDescent="0.25">
      <c r="A200" s="6">
        <v>196</v>
      </c>
      <c r="B200" s="6" t="s">
        <v>283</v>
      </c>
      <c r="C200" s="6" t="s">
        <v>210</v>
      </c>
      <c r="D200" s="7">
        <v>1000</v>
      </c>
      <c r="E200" s="6">
        <v>18</v>
      </c>
      <c r="F200" s="6" t="s">
        <v>616</v>
      </c>
      <c r="G200" s="11">
        <v>0.06</v>
      </c>
      <c r="H200" s="12">
        <f t="shared" si="3"/>
        <v>55.6</v>
      </c>
      <c r="I200" s="6" t="s">
        <v>906</v>
      </c>
    </row>
    <row r="201" spans="1:9" x14ac:dyDescent="0.25">
      <c r="A201" s="6">
        <v>197</v>
      </c>
      <c r="B201" s="6" t="s">
        <v>829</v>
      </c>
      <c r="C201" s="6" t="s">
        <v>210</v>
      </c>
      <c r="D201" s="7">
        <v>720</v>
      </c>
      <c r="E201" s="6">
        <v>13</v>
      </c>
      <c r="F201" s="6" t="s">
        <v>585</v>
      </c>
      <c r="G201" s="11">
        <v>0.04</v>
      </c>
      <c r="H201" s="12">
        <f t="shared" si="3"/>
        <v>55.4</v>
      </c>
      <c r="I201" s="6" t="s">
        <v>906</v>
      </c>
    </row>
    <row r="202" spans="1:9" x14ac:dyDescent="0.25">
      <c r="A202" s="6">
        <v>198</v>
      </c>
      <c r="B202" s="6" t="s">
        <v>831</v>
      </c>
      <c r="C202" s="6" t="s">
        <v>210</v>
      </c>
      <c r="D202" s="7">
        <v>720</v>
      </c>
      <c r="E202" s="6">
        <v>13</v>
      </c>
      <c r="F202" s="6" t="s">
        <v>585</v>
      </c>
      <c r="G202" s="11">
        <v>0.04</v>
      </c>
      <c r="H202" s="12">
        <f t="shared" si="3"/>
        <v>55.4</v>
      </c>
      <c r="I202" s="6" t="s">
        <v>910</v>
      </c>
    </row>
    <row r="203" spans="1:9" x14ac:dyDescent="0.25">
      <c r="A203" s="6">
        <v>199</v>
      </c>
      <c r="B203" s="6" t="s">
        <v>836</v>
      </c>
      <c r="C203" s="6" t="s">
        <v>648</v>
      </c>
      <c r="D203" s="7">
        <v>720</v>
      </c>
      <c r="E203" s="6">
        <v>13</v>
      </c>
      <c r="F203" s="6" t="s">
        <v>585</v>
      </c>
      <c r="G203" s="11">
        <v>0.06</v>
      </c>
      <c r="H203" s="12">
        <f t="shared" si="3"/>
        <v>55.4</v>
      </c>
      <c r="I203" s="6" t="s">
        <v>906</v>
      </c>
    </row>
    <row r="204" spans="1:9" x14ac:dyDescent="0.25">
      <c r="A204" s="6">
        <v>200</v>
      </c>
      <c r="B204" s="6" t="s">
        <v>837</v>
      </c>
      <c r="C204" s="6" t="s">
        <v>648</v>
      </c>
      <c r="D204" s="7">
        <v>720</v>
      </c>
      <c r="E204" s="6">
        <v>13</v>
      </c>
      <c r="F204" s="6" t="s">
        <v>592</v>
      </c>
      <c r="G204" s="11">
        <v>0.06</v>
      </c>
      <c r="H204" s="12">
        <f t="shared" si="3"/>
        <v>55.4</v>
      </c>
      <c r="I204" s="6" t="s">
        <v>907</v>
      </c>
    </row>
    <row r="205" spans="1:9" x14ac:dyDescent="0.25">
      <c r="A205" s="6">
        <v>201</v>
      </c>
      <c r="B205" s="6" t="s">
        <v>457</v>
      </c>
      <c r="C205" s="6" t="s">
        <v>624</v>
      </c>
      <c r="D205" s="7">
        <v>880</v>
      </c>
      <c r="E205" s="6">
        <v>16</v>
      </c>
      <c r="F205" s="6" t="s">
        <v>585</v>
      </c>
      <c r="G205" s="11">
        <v>0.02</v>
      </c>
      <c r="H205" s="12">
        <f t="shared" si="3"/>
        <v>55</v>
      </c>
      <c r="I205" s="6" t="s">
        <v>906</v>
      </c>
    </row>
    <row r="206" spans="1:9" x14ac:dyDescent="0.25">
      <c r="A206" s="6">
        <v>202</v>
      </c>
      <c r="B206" s="6" t="s">
        <v>845</v>
      </c>
      <c r="C206" s="6" t="s">
        <v>648</v>
      </c>
      <c r="D206" s="7">
        <v>590</v>
      </c>
      <c r="E206" s="6">
        <v>11</v>
      </c>
      <c r="F206" s="6" t="s">
        <v>585</v>
      </c>
      <c r="G206" s="11">
        <v>0.06</v>
      </c>
      <c r="H206" s="12">
        <f t="shared" si="3"/>
        <v>53.6</v>
      </c>
      <c r="I206" s="6" t="s">
        <v>906</v>
      </c>
    </row>
    <row r="207" spans="1:9" x14ac:dyDescent="0.25">
      <c r="A207" s="6">
        <v>203</v>
      </c>
      <c r="B207" s="6" t="s">
        <v>855</v>
      </c>
      <c r="C207" s="6" t="s">
        <v>624</v>
      </c>
      <c r="D207" s="7">
        <v>590</v>
      </c>
      <c r="E207" s="6">
        <v>11</v>
      </c>
      <c r="F207" s="6" t="s">
        <v>602</v>
      </c>
      <c r="G207" s="11">
        <v>0.02</v>
      </c>
      <c r="H207" s="12">
        <f t="shared" si="3"/>
        <v>53.6</v>
      </c>
      <c r="I207" s="6" t="s">
        <v>905</v>
      </c>
    </row>
    <row r="208" spans="1:9" x14ac:dyDescent="0.25">
      <c r="A208" s="6">
        <v>204</v>
      </c>
      <c r="B208" s="6" t="s">
        <v>797</v>
      </c>
      <c r="C208" s="6" t="s">
        <v>648</v>
      </c>
      <c r="D208" s="7">
        <v>1000</v>
      </c>
      <c r="E208" s="6">
        <v>19</v>
      </c>
      <c r="F208" s="6" t="s">
        <v>585</v>
      </c>
      <c r="G208" s="11">
        <v>0.05</v>
      </c>
      <c r="H208" s="12">
        <f t="shared" si="3"/>
        <v>52.6</v>
      </c>
      <c r="I208" s="6" t="s">
        <v>906</v>
      </c>
    </row>
    <row r="209" spans="1:9" x14ac:dyDescent="0.25">
      <c r="A209" s="6">
        <v>205</v>
      </c>
      <c r="B209" s="6" t="s">
        <v>817</v>
      </c>
      <c r="C209" s="6" t="s">
        <v>170</v>
      </c>
      <c r="D209" s="7">
        <v>880</v>
      </c>
      <c r="E209" s="6">
        <v>17</v>
      </c>
      <c r="F209" s="6" t="s">
        <v>597</v>
      </c>
      <c r="G209" s="11">
        <v>0.24</v>
      </c>
      <c r="H209" s="12">
        <f t="shared" si="3"/>
        <v>51.8</v>
      </c>
      <c r="I209" s="6" t="s">
        <v>909</v>
      </c>
    </row>
    <row r="210" spans="1:9" x14ac:dyDescent="0.25">
      <c r="A210" s="6">
        <v>206</v>
      </c>
      <c r="B210" s="6" t="s">
        <v>825</v>
      </c>
      <c r="C210" s="6" t="s">
        <v>624</v>
      </c>
      <c r="D210" s="7">
        <v>880</v>
      </c>
      <c r="E210" s="6">
        <v>17</v>
      </c>
      <c r="F210" s="6" t="s">
        <v>585</v>
      </c>
      <c r="G210" s="11">
        <v>0.04</v>
      </c>
      <c r="H210" s="12">
        <f t="shared" si="3"/>
        <v>51.8</v>
      </c>
      <c r="I210" s="6" t="s">
        <v>906</v>
      </c>
    </row>
    <row r="211" spans="1:9" x14ac:dyDescent="0.25">
      <c r="A211" s="6">
        <v>207</v>
      </c>
      <c r="B211" s="6" t="s">
        <v>830</v>
      </c>
      <c r="C211" s="6" t="s">
        <v>210</v>
      </c>
      <c r="D211" s="7">
        <v>720</v>
      </c>
      <c r="E211" s="6">
        <v>14</v>
      </c>
      <c r="F211" s="6" t="s">
        <v>585</v>
      </c>
      <c r="G211" s="11">
        <v>0.04</v>
      </c>
      <c r="H211" s="12">
        <f t="shared" si="3"/>
        <v>51.4</v>
      </c>
      <c r="I211" s="6" t="s">
        <v>906</v>
      </c>
    </row>
    <row r="212" spans="1:9" x14ac:dyDescent="0.25">
      <c r="A212" s="6">
        <v>208</v>
      </c>
      <c r="B212" s="6" t="s">
        <v>832</v>
      </c>
      <c r="C212" s="6" t="s">
        <v>170</v>
      </c>
      <c r="D212" s="7">
        <v>720</v>
      </c>
      <c r="E212" s="6">
        <v>14</v>
      </c>
      <c r="F212" s="6" t="s">
        <v>592</v>
      </c>
      <c r="G212" s="11">
        <v>0.11</v>
      </c>
      <c r="H212" s="12">
        <f t="shared" si="3"/>
        <v>51.4</v>
      </c>
      <c r="I212" s="6" t="s">
        <v>907</v>
      </c>
    </row>
    <row r="213" spans="1:9" x14ac:dyDescent="0.25">
      <c r="A213" s="6">
        <v>209</v>
      </c>
      <c r="B213" s="6" t="s">
        <v>810</v>
      </c>
      <c r="C213" s="6" t="s">
        <v>588</v>
      </c>
      <c r="D213" s="7">
        <v>1000</v>
      </c>
      <c r="E213" s="6">
        <v>20</v>
      </c>
      <c r="F213" s="6" t="s">
        <v>585</v>
      </c>
      <c r="G213" s="11">
        <v>7.0000000000000007E-2</v>
      </c>
      <c r="H213" s="12">
        <f t="shared" si="3"/>
        <v>50</v>
      </c>
      <c r="I213" s="6" t="s">
        <v>906</v>
      </c>
    </row>
    <row r="214" spans="1:9" x14ac:dyDescent="0.25">
      <c r="A214" s="6">
        <v>210</v>
      </c>
      <c r="B214" s="6" t="s">
        <v>844</v>
      </c>
      <c r="C214" s="6" t="s">
        <v>648</v>
      </c>
      <c r="D214" s="7">
        <v>590</v>
      </c>
      <c r="E214" s="6">
        <v>12</v>
      </c>
      <c r="F214" s="6" t="s">
        <v>585</v>
      </c>
      <c r="G214" s="11">
        <v>0.18</v>
      </c>
      <c r="H214" s="12">
        <f t="shared" si="3"/>
        <v>49.2</v>
      </c>
      <c r="I214" s="6" t="s">
        <v>906</v>
      </c>
    </row>
    <row r="215" spans="1:9" x14ac:dyDescent="0.25">
      <c r="A215" s="6">
        <v>211</v>
      </c>
      <c r="B215" s="6" t="s">
        <v>822</v>
      </c>
      <c r="C215" s="6" t="s">
        <v>179</v>
      </c>
      <c r="D215" s="7">
        <v>880</v>
      </c>
      <c r="E215" s="6">
        <v>18</v>
      </c>
      <c r="F215" s="6" t="s">
        <v>592</v>
      </c>
      <c r="G215" s="11">
        <v>0.1</v>
      </c>
      <c r="H215" s="12">
        <f t="shared" si="3"/>
        <v>48.9</v>
      </c>
      <c r="I215" s="6" t="s">
        <v>907</v>
      </c>
    </row>
    <row r="216" spans="1:9" x14ac:dyDescent="0.25">
      <c r="A216" s="6">
        <v>212</v>
      </c>
      <c r="B216" s="6" t="s">
        <v>840</v>
      </c>
      <c r="C216" s="6" t="s">
        <v>624</v>
      </c>
      <c r="D216" s="7">
        <v>720</v>
      </c>
      <c r="E216" s="6">
        <v>15</v>
      </c>
      <c r="F216" s="6" t="s">
        <v>596</v>
      </c>
      <c r="G216" s="11">
        <v>7.0000000000000007E-2</v>
      </c>
      <c r="H216" s="12">
        <f t="shared" si="3"/>
        <v>48</v>
      </c>
      <c r="I216" s="6" t="s">
        <v>906</v>
      </c>
    </row>
    <row r="217" spans="1:9" x14ac:dyDescent="0.25">
      <c r="A217" s="6">
        <v>213</v>
      </c>
      <c r="B217" s="6" t="s">
        <v>848</v>
      </c>
      <c r="C217" s="6" t="s">
        <v>648</v>
      </c>
      <c r="D217" s="7">
        <v>590</v>
      </c>
      <c r="E217" s="6">
        <v>13</v>
      </c>
      <c r="F217" s="6" t="s">
        <v>585</v>
      </c>
      <c r="G217" s="11">
        <v>0.06</v>
      </c>
      <c r="H217" s="12">
        <f t="shared" si="3"/>
        <v>45.4</v>
      </c>
      <c r="I217" s="6" t="s">
        <v>906</v>
      </c>
    </row>
    <row r="218" spans="1:9" x14ac:dyDescent="0.25">
      <c r="A218" s="6">
        <v>214</v>
      </c>
      <c r="B218" s="6" t="s">
        <v>489</v>
      </c>
      <c r="C218" s="6" t="s">
        <v>179</v>
      </c>
      <c r="D218" s="7">
        <v>590</v>
      </c>
      <c r="E218" s="6">
        <v>13</v>
      </c>
      <c r="F218" s="6" t="s">
        <v>585</v>
      </c>
      <c r="G218" s="11">
        <v>0.08</v>
      </c>
      <c r="H218" s="12">
        <f t="shared" si="3"/>
        <v>45.4</v>
      </c>
      <c r="I218" s="6" t="s">
        <v>906</v>
      </c>
    </row>
    <row r="219" spans="1:9" x14ac:dyDescent="0.25">
      <c r="A219" s="6">
        <v>215</v>
      </c>
      <c r="B219" s="6" t="s">
        <v>842</v>
      </c>
      <c r="C219" s="6" t="s">
        <v>210</v>
      </c>
      <c r="D219" s="7">
        <v>590</v>
      </c>
      <c r="E219" s="6">
        <v>14</v>
      </c>
      <c r="F219" s="6" t="s">
        <v>585</v>
      </c>
      <c r="G219" s="11">
        <v>0.1</v>
      </c>
      <c r="H219" s="12">
        <f t="shared" si="3"/>
        <v>42.1</v>
      </c>
      <c r="I219" s="6" t="s">
        <v>906</v>
      </c>
    </row>
    <row r="220" spans="1:9" x14ac:dyDescent="0.25">
      <c r="A220" s="6">
        <v>216</v>
      </c>
      <c r="B220" s="6" t="s">
        <v>850</v>
      </c>
      <c r="C220" s="6" t="s">
        <v>685</v>
      </c>
      <c r="D220" s="7">
        <v>590</v>
      </c>
      <c r="E220" s="6">
        <v>14</v>
      </c>
      <c r="F220" s="6" t="s">
        <v>585</v>
      </c>
      <c r="G220" s="11">
        <v>0.11</v>
      </c>
      <c r="H220" s="12">
        <f t="shared" si="3"/>
        <v>42.1</v>
      </c>
      <c r="I220" s="6" t="s">
        <v>906</v>
      </c>
    </row>
    <row r="221" spans="1:9" x14ac:dyDescent="0.25">
      <c r="A221" s="6">
        <v>217</v>
      </c>
      <c r="B221" s="6" t="s">
        <v>203</v>
      </c>
      <c r="C221" s="6" t="s">
        <v>179</v>
      </c>
      <c r="D221" s="7">
        <v>720</v>
      </c>
      <c r="E221" s="6">
        <v>20</v>
      </c>
      <c r="F221" s="6" t="s">
        <v>592</v>
      </c>
      <c r="G221" s="11">
        <v>0.1</v>
      </c>
      <c r="H221" s="12">
        <f t="shared" si="3"/>
        <v>36</v>
      </c>
      <c r="I221" s="6" t="s">
        <v>907</v>
      </c>
    </row>
    <row r="222" spans="1:9" x14ac:dyDescent="0.25">
      <c r="A222" s="6">
        <v>218</v>
      </c>
      <c r="B222" s="6" t="s">
        <v>229</v>
      </c>
      <c r="C222" s="6" t="s">
        <v>40</v>
      </c>
      <c r="D222" s="7">
        <v>590</v>
      </c>
      <c r="E222" s="6">
        <v>18</v>
      </c>
      <c r="F222" s="6" t="s">
        <v>585</v>
      </c>
      <c r="G222" s="11">
        <v>0.05</v>
      </c>
      <c r="H222" s="12">
        <f t="shared" si="3"/>
        <v>32.799999999999997</v>
      </c>
      <c r="I222" s="6" t="s">
        <v>908</v>
      </c>
    </row>
    <row r="223" spans="1:9" x14ac:dyDescent="0.25">
      <c r="A223" s="6">
        <v>219</v>
      </c>
      <c r="B223" s="6" t="s">
        <v>853</v>
      </c>
      <c r="C223" s="6" t="s">
        <v>624</v>
      </c>
      <c r="D223" s="7">
        <v>590</v>
      </c>
      <c r="E223" s="6">
        <v>19</v>
      </c>
      <c r="F223" s="6" t="s">
        <v>592</v>
      </c>
      <c r="G223" s="11">
        <v>0.02</v>
      </c>
      <c r="H223" s="12">
        <f t="shared" si="3"/>
        <v>31.1</v>
      </c>
      <c r="I223" s="6" t="s">
        <v>905</v>
      </c>
    </row>
    <row r="224" spans="1:9" x14ac:dyDescent="0.25">
      <c r="A224" s="6">
        <v>220</v>
      </c>
      <c r="B224" s="6" t="s">
        <v>856</v>
      </c>
      <c r="C224" s="6" t="s">
        <v>40</v>
      </c>
      <c r="D224" s="7">
        <v>590</v>
      </c>
      <c r="E224" s="6">
        <v>19</v>
      </c>
      <c r="F224" s="6" t="s">
        <v>585</v>
      </c>
      <c r="G224" s="11">
        <v>0.13</v>
      </c>
      <c r="H224" s="12">
        <f t="shared" si="3"/>
        <v>31.1</v>
      </c>
      <c r="I224" s="6" t="s">
        <v>908</v>
      </c>
    </row>
    <row r="225" spans="1:9" x14ac:dyDescent="0.25">
      <c r="A225" s="6">
        <v>221</v>
      </c>
      <c r="B225" s="6" t="s">
        <v>854</v>
      </c>
      <c r="C225" s="6" t="s">
        <v>624</v>
      </c>
      <c r="D225" s="7">
        <v>590</v>
      </c>
      <c r="E225" s="6">
        <v>20</v>
      </c>
      <c r="F225" s="6" t="s">
        <v>585</v>
      </c>
      <c r="G225" s="11">
        <v>0.13</v>
      </c>
      <c r="H225" s="12">
        <f t="shared" si="3"/>
        <v>29.5</v>
      </c>
      <c r="I225" s="6" t="s">
        <v>906</v>
      </c>
    </row>
    <row r="227" spans="1:9" x14ac:dyDescent="0.25">
      <c r="B227" s="9" t="s">
        <v>911</v>
      </c>
      <c r="D227" s="9">
        <f>COUNT(D5:D225)</f>
        <v>221</v>
      </c>
    </row>
    <row r="228" spans="1:9" x14ac:dyDescent="0.25">
      <c r="B228" s="9" t="s">
        <v>912</v>
      </c>
      <c r="D228" s="10">
        <f>SUM(D5:D225)</f>
        <v>739950</v>
      </c>
    </row>
    <row r="229" spans="1:9" x14ac:dyDescent="0.25">
      <c r="B229" s="9" t="s">
        <v>913</v>
      </c>
      <c r="D229" s="10">
        <f>ROUND(SUM(D5:D225)*0.11,0)</f>
        <v>81395</v>
      </c>
    </row>
    <row r="231" spans="1:9" x14ac:dyDescent="0.25">
      <c r="B231" s="2" t="s">
        <v>914</v>
      </c>
    </row>
  </sheetData>
  <autoFilter ref="A4:I225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zoomScale="155" zoomScaleNormal="155" workbookViewId="0">
      <selection activeCell="A5" sqref="A5"/>
    </sheetView>
  </sheetViews>
  <sheetFormatPr defaultColWidth="8.7109375" defaultRowHeight="15" x14ac:dyDescent="0.25"/>
  <cols>
    <col min="1" max="1" width="19.42578125" customWidth="1"/>
    <col min="2" max="2" width="24.85546875" customWidth="1"/>
    <col min="3" max="3" width="6" customWidth="1"/>
    <col min="4" max="4" width="8.140625" customWidth="1"/>
    <col min="5" max="5" width="7.7109375" customWidth="1"/>
    <col min="6" max="6" width="46.140625" customWidth="1"/>
    <col min="7" max="7" width="10.140625" customWidth="1"/>
    <col min="8" max="8" width="6.7109375" customWidth="1"/>
    <col min="9" max="9" width="41.140625" customWidth="1"/>
  </cols>
  <sheetData>
    <row r="1" spans="1:9" ht="18" x14ac:dyDescent="0.25">
      <c r="A1" s="13" t="s">
        <v>915</v>
      </c>
    </row>
    <row r="2" spans="1:9" x14ac:dyDescent="0.25">
      <c r="A2" s="2" t="s">
        <v>916</v>
      </c>
    </row>
    <row r="4" spans="1:9" ht="47.25" customHeight="1" x14ac:dyDescent="0.25">
      <c r="A4" s="5" t="s">
        <v>917</v>
      </c>
      <c r="B4" s="5" t="s">
        <v>918</v>
      </c>
      <c r="C4" s="5" t="s">
        <v>919</v>
      </c>
      <c r="D4" s="5" t="s">
        <v>920</v>
      </c>
      <c r="E4" s="5" t="s">
        <v>921</v>
      </c>
      <c r="F4" s="5" t="s">
        <v>922</v>
      </c>
      <c r="G4" s="5" t="s">
        <v>923</v>
      </c>
      <c r="H4" s="5" t="s">
        <v>924</v>
      </c>
      <c r="I4" s="5" t="s">
        <v>925</v>
      </c>
    </row>
    <row r="5" spans="1:9" x14ac:dyDescent="0.25">
      <c r="A5" s="6" t="s">
        <v>926</v>
      </c>
      <c r="B5" s="6" t="s">
        <v>927</v>
      </c>
      <c r="C5" s="6">
        <v>40</v>
      </c>
      <c r="D5" s="7">
        <v>7595</v>
      </c>
      <c r="E5" s="7">
        <v>1678</v>
      </c>
      <c r="F5" s="6" t="s">
        <v>928</v>
      </c>
      <c r="G5" s="6" t="s">
        <v>929</v>
      </c>
      <c r="H5" s="18">
        <f t="shared" ref="H5:H14" si="0">ROUND(D5/E5,1)</f>
        <v>4.5</v>
      </c>
      <c r="I5" s="6" t="s">
        <v>930</v>
      </c>
    </row>
    <row r="6" spans="1:9" x14ac:dyDescent="0.25">
      <c r="A6" s="6" t="s">
        <v>931</v>
      </c>
      <c r="B6" s="6" t="s">
        <v>932</v>
      </c>
      <c r="C6" s="6">
        <v>40</v>
      </c>
      <c r="D6" s="7">
        <v>27706</v>
      </c>
      <c r="E6" s="7">
        <v>5570</v>
      </c>
      <c r="F6" s="6" t="s">
        <v>933</v>
      </c>
      <c r="G6" s="6" t="s">
        <v>929</v>
      </c>
      <c r="H6" s="18">
        <f t="shared" si="0"/>
        <v>5</v>
      </c>
      <c r="I6" s="6" t="s">
        <v>934</v>
      </c>
    </row>
    <row r="7" spans="1:9" x14ac:dyDescent="0.25">
      <c r="A7" s="6" t="s">
        <v>935</v>
      </c>
      <c r="B7" s="6" t="s">
        <v>936</v>
      </c>
      <c r="C7" s="6">
        <v>39</v>
      </c>
      <c r="D7" s="7">
        <v>7721</v>
      </c>
      <c r="E7" s="7">
        <v>499</v>
      </c>
      <c r="F7" s="6" t="s">
        <v>937</v>
      </c>
      <c r="G7" s="6" t="s">
        <v>938</v>
      </c>
      <c r="H7" s="18">
        <f t="shared" si="0"/>
        <v>15.5</v>
      </c>
      <c r="I7" s="6" t="s">
        <v>939</v>
      </c>
    </row>
    <row r="8" spans="1:9" x14ac:dyDescent="0.25">
      <c r="A8" s="6" t="s">
        <v>940</v>
      </c>
      <c r="B8" s="6" t="s">
        <v>941</v>
      </c>
      <c r="C8" s="6">
        <v>36</v>
      </c>
      <c r="D8" s="7">
        <v>9348</v>
      </c>
      <c r="E8" s="7">
        <v>808</v>
      </c>
      <c r="F8" s="6" t="s">
        <v>942</v>
      </c>
      <c r="G8" s="6" t="s">
        <v>943</v>
      </c>
      <c r="H8" s="18">
        <f t="shared" si="0"/>
        <v>11.6</v>
      </c>
      <c r="I8" s="6" t="s">
        <v>944</v>
      </c>
    </row>
    <row r="9" spans="1:9" x14ac:dyDescent="0.25">
      <c r="A9" s="6" t="s">
        <v>945</v>
      </c>
      <c r="B9" s="6" t="s">
        <v>946</v>
      </c>
      <c r="C9" s="6">
        <v>33</v>
      </c>
      <c r="D9" s="7">
        <v>16959</v>
      </c>
      <c r="E9" s="7">
        <v>926</v>
      </c>
      <c r="F9" s="6" t="s">
        <v>929</v>
      </c>
      <c r="G9" s="6" t="s">
        <v>929</v>
      </c>
      <c r="H9" s="18">
        <f t="shared" si="0"/>
        <v>18.3</v>
      </c>
      <c r="I9" s="6" t="s">
        <v>947</v>
      </c>
    </row>
    <row r="10" spans="1:9" x14ac:dyDescent="0.25">
      <c r="A10" s="6" t="s">
        <v>948</v>
      </c>
      <c r="B10" s="6" t="s">
        <v>949</v>
      </c>
      <c r="C10" s="6">
        <v>32</v>
      </c>
      <c r="D10" s="7">
        <v>10087</v>
      </c>
      <c r="E10" s="7">
        <v>811</v>
      </c>
      <c r="F10" s="6" t="s">
        <v>950</v>
      </c>
      <c r="G10" s="6" t="s">
        <v>951</v>
      </c>
      <c r="H10" s="18">
        <f t="shared" si="0"/>
        <v>12.4</v>
      </c>
      <c r="I10" s="6"/>
    </row>
    <row r="11" spans="1:9" x14ac:dyDescent="0.25">
      <c r="A11" s="6" t="s">
        <v>952</v>
      </c>
      <c r="B11" s="6" t="s">
        <v>953</v>
      </c>
      <c r="C11" s="6">
        <v>32</v>
      </c>
      <c r="D11" s="7">
        <v>7288</v>
      </c>
      <c r="E11" s="7">
        <v>1256</v>
      </c>
      <c r="F11" s="6" t="s">
        <v>929</v>
      </c>
      <c r="G11" s="6" t="s">
        <v>929</v>
      </c>
      <c r="H11" s="18">
        <f t="shared" si="0"/>
        <v>5.8</v>
      </c>
      <c r="I11" s="6" t="s">
        <v>954</v>
      </c>
    </row>
    <row r="12" spans="1:9" x14ac:dyDescent="0.25">
      <c r="A12" s="6" t="s">
        <v>955</v>
      </c>
      <c r="B12" s="6" t="s">
        <v>953</v>
      </c>
      <c r="C12" s="6">
        <v>31</v>
      </c>
      <c r="D12" s="7">
        <v>9941</v>
      </c>
      <c r="E12" s="7">
        <v>787</v>
      </c>
      <c r="F12" s="6" t="s">
        <v>956</v>
      </c>
      <c r="G12" s="6" t="s">
        <v>957</v>
      </c>
      <c r="H12" s="18">
        <f t="shared" si="0"/>
        <v>12.6</v>
      </c>
      <c r="I12" s="6"/>
    </row>
    <row r="13" spans="1:9" x14ac:dyDescent="0.25">
      <c r="A13" s="6" t="s">
        <v>958</v>
      </c>
      <c r="B13" s="6" t="s">
        <v>959</v>
      </c>
      <c r="C13" s="6">
        <v>30</v>
      </c>
      <c r="D13" s="7">
        <v>1018</v>
      </c>
      <c r="E13" s="7">
        <v>276</v>
      </c>
      <c r="F13" s="6" t="s">
        <v>929</v>
      </c>
      <c r="G13" s="6" t="s">
        <v>929</v>
      </c>
      <c r="H13" s="18">
        <f t="shared" si="0"/>
        <v>3.7</v>
      </c>
      <c r="I13" s="6" t="s">
        <v>960</v>
      </c>
    </row>
    <row r="14" spans="1:9" x14ac:dyDescent="0.25">
      <c r="A14" s="6" t="s">
        <v>961</v>
      </c>
      <c r="B14" s="6" t="s">
        <v>962</v>
      </c>
      <c r="C14" s="6">
        <v>19</v>
      </c>
      <c r="D14" s="7">
        <v>1002</v>
      </c>
      <c r="E14" s="7">
        <v>576</v>
      </c>
      <c r="F14" s="6" t="s">
        <v>963</v>
      </c>
      <c r="G14" s="6" t="s">
        <v>929</v>
      </c>
      <c r="H14" s="18">
        <f t="shared" si="0"/>
        <v>1.7</v>
      </c>
      <c r="I14" s="6" t="s">
        <v>964</v>
      </c>
    </row>
    <row r="16" spans="1:9" x14ac:dyDescent="0.25">
      <c r="A16" s="9" t="s">
        <v>965</v>
      </c>
      <c r="C16" s="9">
        <f>ROUND(AVERAGE(C5:C14),1)</f>
        <v>33.200000000000003</v>
      </c>
    </row>
    <row r="17" spans="1:3" x14ac:dyDescent="0.25">
      <c r="A17" s="9" t="s">
        <v>966</v>
      </c>
      <c r="C17" s="9">
        <f>MAX(C5:C14)</f>
        <v>40</v>
      </c>
    </row>
    <row r="18" spans="1:3" x14ac:dyDescent="0.25">
      <c r="A18" s="9" t="s">
        <v>967</v>
      </c>
      <c r="C18" s="10">
        <f>ROUND(MEDIAN(E5:E14),0)</f>
        <v>810</v>
      </c>
    </row>
    <row r="20" spans="1:3" x14ac:dyDescent="0.25">
      <c r="A20" s="3" t="s">
        <v>968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4" zoomScaleNormal="100" workbookViewId="0"/>
  </sheetViews>
  <sheetFormatPr defaultColWidth="8.7109375" defaultRowHeight="15" x14ac:dyDescent="0.25"/>
  <cols>
    <col min="1" max="1" width="5" customWidth="1"/>
    <col min="2" max="2" width="34" customWidth="1"/>
    <col min="3" max="3" width="40" customWidth="1"/>
    <col min="4" max="4" width="34" customWidth="1"/>
    <col min="5" max="5" width="44" customWidth="1"/>
    <col min="6" max="6" width="20" customWidth="1"/>
    <col min="7" max="7" width="30" customWidth="1"/>
    <col min="8" max="8" width="52" customWidth="1"/>
  </cols>
  <sheetData>
    <row r="1" spans="1:8" ht="18" x14ac:dyDescent="0.25">
      <c r="A1" s="13" t="s">
        <v>969</v>
      </c>
    </row>
    <row r="2" spans="1:8" x14ac:dyDescent="0.25">
      <c r="A2" s="2" t="s">
        <v>970</v>
      </c>
    </row>
    <row r="4" spans="1:8" ht="30" customHeight="1" x14ac:dyDescent="0.25">
      <c r="A4" s="5" t="s">
        <v>37</v>
      </c>
      <c r="B4" s="5" t="s">
        <v>971</v>
      </c>
      <c r="C4" s="5" t="s">
        <v>972</v>
      </c>
      <c r="D4" s="5" t="s">
        <v>973</v>
      </c>
      <c r="E4" s="5" t="s">
        <v>974</v>
      </c>
      <c r="F4" s="5" t="s">
        <v>975</v>
      </c>
      <c r="G4" s="5" t="s">
        <v>976</v>
      </c>
      <c r="H4" s="5" t="s">
        <v>977</v>
      </c>
    </row>
    <row r="5" spans="1:8" ht="30" customHeight="1" x14ac:dyDescent="0.25">
      <c r="A5" s="6">
        <v>1</v>
      </c>
      <c r="B5" s="19" t="s">
        <v>978</v>
      </c>
      <c r="C5" s="19" t="s">
        <v>979</v>
      </c>
      <c r="D5" s="19" t="s">
        <v>980</v>
      </c>
      <c r="E5" s="19" t="s">
        <v>981</v>
      </c>
      <c r="F5" s="19" t="s">
        <v>982</v>
      </c>
      <c r="G5" s="19" t="s">
        <v>983</v>
      </c>
      <c r="H5" s="8" t="s">
        <v>984</v>
      </c>
    </row>
    <row r="6" spans="1:8" ht="30" customHeight="1" x14ac:dyDescent="0.25">
      <c r="A6" s="6">
        <v>2</v>
      </c>
      <c r="B6" s="19" t="s">
        <v>985</v>
      </c>
      <c r="C6" s="19" t="s">
        <v>986</v>
      </c>
      <c r="D6" s="19" t="s">
        <v>987</v>
      </c>
      <c r="E6" s="19" t="s">
        <v>988</v>
      </c>
      <c r="F6" s="19" t="s">
        <v>929</v>
      </c>
      <c r="G6" s="19" t="s">
        <v>989</v>
      </c>
      <c r="H6" s="8" t="s">
        <v>990</v>
      </c>
    </row>
    <row r="7" spans="1:8" ht="30" customHeight="1" x14ac:dyDescent="0.25">
      <c r="A7" s="6">
        <v>3</v>
      </c>
      <c r="B7" s="19" t="s">
        <v>991</v>
      </c>
      <c r="C7" s="19" t="s">
        <v>992</v>
      </c>
      <c r="D7" s="19" t="s">
        <v>993</v>
      </c>
      <c r="E7" s="19" t="s">
        <v>994</v>
      </c>
      <c r="F7" s="19" t="s">
        <v>995</v>
      </c>
      <c r="G7" s="19" t="s">
        <v>996</v>
      </c>
      <c r="H7" s="8" t="s">
        <v>997</v>
      </c>
    </row>
    <row r="8" spans="1:8" ht="30" customHeight="1" x14ac:dyDescent="0.25">
      <c r="A8" s="6">
        <v>4</v>
      </c>
      <c r="B8" s="19" t="s">
        <v>998</v>
      </c>
      <c r="C8" s="19" t="s">
        <v>999</v>
      </c>
      <c r="D8" s="19" t="s">
        <v>1000</v>
      </c>
      <c r="E8" s="19" t="s">
        <v>1001</v>
      </c>
      <c r="F8" s="19" t="s">
        <v>929</v>
      </c>
      <c r="G8" s="19" t="s">
        <v>1002</v>
      </c>
      <c r="H8" s="8" t="s">
        <v>1003</v>
      </c>
    </row>
    <row r="9" spans="1:8" ht="30" customHeight="1" x14ac:dyDescent="0.25">
      <c r="A9" s="6">
        <v>5</v>
      </c>
      <c r="B9" s="19" t="s">
        <v>1004</v>
      </c>
      <c r="C9" s="19" t="s">
        <v>1005</v>
      </c>
      <c r="D9" s="19" t="s">
        <v>1006</v>
      </c>
      <c r="E9" s="19" t="s">
        <v>1007</v>
      </c>
      <c r="F9" s="19" t="s">
        <v>982</v>
      </c>
      <c r="G9" s="19" t="s">
        <v>1008</v>
      </c>
      <c r="H9" s="8" t="s">
        <v>1009</v>
      </c>
    </row>
    <row r="10" spans="1:8" ht="30" customHeight="1" x14ac:dyDescent="0.25">
      <c r="A10" s="6">
        <v>6</v>
      </c>
      <c r="B10" s="19" t="s">
        <v>1010</v>
      </c>
      <c r="C10" s="19" t="s">
        <v>1011</v>
      </c>
      <c r="D10" s="19" t="s">
        <v>1012</v>
      </c>
      <c r="E10" s="19" t="s">
        <v>1013</v>
      </c>
      <c r="F10" s="19" t="s">
        <v>982</v>
      </c>
      <c r="G10" s="19" t="s">
        <v>1014</v>
      </c>
      <c r="H10" s="8" t="s">
        <v>1015</v>
      </c>
    </row>
    <row r="11" spans="1:8" ht="30" customHeight="1" x14ac:dyDescent="0.25">
      <c r="A11" s="6">
        <v>7</v>
      </c>
      <c r="B11" s="19" t="s">
        <v>1016</v>
      </c>
      <c r="C11" s="19" t="s">
        <v>1017</v>
      </c>
      <c r="D11" s="19" t="s">
        <v>1018</v>
      </c>
      <c r="E11" s="19" t="s">
        <v>1019</v>
      </c>
      <c r="F11" s="19" t="s">
        <v>982</v>
      </c>
      <c r="G11" s="19" t="s">
        <v>1020</v>
      </c>
      <c r="H11" s="8" t="s">
        <v>1021</v>
      </c>
    </row>
    <row r="12" spans="1:8" ht="30" customHeight="1" x14ac:dyDescent="0.25">
      <c r="A12" s="6">
        <v>8</v>
      </c>
      <c r="B12" s="19" t="s">
        <v>1022</v>
      </c>
      <c r="C12" s="19" t="s">
        <v>1023</v>
      </c>
      <c r="D12" s="19" t="s">
        <v>1024</v>
      </c>
      <c r="E12" s="19" t="s">
        <v>1025</v>
      </c>
      <c r="F12" s="19" t="s">
        <v>982</v>
      </c>
      <c r="G12" s="19" t="s">
        <v>1026</v>
      </c>
      <c r="H12" s="8" t="s">
        <v>1027</v>
      </c>
    </row>
    <row r="13" spans="1:8" ht="30" customHeight="1" x14ac:dyDescent="0.25">
      <c r="A13" s="6">
        <v>9</v>
      </c>
      <c r="B13" s="19" t="s">
        <v>1028</v>
      </c>
      <c r="C13" s="19" t="s">
        <v>1029</v>
      </c>
      <c r="D13" s="19" t="s">
        <v>1030</v>
      </c>
      <c r="E13" s="19" t="s">
        <v>1031</v>
      </c>
      <c r="F13" s="19" t="s">
        <v>929</v>
      </c>
      <c r="G13" s="19" t="s">
        <v>1032</v>
      </c>
      <c r="H13" s="8" t="s">
        <v>1033</v>
      </c>
    </row>
    <row r="14" spans="1:8" ht="30" customHeight="1" x14ac:dyDescent="0.25">
      <c r="A14" s="6">
        <v>10</v>
      </c>
      <c r="B14" s="19" t="s">
        <v>1034</v>
      </c>
      <c r="C14" s="19" t="s">
        <v>1035</v>
      </c>
      <c r="D14" s="19" t="s">
        <v>1036</v>
      </c>
      <c r="E14" s="19" t="s">
        <v>1037</v>
      </c>
      <c r="F14" s="19" t="s">
        <v>1038</v>
      </c>
      <c r="G14" s="19" t="s">
        <v>929</v>
      </c>
      <c r="H14" s="8" t="s">
        <v>1039</v>
      </c>
    </row>
    <row r="15" spans="1:8" ht="30" customHeight="1" x14ac:dyDescent="0.25">
      <c r="A15" s="6">
        <v>11</v>
      </c>
      <c r="B15" s="19" t="s">
        <v>1040</v>
      </c>
      <c r="C15" s="19" t="s">
        <v>1041</v>
      </c>
      <c r="D15" s="19" t="s">
        <v>1042</v>
      </c>
      <c r="E15" s="19" t="s">
        <v>1001</v>
      </c>
      <c r="F15" s="19" t="s">
        <v>929</v>
      </c>
      <c r="G15" s="19" t="s">
        <v>929</v>
      </c>
      <c r="H15" s="8" t="s">
        <v>1043</v>
      </c>
    </row>
    <row r="16" spans="1:8" ht="30" customHeight="1" x14ac:dyDescent="0.25">
      <c r="A16" s="6">
        <v>12</v>
      </c>
      <c r="B16" s="19" t="s">
        <v>1044</v>
      </c>
      <c r="C16" s="19" t="s">
        <v>1045</v>
      </c>
      <c r="D16" s="19" t="s">
        <v>1036</v>
      </c>
      <c r="E16" s="19" t="s">
        <v>1046</v>
      </c>
      <c r="F16" s="19" t="s">
        <v>929</v>
      </c>
      <c r="G16" s="19" t="s">
        <v>929</v>
      </c>
      <c r="H16" s="8" t="s">
        <v>1047</v>
      </c>
    </row>
    <row r="17" spans="1:8" ht="30" customHeight="1" x14ac:dyDescent="0.25">
      <c r="A17" s="6">
        <v>13</v>
      </c>
      <c r="B17" s="19" t="s">
        <v>1048</v>
      </c>
      <c r="C17" s="19" t="s">
        <v>1049</v>
      </c>
      <c r="D17" s="19" t="s">
        <v>1050</v>
      </c>
      <c r="E17" s="19" t="s">
        <v>1051</v>
      </c>
      <c r="F17" s="19" t="s">
        <v>1052</v>
      </c>
      <c r="G17" s="19" t="s">
        <v>929</v>
      </c>
      <c r="H17" s="8" t="s">
        <v>1053</v>
      </c>
    </row>
    <row r="18" spans="1:8" ht="30" customHeight="1" x14ac:dyDescent="0.25">
      <c r="A18" s="6">
        <v>14</v>
      </c>
      <c r="B18" s="19" t="s">
        <v>1054</v>
      </c>
      <c r="C18" s="19" t="s">
        <v>1055</v>
      </c>
      <c r="D18" s="19" t="s">
        <v>1056</v>
      </c>
      <c r="E18" s="19" t="s">
        <v>1057</v>
      </c>
      <c r="F18" s="19" t="s">
        <v>929</v>
      </c>
      <c r="G18" s="19" t="s">
        <v>929</v>
      </c>
      <c r="H18" s="8" t="s">
        <v>1058</v>
      </c>
    </row>
    <row r="19" spans="1:8" ht="30" customHeight="1" x14ac:dyDescent="0.25">
      <c r="A19" s="6">
        <v>15</v>
      </c>
      <c r="B19" s="19" t="s">
        <v>1059</v>
      </c>
      <c r="C19" s="19" t="s">
        <v>1060</v>
      </c>
      <c r="D19" s="19" t="s">
        <v>1061</v>
      </c>
      <c r="E19" s="19" t="s">
        <v>1062</v>
      </c>
      <c r="F19" s="19" t="s">
        <v>1063</v>
      </c>
      <c r="G19" s="19" t="s">
        <v>1064</v>
      </c>
      <c r="H19" s="8" t="s">
        <v>1065</v>
      </c>
    </row>
    <row r="20" spans="1:8" ht="30" customHeight="1" x14ac:dyDescent="0.25">
      <c r="A20" s="6">
        <v>16</v>
      </c>
      <c r="B20" s="19" t="s">
        <v>1066</v>
      </c>
      <c r="C20" s="19" t="s">
        <v>1067</v>
      </c>
      <c r="D20" s="19" t="s">
        <v>1068</v>
      </c>
      <c r="E20" s="19" t="s">
        <v>1001</v>
      </c>
      <c r="F20" s="19" t="s">
        <v>929</v>
      </c>
      <c r="G20" s="19" t="s">
        <v>929</v>
      </c>
      <c r="H20" s="8" t="s">
        <v>1069</v>
      </c>
    </row>
    <row r="21" spans="1:8" ht="30" customHeight="1" x14ac:dyDescent="0.25">
      <c r="A21" s="6">
        <v>17</v>
      </c>
      <c r="B21" s="19" t="s">
        <v>1070</v>
      </c>
      <c r="C21" s="19" t="s">
        <v>1071</v>
      </c>
      <c r="D21" s="19" t="s">
        <v>1072</v>
      </c>
      <c r="E21" s="19" t="s">
        <v>1073</v>
      </c>
      <c r="F21" s="19" t="s">
        <v>1074</v>
      </c>
      <c r="G21" s="19" t="s">
        <v>929</v>
      </c>
      <c r="H21" s="8" t="s">
        <v>1065</v>
      </c>
    </row>
    <row r="22" spans="1:8" ht="30" customHeight="1" x14ac:dyDescent="0.25">
      <c r="A22" s="6">
        <v>18</v>
      </c>
      <c r="B22" s="19" t="s">
        <v>1075</v>
      </c>
      <c r="C22" s="19" t="s">
        <v>1076</v>
      </c>
      <c r="D22" s="19" t="s">
        <v>1077</v>
      </c>
      <c r="E22" s="19" t="s">
        <v>1001</v>
      </c>
      <c r="F22" s="19" t="s">
        <v>929</v>
      </c>
      <c r="G22" s="19" t="s">
        <v>929</v>
      </c>
      <c r="H22" s="8" t="s">
        <v>1078</v>
      </c>
    </row>
    <row r="23" spans="1:8" ht="30" customHeight="1" x14ac:dyDescent="0.25">
      <c r="A23" s="6">
        <v>19</v>
      </c>
      <c r="B23" s="19" t="s">
        <v>1079</v>
      </c>
      <c r="C23" s="19" t="s">
        <v>1080</v>
      </c>
      <c r="D23" s="19" t="s">
        <v>1081</v>
      </c>
      <c r="E23" s="19" t="s">
        <v>1001</v>
      </c>
      <c r="F23" s="19" t="s">
        <v>929</v>
      </c>
      <c r="G23" s="19" t="s">
        <v>929</v>
      </c>
      <c r="H23" s="8" t="s">
        <v>1039</v>
      </c>
    </row>
    <row r="24" spans="1:8" ht="30" customHeight="1" x14ac:dyDescent="0.25">
      <c r="A24" s="6">
        <v>20</v>
      </c>
      <c r="B24" s="19" t="s">
        <v>1082</v>
      </c>
      <c r="C24" s="19" t="s">
        <v>1083</v>
      </c>
      <c r="D24" s="19" t="s">
        <v>1084</v>
      </c>
      <c r="E24" s="19" t="s">
        <v>1001</v>
      </c>
      <c r="F24" s="19" t="s">
        <v>929</v>
      </c>
      <c r="G24" s="19" t="s">
        <v>929</v>
      </c>
      <c r="H24" s="8" t="s">
        <v>1039</v>
      </c>
    </row>
    <row r="25" spans="1:8" ht="30" customHeight="1" x14ac:dyDescent="0.25">
      <c r="A25" s="6">
        <v>21</v>
      </c>
      <c r="B25" s="19" t="s">
        <v>1085</v>
      </c>
      <c r="C25" s="19" t="s">
        <v>1086</v>
      </c>
      <c r="D25" s="19" t="s">
        <v>1087</v>
      </c>
      <c r="E25" s="19" t="s">
        <v>1001</v>
      </c>
      <c r="F25" s="19" t="s">
        <v>929</v>
      </c>
      <c r="G25" s="19" t="s">
        <v>929</v>
      </c>
      <c r="H25" s="8" t="s">
        <v>1039</v>
      </c>
    </row>
    <row r="26" spans="1:8" ht="30" customHeight="1" x14ac:dyDescent="0.25">
      <c r="A26" s="6">
        <v>22</v>
      </c>
      <c r="B26" s="19" t="s">
        <v>1088</v>
      </c>
      <c r="C26" s="19" t="s">
        <v>1088</v>
      </c>
      <c r="D26" s="19" t="s">
        <v>1089</v>
      </c>
      <c r="E26" s="19" t="s">
        <v>1001</v>
      </c>
      <c r="F26" s="19" t="s">
        <v>929</v>
      </c>
      <c r="G26" s="19" t="s">
        <v>929</v>
      </c>
      <c r="H26" s="8" t="s">
        <v>1039</v>
      </c>
    </row>
    <row r="27" spans="1:8" ht="30" customHeight="1" x14ac:dyDescent="0.25">
      <c r="A27" s="6">
        <v>23</v>
      </c>
      <c r="B27" s="19" t="s">
        <v>1090</v>
      </c>
      <c r="C27" s="19" t="s">
        <v>1091</v>
      </c>
      <c r="D27" s="19" t="s">
        <v>1092</v>
      </c>
      <c r="E27" s="19" t="s">
        <v>1001</v>
      </c>
      <c r="F27" s="19" t="s">
        <v>929</v>
      </c>
      <c r="G27" s="19" t="s">
        <v>929</v>
      </c>
      <c r="H27" s="8" t="s">
        <v>1039</v>
      </c>
    </row>
    <row r="28" spans="1:8" ht="30" customHeight="1" x14ac:dyDescent="0.25">
      <c r="A28" s="6">
        <v>24</v>
      </c>
      <c r="B28" s="19" t="s">
        <v>1093</v>
      </c>
      <c r="C28" s="19" t="s">
        <v>1094</v>
      </c>
      <c r="D28" s="19" t="s">
        <v>1095</v>
      </c>
      <c r="E28" s="19" t="s">
        <v>1096</v>
      </c>
      <c r="F28" s="19" t="s">
        <v>929</v>
      </c>
      <c r="G28" s="19" t="s">
        <v>929</v>
      </c>
      <c r="H28" s="8" t="s">
        <v>1097</v>
      </c>
    </row>
    <row r="29" spans="1:8" ht="30" customHeight="1" x14ac:dyDescent="0.25">
      <c r="A29" s="6">
        <v>25</v>
      </c>
      <c r="B29" s="19" t="s">
        <v>1098</v>
      </c>
      <c r="C29" s="19" t="s">
        <v>1099</v>
      </c>
      <c r="D29" s="19" t="s">
        <v>1068</v>
      </c>
      <c r="E29" s="19" t="s">
        <v>1100</v>
      </c>
      <c r="F29" s="19" t="s">
        <v>929</v>
      </c>
      <c r="G29" s="19" t="s">
        <v>929</v>
      </c>
      <c r="H29" s="8" t="s">
        <v>1039</v>
      </c>
    </row>
    <row r="30" spans="1:8" ht="30" customHeight="1" x14ac:dyDescent="0.25">
      <c r="A30" s="6">
        <v>26</v>
      </c>
      <c r="B30" s="19" t="s">
        <v>1101</v>
      </c>
      <c r="C30" s="19" t="s">
        <v>1102</v>
      </c>
      <c r="D30" s="19" t="s">
        <v>1068</v>
      </c>
      <c r="E30" s="19" t="s">
        <v>1103</v>
      </c>
      <c r="F30" s="19" t="s">
        <v>1104</v>
      </c>
      <c r="G30" s="19" t="s">
        <v>1105</v>
      </c>
      <c r="H30" s="8" t="s">
        <v>1106</v>
      </c>
    </row>
    <row r="31" spans="1:8" ht="30" customHeight="1" x14ac:dyDescent="0.25">
      <c r="A31" s="6">
        <v>27</v>
      </c>
      <c r="B31" s="19" t="s">
        <v>1107</v>
      </c>
      <c r="C31" s="19" t="s">
        <v>1108</v>
      </c>
      <c r="D31" s="19" t="s">
        <v>1109</v>
      </c>
      <c r="E31" s="19" t="s">
        <v>1110</v>
      </c>
      <c r="F31" s="19" t="s">
        <v>1052</v>
      </c>
      <c r="G31" s="19" t="s">
        <v>1111</v>
      </c>
      <c r="H31" s="8" t="s">
        <v>1112</v>
      </c>
    </row>
    <row r="32" spans="1:8" ht="30" customHeight="1" x14ac:dyDescent="0.25">
      <c r="A32" s="6">
        <v>28</v>
      </c>
      <c r="B32" s="19" t="s">
        <v>1113</v>
      </c>
      <c r="C32" s="19" t="s">
        <v>1114</v>
      </c>
      <c r="D32" s="19" t="s">
        <v>1115</v>
      </c>
      <c r="E32" s="19" t="s">
        <v>1116</v>
      </c>
      <c r="F32" s="19" t="s">
        <v>929</v>
      </c>
      <c r="G32" s="19" t="s">
        <v>929</v>
      </c>
      <c r="H32" s="8" t="s">
        <v>1117</v>
      </c>
    </row>
    <row r="33" spans="1:8" ht="30" customHeight="1" x14ac:dyDescent="0.25">
      <c r="A33" s="6">
        <v>29</v>
      </c>
      <c r="B33" s="19" t="s">
        <v>1118</v>
      </c>
      <c r="C33" s="19" t="s">
        <v>1119</v>
      </c>
      <c r="D33" s="19" t="s">
        <v>1120</v>
      </c>
      <c r="E33" s="19" t="s">
        <v>1121</v>
      </c>
      <c r="F33" s="19" t="s">
        <v>929</v>
      </c>
      <c r="G33" s="19" t="s">
        <v>929</v>
      </c>
      <c r="H33" s="8" t="s">
        <v>1122</v>
      </c>
    </row>
    <row r="34" spans="1:8" ht="30" customHeight="1" x14ac:dyDescent="0.25">
      <c r="A34" s="6">
        <v>30</v>
      </c>
      <c r="B34" s="19" t="s">
        <v>1123</v>
      </c>
      <c r="C34" s="19" t="s">
        <v>1124</v>
      </c>
      <c r="D34" s="19" t="s">
        <v>1036</v>
      </c>
      <c r="E34" s="19" t="s">
        <v>1125</v>
      </c>
      <c r="F34" s="19" t="s">
        <v>1104</v>
      </c>
      <c r="G34" s="19" t="s">
        <v>1126</v>
      </c>
      <c r="H34" s="8" t="s">
        <v>1127</v>
      </c>
    </row>
    <row r="35" spans="1:8" ht="30" customHeight="1" x14ac:dyDescent="0.25">
      <c r="A35" s="6">
        <v>31</v>
      </c>
      <c r="B35" s="19" t="s">
        <v>1128</v>
      </c>
      <c r="C35" s="19" t="s">
        <v>1129</v>
      </c>
      <c r="D35" s="19" t="s">
        <v>1068</v>
      </c>
      <c r="E35" s="19" t="s">
        <v>1001</v>
      </c>
      <c r="F35" s="19" t="s">
        <v>929</v>
      </c>
      <c r="G35" s="19" t="s">
        <v>929</v>
      </c>
      <c r="H35" s="8" t="s">
        <v>1130</v>
      </c>
    </row>
    <row r="36" spans="1:8" ht="30" customHeight="1" x14ac:dyDescent="0.25">
      <c r="A36" s="6">
        <v>32</v>
      </c>
      <c r="B36" s="19" t="s">
        <v>93</v>
      </c>
      <c r="C36" s="19" t="s">
        <v>1131</v>
      </c>
      <c r="D36" s="19" t="s">
        <v>1068</v>
      </c>
      <c r="E36" s="19" t="s">
        <v>1001</v>
      </c>
      <c r="F36" s="19" t="s">
        <v>929</v>
      </c>
      <c r="G36" s="19" t="s">
        <v>929</v>
      </c>
      <c r="H36" s="8" t="s">
        <v>1132</v>
      </c>
    </row>
    <row r="37" spans="1:8" ht="30" customHeight="1" x14ac:dyDescent="0.25">
      <c r="A37" s="6">
        <v>33</v>
      </c>
      <c r="B37" s="19" t="s">
        <v>1133</v>
      </c>
      <c r="C37" s="19" t="s">
        <v>1134</v>
      </c>
      <c r="D37" s="19" t="s">
        <v>1077</v>
      </c>
      <c r="E37" s="19" t="s">
        <v>1001</v>
      </c>
      <c r="F37" s="19" t="s">
        <v>929</v>
      </c>
      <c r="G37" s="19" t="s">
        <v>929</v>
      </c>
      <c r="H37" s="8" t="s">
        <v>1135</v>
      </c>
    </row>
    <row r="38" spans="1:8" ht="30" customHeight="1" x14ac:dyDescent="0.25">
      <c r="A38" s="6">
        <v>34</v>
      </c>
      <c r="B38" s="19" t="s">
        <v>1136</v>
      </c>
      <c r="C38" s="19" t="s">
        <v>1137</v>
      </c>
      <c r="D38" s="19" t="s">
        <v>1138</v>
      </c>
      <c r="E38" s="19" t="s">
        <v>1001</v>
      </c>
      <c r="F38" s="19" t="s">
        <v>929</v>
      </c>
      <c r="G38" s="19" t="s">
        <v>929</v>
      </c>
      <c r="H38" s="8" t="s">
        <v>1139</v>
      </c>
    </row>
    <row r="39" spans="1:8" ht="30" customHeight="1" x14ac:dyDescent="0.25">
      <c r="A39" s="6">
        <v>35</v>
      </c>
      <c r="B39" s="19" t="s">
        <v>1140</v>
      </c>
      <c r="C39" s="19" t="s">
        <v>1141</v>
      </c>
      <c r="D39" s="19" t="s">
        <v>1142</v>
      </c>
      <c r="E39" s="19" t="s">
        <v>1001</v>
      </c>
      <c r="F39" s="19" t="s">
        <v>929</v>
      </c>
      <c r="G39" s="19" t="s">
        <v>929</v>
      </c>
      <c r="H39" s="8" t="s">
        <v>1143</v>
      </c>
    </row>
    <row r="40" spans="1:8" ht="30" customHeight="1" x14ac:dyDescent="0.25">
      <c r="A40" s="6">
        <v>36</v>
      </c>
      <c r="B40" s="19" t="s">
        <v>1144</v>
      </c>
      <c r="C40" s="19" t="s">
        <v>1145</v>
      </c>
      <c r="D40" s="19" t="s">
        <v>1146</v>
      </c>
      <c r="E40" s="19" t="s">
        <v>1147</v>
      </c>
      <c r="F40" s="19" t="s">
        <v>929</v>
      </c>
      <c r="G40" s="19" t="s">
        <v>929</v>
      </c>
      <c r="H40" s="8" t="s">
        <v>1148</v>
      </c>
    </row>
    <row r="41" spans="1:8" ht="30" customHeight="1" x14ac:dyDescent="0.25">
      <c r="A41" s="6">
        <v>37</v>
      </c>
      <c r="B41" s="19" t="s">
        <v>1149</v>
      </c>
      <c r="C41" s="19" t="s">
        <v>1150</v>
      </c>
      <c r="D41" s="19" t="s">
        <v>1077</v>
      </c>
      <c r="E41" s="19" t="s">
        <v>1001</v>
      </c>
      <c r="F41" s="19" t="s">
        <v>929</v>
      </c>
      <c r="G41" s="19" t="s">
        <v>929</v>
      </c>
      <c r="H41" s="8" t="s">
        <v>1151</v>
      </c>
    </row>
    <row r="42" spans="1:8" ht="30" customHeight="1" x14ac:dyDescent="0.25">
      <c r="A42" s="6">
        <v>38</v>
      </c>
      <c r="B42" s="19" t="s">
        <v>1152</v>
      </c>
      <c r="C42" s="19" t="s">
        <v>1153</v>
      </c>
      <c r="D42" s="19" t="s">
        <v>1068</v>
      </c>
      <c r="E42" s="19" t="s">
        <v>1001</v>
      </c>
      <c r="F42" s="19" t="s">
        <v>929</v>
      </c>
      <c r="G42" s="19" t="s">
        <v>929</v>
      </c>
      <c r="H42" s="8" t="s">
        <v>1154</v>
      </c>
    </row>
    <row r="43" spans="1:8" ht="30" customHeight="1" x14ac:dyDescent="0.25">
      <c r="A43" s="6">
        <v>39</v>
      </c>
      <c r="B43" s="19" t="s">
        <v>1155</v>
      </c>
      <c r="C43" s="19" t="s">
        <v>1156</v>
      </c>
      <c r="D43" s="19" t="s">
        <v>1068</v>
      </c>
      <c r="E43" s="19" t="s">
        <v>1157</v>
      </c>
      <c r="F43" s="19" t="s">
        <v>1158</v>
      </c>
      <c r="G43" s="19" t="s">
        <v>929</v>
      </c>
      <c r="H43" s="8" t="s">
        <v>1065</v>
      </c>
    </row>
    <row r="45" spans="1:8" x14ac:dyDescent="0.25">
      <c r="B45" s="9" t="s">
        <v>1159</v>
      </c>
      <c r="E45" s="9">
        <f>COUNT(A5:A43)</f>
        <v>39</v>
      </c>
    </row>
    <row r="46" spans="1:8" x14ac:dyDescent="0.25">
      <c r="B46" s="9" t="s">
        <v>1160</v>
      </c>
      <c r="E46" s="9">
        <f>COUNTIF(D5:D43,"PSX-listed*")</f>
        <v>7</v>
      </c>
    </row>
    <row r="48" spans="1:8" x14ac:dyDescent="0.25">
      <c r="B48" s="2" t="s">
        <v>1161</v>
      </c>
    </row>
    <row r="49" spans="2:2" x14ac:dyDescent="0.25">
      <c r="B49" s="2" t="s">
        <v>1162</v>
      </c>
    </row>
  </sheetData>
  <hyperlinks>
    <hyperlink ref="H5" r:id="rId1"/>
    <hyperlink ref="H6" r:id="rId2"/>
    <hyperlink ref="H7" r:id="rId3"/>
    <hyperlink ref="H8" r:id="rId4"/>
    <hyperlink ref="H9" r:id="rId5"/>
    <hyperlink ref="H10" r:id="rId6"/>
    <hyperlink ref="H11" r:id="rId7"/>
    <hyperlink ref="H12" r:id="rId8"/>
    <hyperlink ref="H13" r:id="rId9"/>
    <hyperlink ref="H14" r:id="rId10"/>
    <hyperlink ref="H15" r:id="rId11"/>
    <hyperlink ref="H16" r:id="rId12"/>
    <hyperlink ref="H17" r:id="rId13"/>
    <hyperlink ref="H18" r:id="rId14"/>
    <hyperlink ref="H19" r:id="rId15"/>
    <hyperlink ref="H20" r:id="rId16"/>
    <hyperlink ref="H21" r:id="rId17"/>
    <hyperlink ref="H22" r:id="rId18"/>
    <hyperlink ref="H23" r:id="rId19"/>
    <hyperlink ref="H24" r:id="rId20"/>
    <hyperlink ref="H25" r:id="rId21"/>
    <hyperlink ref="H26" r:id="rId22"/>
    <hyperlink ref="H27" r:id="rId23"/>
    <hyperlink ref="H28" r:id="rId24"/>
    <hyperlink ref="H29" r:id="rId25"/>
    <hyperlink ref="H30" r:id="rId26"/>
    <hyperlink ref="H31" r:id="rId27"/>
    <hyperlink ref="H32" r:id="rId28"/>
    <hyperlink ref="H33" r:id="rId29"/>
    <hyperlink ref="H34" r:id="rId30"/>
    <hyperlink ref="H35" r:id="rId31"/>
    <hyperlink ref="H36" r:id="rId32"/>
    <hyperlink ref="H37" r:id="rId33"/>
    <hyperlink ref="H38" r:id="rId34"/>
    <hyperlink ref="H39" r:id="rId35"/>
    <hyperlink ref="H40" r:id="rId36"/>
    <hyperlink ref="H41" r:id="rId37"/>
    <hyperlink ref="H42" r:id="rId38"/>
    <hyperlink ref="H43" r:id="rId39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opLeftCell="A7" zoomScaleNormal="100" workbookViewId="0"/>
  </sheetViews>
  <sheetFormatPr defaultColWidth="8.7109375" defaultRowHeight="15" x14ac:dyDescent="0.25"/>
  <cols>
    <col min="1" max="1" width="44" customWidth="1"/>
    <col min="2" max="2" width="34" customWidth="1"/>
    <col min="3" max="3" width="14" customWidth="1"/>
    <col min="4" max="4" width="32" customWidth="1"/>
    <col min="5" max="5" width="30" customWidth="1"/>
    <col min="6" max="6" width="56" customWidth="1"/>
  </cols>
  <sheetData>
    <row r="1" spans="1:6" ht="18" x14ac:dyDescent="0.25">
      <c r="A1" s="13" t="s">
        <v>1163</v>
      </c>
    </row>
    <row r="2" spans="1:6" x14ac:dyDescent="0.25">
      <c r="A2" s="2" t="s">
        <v>1164</v>
      </c>
    </row>
    <row r="4" spans="1:6" ht="30" customHeight="1" x14ac:dyDescent="0.25">
      <c r="A4" s="5" t="s">
        <v>1165</v>
      </c>
      <c r="B4" s="5" t="s">
        <v>1166</v>
      </c>
      <c r="C4" s="5" t="s">
        <v>1167</v>
      </c>
      <c r="D4" s="5" t="s">
        <v>1168</v>
      </c>
      <c r="E4" s="5" t="s">
        <v>1169</v>
      </c>
      <c r="F4" s="5" t="s">
        <v>1170</v>
      </c>
    </row>
    <row r="5" spans="1:6" ht="27.75" customHeight="1" x14ac:dyDescent="0.25">
      <c r="A5" s="19" t="s">
        <v>1171</v>
      </c>
      <c r="B5" s="19" t="s">
        <v>1172</v>
      </c>
      <c r="C5" s="19" t="s">
        <v>1173</v>
      </c>
      <c r="D5" s="19" t="s">
        <v>1174</v>
      </c>
      <c r="E5" s="19" t="s">
        <v>1175</v>
      </c>
      <c r="F5" s="8" t="s">
        <v>1176</v>
      </c>
    </row>
    <row r="6" spans="1:6" ht="27.75" customHeight="1" x14ac:dyDescent="0.25">
      <c r="A6" s="19" t="s">
        <v>1177</v>
      </c>
      <c r="B6" s="19" t="s">
        <v>1178</v>
      </c>
      <c r="C6" s="19" t="s">
        <v>1173</v>
      </c>
      <c r="D6" s="19" t="s">
        <v>929</v>
      </c>
      <c r="E6" s="19" t="s">
        <v>1175</v>
      </c>
      <c r="F6" s="8" t="s">
        <v>1176</v>
      </c>
    </row>
    <row r="7" spans="1:6" ht="27.75" customHeight="1" x14ac:dyDescent="0.25">
      <c r="A7" s="19" t="s">
        <v>1179</v>
      </c>
      <c r="B7" s="19" t="s">
        <v>1180</v>
      </c>
      <c r="C7" s="19" t="s">
        <v>1173</v>
      </c>
      <c r="D7" s="19" t="s">
        <v>929</v>
      </c>
      <c r="E7" s="19" t="s">
        <v>1175</v>
      </c>
      <c r="F7" s="8" t="s">
        <v>1176</v>
      </c>
    </row>
    <row r="8" spans="1:6" ht="27.75" customHeight="1" x14ac:dyDescent="0.25">
      <c r="A8" s="19" t="s">
        <v>1181</v>
      </c>
      <c r="B8" s="19" t="s">
        <v>1182</v>
      </c>
      <c r="C8" s="19" t="s">
        <v>1173</v>
      </c>
      <c r="D8" s="19" t="s">
        <v>1183</v>
      </c>
      <c r="E8" s="19" t="s">
        <v>1184</v>
      </c>
      <c r="F8" s="8" t="s">
        <v>1185</v>
      </c>
    </row>
    <row r="9" spans="1:6" ht="27.75" customHeight="1" x14ac:dyDescent="0.25">
      <c r="A9" s="19" t="s">
        <v>1186</v>
      </c>
      <c r="B9" s="19" t="s">
        <v>1187</v>
      </c>
      <c r="C9" s="19" t="s">
        <v>1173</v>
      </c>
      <c r="D9" s="19" t="s">
        <v>929</v>
      </c>
      <c r="E9" s="19" t="s">
        <v>1184</v>
      </c>
      <c r="F9" s="8" t="s">
        <v>1185</v>
      </c>
    </row>
    <row r="10" spans="1:6" ht="27.75" customHeight="1" x14ac:dyDescent="0.25">
      <c r="A10" s="19" t="s">
        <v>1188</v>
      </c>
      <c r="B10" s="19" t="s">
        <v>1189</v>
      </c>
      <c r="C10" s="19" t="s">
        <v>1190</v>
      </c>
      <c r="D10" s="19" t="s">
        <v>1191</v>
      </c>
      <c r="E10" s="19" t="s">
        <v>1192</v>
      </c>
      <c r="F10" s="8" t="s">
        <v>1193</v>
      </c>
    </row>
    <row r="11" spans="1:6" ht="27.75" customHeight="1" x14ac:dyDescent="0.25">
      <c r="A11" s="19" t="s">
        <v>1194</v>
      </c>
      <c r="B11" s="19" t="s">
        <v>1195</v>
      </c>
      <c r="C11" s="19" t="s">
        <v>1196</v>
      </c>
      <c r="D11" s="19" t="s">
        <v>1197</v>
      </c>
      <c r="E11" s="19" t="s">
        <v>1198</v>
      </c>
      <c r="F11" s="8" t="s">
        <v>1039</v>
      </c>
    </row>
    <row r="12" spans="1:6" ht="27.75" customHeight="1" x14ac:dyDescent="0.25">
      <c r="A12" s="19" t="s">
        <v>1199</v>
      </c>
      <c r="B12" s="19" t="s">
        <v>1200</v>
      </c>
      <c r="C12" s="19" t="s">
        <v>1196</v>
      </c>
      <c r="D12" s="19" t="s">
        <v>1201</v>
      </c>
      <c r="E12" s="19" t="s">
        <v>1198</v>
      </c>
      <c r="F12" s="8" t="s">
        <v>1039</v>
      </c>
    </row>
    <row r="13" spans="1:6" ht="27.75" customHeight="1" x14ac:dyDescent="0.25">
      <c r="A13" s="19" t="s">
        <v>1202</v>
      </c>
      <c r="B13" s="19" t="s">
        <v>1203</v>
      </c>
      <c r="C13" s="19" t="s">
        <v>1196</v>
      </c>
      <c r="D13" s="19" t="s">
        <v>929</v>
      </c>
      <c r="E13" s="19" t="s">
        <v>1198</v>
      </c>
      <c r="F13" s="8" t="s">
        <v>1039</v>
      </c>
    </row>
    <row r="14" spans="1:6" ht="27.75" customHeight="1" x14ac:dyDescent="0.25">
      <c r="A14" s="19" t="s">
        <v>1204</v>
      </c>
      <c r="B14" s="19" t="s">
        <v>1205</v>
      </c>
      <c r="C14" s="19" t="s">
        <v>1173</v>
      </c>
      <c r="D14" s="19" t="s">
        <v>1206</v>
      </c>
      <c r="E14" s="19" t="s">
        <v>1207</v>
      </c>
      <c r="F14" s="8" t="s">
        <v>1208</v>
      </c>
    </row>
    <row r="15" spans="1:6" ht="27.75" customHeight="1" x14ac:dyDescent="0.25">
      <c r="A15" s="19" t="s">
        <v>1209</v>
      </c>
      <c r="B15" s="19" t="s">
        <v>1210</v>
      </c>
      <c r="C15" s="19" t="s">
        <v>1211</v>
      </c>
      <c r="D15" s="19" t="s">
        <v>929</v>
      </c>
      <c r="E15" s="19" t="s">
        <v>1212</v>
      </c>
      <c r="F15" s="8" t="s">
        <v>1213</v>
      </c>
    </row>
    <row r="16" spans="1:6" ht="27.75" customHeight="1" x14ac:dyDescent="0.25">
      <c r="A16" s="19" t="s">
        <v>1214</v>
      </c>
      <c r="B16" s="19" t="s">
        <v>1215</v>
      </c>
      <c r="C16" s="19" t="s">
        <v>1173</v>
      </c>
      <c r="D16" s="19" t="s">
        <v>1216</v>
      </c>
      <c r="E16" s="19" t="s">
        <v>1217</v>
      </c>
      <c r="F16" s="8" t="s">
        <v>1176</v>
      </c>
    </row>
    <row r="17" spans="1:6" ht="27.75" customHeight="1" x14ac:dyDescent="0.25">
      <c r="A17" s="19" t="s">
        <v>1218</v>
      </c>
      <c r="B17" s="19" t="s">
        <v>1219</v>
      </c>
      <c r="C17" s="19" t="s">
        <v>1220</v>
      </c>
      <c r="D17" s="19" t="s">
        <v>929</v>
      </c>
      <c r="E17" s="19" t="s">
        <v>1221</v>
      </c>
      <c r="F17" s="8" t="s">
        <v>1185</v>
      </c>
    </row>
    <row r="18" spans="1:6" ht="27.75" customHeight="1" x14ac:dyDescent="0.25">
      <c r="A18" s="19" t="s">
        <v>1222</v>
      </c>
      <c r="B18" s="19" t="s">
        <v>1223</v>
      </c>
      <c r="C18" s="19" t="s">
        <v>1224</v>
      </c>
      <c r="D18" s="19" t="s">
        <v>1225</v>
      </c>
      <c r="E18" s="19" t="s">
        <v>1226</v>
      </c>
      <c r="F18" s="8" t="s">
        <v>1227</v>
      </c>
    </row>
    <row r="20" spans="1:6" x14ac:dyDescent="0.25">
      <c r="A20" s="20" t="s">
        <v>1228</v>
      </c>
    </row>
    <row r="21" spans="1:6" ht="39" x14ac:dyDescent="0.25">
      <c r="A21" s="21" t="s">
        <v>1229</v>
      </c>
    </row>
    <row r="22" spans="1:6" ht="51.75" x14ac:dyDescent="0.25">
      <c r="A22" s="21" t="s">
        <v>1230</v>
      </c>
    </row>
    <row r="23" spans="1:6" ht="51.75" x14ac:dyDescent="0.25">
      <c r="A23" s="21" t="s">
        <v>1231</v>
      </c>
    </row>
    <row r="24" spans="1:6" ht="39" x14ac:dyDescent="0.25">
      <c r="A24" s="21" t="s">
        <v>1232</v>
      </c>
    </row>
  </sheetData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zoomScale="166" zoomScaleNormal="166" workbookViewId="0">
      <selection activeCell="B5" sqref="B5"/>
    </sheetView>
  </sheetViews>
  <sheetFormatPr defaultColWidth="8.7109375" defaultRowHeight="15" x14ac:dyDescent="0.25"/>
  <cols>
    <col min="1" max="1" width="9" customWidth="1"/>
    <col min="2" max="2" width="40" customWidth="1"/>
    <col min="3" max="3" width="76" customWidth="1"/>
    <col min="4" max="4" width="34" customWidth="1"/>
  </cols>
  <sheetData>
    <row r="1" spans="1:4" ht="18" x14ac:dyDescent="0.25">
      <c r="A1" s="13" t="s">
        <v>1233</v>
      </c>
    </row>
    <row r="2" spans="1:4" x14ac:dyDescent="0.25">
      <c r="A2" s="2" t="s">
        <v>1234</v>
      </c>
    </row>
    <row r="4" spans="1:4" ht="30" customHeight="1" x14ac:dyDescent="0.25">
      <c r="A4" s="5" t="s">
        <v>1235</v>
      </c>
      <c r="B4" s="5" t="s">
        <v>1236</v>
      </c>
      <c r="C4" s="5" t="s">
        <v>1237</v>
      </c>
      <c r="D4" s="5" t="s">
        <v>1238</v>
      </c>
    </row>
    <row r="5" spans="1:4" ht="57.75" customHeight="1" x14ac:dyDescent="0.25">
      <c r="A5" s="22" t="s">
        <v>1239</v>
      </c>
      <c r="B5" s="23" t="s">
        <v>1240</v>
      </c>
      <c r="C5" s="19" t="s">
        <v>1241</v>
      </c>
      <c r="D5" s="19" t="s">
        <v>1242</v>
      </c>
    </row>
    <row r="6" spans="1:4" ht="57.75" customHeight="1" x14ac:dyDescent="0.25">
      <c r="A6" s="22" t="s">
        <v>1243</v>
      </c>
      <c r="B6" s="23" t="s">
        <v>1244</v>
      </c>
      <c r="C6" s="19" t="s">
        <v>1245</v>
      </c>
      <c r="D6" s="19" t="s">
        <v>1246</v>
      </c>
    </row>
    <row r="7" spans="1:4" ht="57.75" customHeight="1" x14ac:dyDescent="0.25">
      <c r="A7" s="22" t="s">
        <v>1247</v>
      </c>
      <c r="B7" s="23" t="s">
        <v>1248</v>
      </c>
      <c r="C7" s="19" t="s">
        <v>1249</v>
      </c>
      <c r="D7" s="19" t="s">
        <v>1250</v>
      </c>
    </row>
    <row r="8" spans="1:4" ht="57.75" customHeight="1" x14ac:dyDescent="0.25">
      <c r="A8" s="22" t="s">
        <v>1251</v>
      </c>
      <c r="B8" s="23" t="s">
        <v>1252</v>
      </c>
      <c r="C8" s="19" t="s">
        <v>1253</v>
      </c>
      <c r="D8" s="19" t="s">
        <v>1254</v>
      </c>
    </row>
    <row r="9" spans="1:4" ht="57.75" customHeight="1" x14ac:dyDescent="0.25">
      <c r="A9" s="22" t="s">
        <v>1255</v>
      </c>
      <c r="B9" s="23" t="s">
        <v>1256</v>
      </c>
      <c r="C9" s="19" t="s">
        <v>1257</v>
      </c>
      <c r="D9" s="19" t="s">
        <v>1258</v>
      </c>
    </row>
    <row r="10" spans="1:4" ht="57.75" customHeight="1" x14ac:dyDescent="0.25">
      <c r="A10" s="22" t="s">
        <v>1259</v>
      </c>
      <c r="B10" s="23" t="s">
        <v>1260</v>
      </c>
      <c r="C10" s="19" t="s">
        <v>1261</v>
      </c>
      <c r="D10" s="19" t="s">
        <v>1262</v>
      </c>
    </row>
    <row r="11" spans="1:4" ht="57.75" customHeight="1" x14ac:dyDescent="0.25">
      <c r="A11" s="22" t="s">
        <v>1263</v>
      </c>
      <c r="B11" s="23" t="s">
        <v>1264</v>
      </c>
      <c r="C11" s="19" t="s">
        <v>1265</v>
      </c>
      <c r="D11" s="19" t="s">
        <v>1266</v>
      </c>
    </row>
    <row r="12" spans="1:4" ht="57.75" customHeight="1" x14ac:dyDescent="0.25">
      <c r="A12" s="22" t="s">
        <v>1267</v>
      </c>
      <c r="B12" s="23" t="s">
        <v>1268</v>
      </c>
      <c r="C12" s="19" t="s">
        <v>1269</v>
      </c>
      <c r="D12" s="19" t="s">
        <v>1270</v>
      </c>
    </row>
    <row r="13" spans="1:4" ht="57.75" customHeight="1" x14ac:dyDescent="0.25">
      <c r="A13" s="22" t="s">
        <v>1271</v>
      </c>
      <c r="B13" s="23" t="s">
        <v>1272</v>
      </c>
      <c r="C13" s="19" t="s">
        <v>1273</v>
      </c>
      <c r="D13" s="19" t="s">
        <v>1274</v>
      </c>
    </row>
    <row r="14" spans="1:4" ht="57.75" customHeight="1" x14ac:dyDescent="0.25">
      <c r="A14" s="22" t="s">
        <v>1275</v>
      </c>
      <c r="B14" s="23" t="s">
        <v>1276</v>
      </c>
      <c r="C14" s="19" t="s">
        <v>1277</v>
      </c>
      <c r="D14" s="19" t="s">
        <v>1278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Read Me</vt:lpstr>
      <vt:lpstr>2. Products &gt;PKR 2000</vt:lpstr>
      <vt:lpstr>3. Keyword Master</vt:lpstr>
      <vt:lpstr>4. Low-KD Opportunities</vt:lpstr>
      <vt:lpstr>5. Competitor Domains</vt:lpstr>
      <vt:lpstr>6. Brands &amp; Revenue</vt:lpstr>
      <vt:lpstr>7. Market Size</vt:lpstr>
      <vt:lpstr>8. Action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Creative-pc</cp:lastModifiedBy>
  <cp:revision>0</cp:revision>
  <dcterms:created xsi:type="dcterms:W3CDTF">2026-08-10T15:22:01Z</dcterms:created>
  <dcterms:modified xsi:type="dcterms:W3CDTF">2026-08-10T17:32:52Z</dcterms:modified>
  <dc:language>en-US</dc:language>
</cp:coreProperties>
</file>