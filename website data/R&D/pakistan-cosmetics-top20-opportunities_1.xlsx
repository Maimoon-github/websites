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20 Ranked" sheetId="1" state="visible" r:id="rId3"/>
    <sheet name="Scoring Model" sheetId="2" state="visible" r:id="rId4"/>
    <sheet name="Unit Economics" sheetId="3" state="visible" r:id="rId5"/>
    <sheet name="Verified Facts" sheetId="4" state="visible" r:id="rId6"/>
    <sheet name="Next Steps" sheetId="5" state="visible" r:id="rId7"/>
    <sheet name="Top 10 Brands" sheetId="6" state="visible" r:id="rId8"/>
  </sheets>
  <definedNames>
    <definedName function="false" hidden="true" localSheetId="0" name="_xlnm._FilterDatabase" vbProcedure="false">'Top 20 Ranked'!$A$4:$W$24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<sst xmlns="http://schemas.openxmlformats.org/spreadsheetml/2006/main" count="480" uniqueCount="406">
  <si>
    <t xml:space="preserve">Top 20 Cosmetic Private-Label Opportunities - Pakistan First</t>
  </si>
  <si>
    <t xml:space="preserve">ALL Selling Price / Cost / Margin figures are ESTIMATES at an assumed 5,000-unit production run. NO verified search volumes are included - the Semrush API returned 'API UNITS BALANCE IS ZERO'. Demand is expressed as an evidence-backed TIER, never a fabricated number. See 'Evidence Basis' column and Sources tab.</t>
  </si>
  <si>
    <t xml:space="preserve">Rank</t>
  </si>
  <si>
    <t xml:space="preserve">Product</t>
  </si>
  <si>
    <t xml:space="preserve">Target Customer</t>
  </si>
  <si>
    <t xml:space="preserve">Search Demand (tier)</t>
  </si>
  <si>
    <t xml:space="preserve">Competition</t>
  </si>
  <si>
    <t xml:space="preserve">Sell Lo (PKR)</t>
  </si>
  <si>
    <t xml:space="preserve">Sell Hi (PKR)</t>
  </si>
  <si>
    <t xml:space="preserve">Cost Lo (PKR)</t>
  </si>
  <si>
    <t xml:space="preserve">Cost Hi (PKR)</t>
  </si>
  <si>
    <t xml:space="preserve">Est. Gross Margin %</t>
  </si>
  <si>
    <t xml:space="preserve">Repeat Cycle (days)</t>
  </si>
  <si>
    <t xml:space="preserve">Est. Reorders / Yr</t>
  </si>
  <si>
    <t xml:space="preserve">Trend</t>
  </si>
  <si>
    <t xml:space="preserve">Demand /20</t>
  </si>
  <si>
    <t xml:space="preserve">Comp Gap /20</t>
  </si>
  <si>
    <t xml:space="preserve">Margin /15</t>
  </si>
  <si>
    <t xml:space="preserve">Repeat /15</t>
  </si>
  <si>
    <t xml:space="preserve">Diff /15</t>
  </si>
  <si>
    <t xml:space="preserve">Feasibility /10</t>
  </si>
  <si>
    <t xml:space="preserve">Export /5</t>
  </si>
  <si>
    <t xml:space="preserve">Opportunity Score /100</t>
  </si>
  <si>
    <t xml:space="preserve">Evidence Basis</t>
  </si>
  <si>
    <t xml:space="preserve">Top 10 Competing Brand Websites</t>
  </si>
  <si>
    <t xml:space="preserve">Heavy-Metal-Tested Brightening Serum (azelaic 10% + niacinamide + tranexamic, batch-certified)</t>
  </si>
  <si>
    <t xml:space="preserve">PK women 22-45 using whitening creams</t>
  </si>
  <si>
    <t xml:space="preserve">Very High</t>
  </si>
  <si>
    <t xml:space="preserve">Moderate</t>
  </si>
  <si>
    <t xml:space="preserve">Rising</t>
  </si>
  <si>
    <t xml:space="preserve">VERIFIED wedge: mercury 3.6-240ppm found in Lahore creams; ~50% bleaching prevalence</t>
  </si>
  <si>
    <t xml:space="preserve">jenpharm.com | accufixcosmetics.com | derma.pk | arwaskincare.com | skinfactor.pk | conaturalintl.com | fixderma.com | asraderm.pk | theskinfit.com | drelements.com</t>
  </si>
  <si>
    <t xml:space="preserve">Malassezia-Safe Body Wash + Scalp Serum ('fungal acne safe')</t>
  </si>
  <si>
    <t xml:space="preserve">Humid-climate sufferers 16-40, both genders</t>
  </si>
  <si>
    <t xml:space="preserve">High</t>
  </si>
  <si>
    <t xml:space="preserve">Very Low</t>
  </si>
  <si>
    <t xml:space="preserve">VERIFIED: fungal skin disease 6.12% prevalence PK = highest of all derm conditions</t>
  </si>
  <si>
    <t xml:space="preserve">asraderm.pk | jenpharm.com | accufixcosmetics.com | skinfactor.pk | shopfidara.com | derma.pk | conaturalintl.com | theskinfit.com | beautenic.com | loyalbodycosmetics.com</t>
  </si>
  <si>
    <t xml:space="preserve">Azelaic Acid 10% Suspension (better-texture, non-pilling)</t>
  </si>
  <si>
    <t xml:space="preserve">Acne + rosacea + PIH sufferers 18-35</t>
  </si>
  <si>
    <t xml:space="preserve">Low local / High global</t>
  </si>
  <si>
    <t xml:space="preserve">Strongly Rising</t>
  </si>
  <si>
    <t xml:space="preserve">VERIFIED: +50% YoY global azelaic demand; market USD 814.9M by 2033</t>
  </si>
  <si>
    <t xml:space="preserve">derma.pk | skinfactor.pk | accufixcosmetics.com | jenpharm.com | fixderma.com | arwaskincare.com | asraderm.pk | drelements.com | beautenic.com | theskinfit.com</t>
  </si>
  <si>
    <t xml:space="preserve">Underarm / Body-Area Brightening Gel (hydroquinone-free)</t>
  </si>
  <si>
    <t xml:space="preserve">PK women 20-40; brides; new mothers</t>
  </si>
  <si>
    <t xml:space="preserve">Stable-Rising</t>
  </si>
  <si>
    <t xml:space="preserve">Same verified wedge as #1; bridal kit = high AOV. Ad-rejection risk</t>
  </si>
  <si>
    <t xml:space="preserve">fixderma.com | derma.pk | accufixcosmetics.com | arwaskincare.com | jenpharm.com | skinfactor.pk | conaturalintl.com | saeedghani.pk | theskinfit.com | asraderm.pk</t>
  </si>
  <si>
    <t xml:space="preserve">pH-Balanced Halal Intimate Wash (subscription)</t>
  </si>
  <si>
    <t xml:space="preserve">PK/GCC women 18-45</t>
  </si>
  <si>
    <t xml:space="preserve">Low (taboo suppresses marketing)</t>
  </si>
  <si>
    <t xml:space="preserve">VERIFIED: GCC halal cosmetics USD 7.5bn 2025, 14.67% CAGR. Best CLV in report</t>
  </si>
  <si>
    <t xml:space="preserve">theskinfit.com | rozzana.pk | myvitaminstore.pk | caretobeauty.com/pk | sweetcare.com/pk | dvago.pk | jenpharm.com | derma.pk | conaturalintl.com | skindeepintl.com</t>
  </si>
  <si>
    <t xml:space="preserve">Fungal-Acne-Safe Hybrid SPF 50+ PA++++ (no white cast)</t>
  </si>
  <si>
    <t xml:space="preserve">Oily/humid-skin users 18-40</t>
  </si>
  <si>
    <t xml:space="preserve">Moderate-High</t>
  </si>
  <si>
    <t xml:space="preserve">VERIFIED: local SPF retail PKR 1,249-2,200; imports 2,800-5,500; white cast is the named complaint</t>
  </si>
  <si>
    <t xml:space="preserve">florevapakistan.com | jenpharm.com | accufixcosmetics.com | derma.pk | theskinfit.com | skinfactor.pk | shaheenchemistrwp.com | asraderm.pk | arwaskincare.com | cybermart.pk</t>
  </si>
  <si>
    <t xml:space="preserve">Melasma Night Serum (tranexamic 5% + kojic + niacinamide)</t>
  </si>
  <si>
    <t xml:space="preserve">PK women 28-50, post-pregnancy</t>
  </si>
  <si>
    <t xml:space="preserve">Stable</t>
  </si>
  <si>
    <t xml:space="preserve">Melasma high burden in brown skin; competition moderate and mostly imported</t>
  </si>
  <si>
    <t xml:space="preserve">derma.pk | jenpharm.com | skinfactor.pk | accufixcosmetics.com | fixderma.com | arwaskincare.com | asraderm.pk | drelements.com | conaturalintl.com | beautenic.com</t>
  </si>
  <si>
    <t xml:space="preserve">Scalp-First Hair Fall System (scalp exfoliant + peptide serum)</t>
  </si>
  <si>
    <t xml:space="preserve">PK 22-45, both genders</t>
  </si>
  <si>
    <t xml:space="preserve">Rosemary OIL is saturated in PK (6+ brands found); scalp SYSTEM is not</t>
  </si>
  <si>
    <t xml:space="preserve">hairenergyofficial.com | thehairpantry.com | rijjaskincare.com | hairmatters.co | accufixcosmetics.com | jenpharm.com | asraderm.pk | hairaffairsbyms.com | saeedghani.pk | conaturalintl.com</t>
  </si>
  <si>
    <t xml:space="preserve">Wudu-Friendly Breathable Halal Nail Polish</t>
  </si>
  <si>
    <t xml:space="preserve">Muslim women 16-40, PK + GCC + UK</t>
  </si>
  <si>
    <t xml:space="preserve">Moderate PK / High GCC</t>
  </si>
  <si>
    <t xml:space="preserve">Low PK / Moderate global</t>
  </si>
  <si>
    <t xml:space="preserve">VERIFIED: GCC halal 14.67% CAGR. Export-native. Needs lacquer OEM (import)</t>
  </si>
  <si>
    <t xml:space="preserve">youremma.com | nailicy.com | eluxemagazine.com (directory) | conaturalintl.com | theskinfit.com | rozzana.pk | daraz.pk (marketplace) | amazon.ae | boots.com | noon.com</t>
  </si>
  <si>
    <t xml:space="preserve">Post-Waxing / Ingrown Hair Roll-On (salicylic + azelaic)</t>
  </si>
  <si>
    <t xml:space="preserve">PK women 18-45 who wax/thread monthly</t>
  </si>
  <si>
    <t xml:space="preserve">Emerging</t>
  </si>
  <si>
    <t xml:space="preserve">Aftercare category barely exists in PK. Natural bundle with #4</t>
  </si>
  <si>
    <t xml:space="preserve">conaturalintl.com | saeedghani.pk | theskinfit.com | jenpharm.com | derma.pk | accufixcosmetics.com | skinfactor.pk | asraderm.pk | rozzana.pk | beautenic.com</t>
  </si>
  <si>
    <t xml:space="preserve">Men's Heat &amp; Sweat Control System (oil-control, non-beard)</t>
  </si>
  <si>
    <t xml:space="preserve">PK men 18-35</t>
  </si>
  <si>
    <t xml:space="preserve">Dari Mooch / ManKind / Beyond Beard own BEARD, not heat/sweat</t>
  </si>
  <si>
    <t xml:space="preserve">darimooch.com | mankindd.com | beyondbeard.com | nuvari.pk | theskinfit.com | jenpharm.com | saeedghani.pk | conaturalintl.com | rozzana.pk | accufixcosmetics.com</t>
  </si>
  <si>
    <t xml:space="preserve">Barrier Recovery Cream for Steroid/Whitening-Damaged Skin</t>
  </si>
  <si>
    <t xml:space="preserve">Women recovering from whitening cream use</t>
  </si>
  <si>
    <t xml:space="preserve">Directly downstream of the verified mercury/steroid cream problem. Nobody sells to it</t>
  </si>
  <si>
    <t xml:space="preserve">jenpharm.com | derma.pk | skinfactor.pk | accufixcosmetics.com | fixderma.com | asraderm.pk | arwaskincare.com | conaturalintl.com | beautenic.com | drelements.com</t>
  </si>
  <si>
    <t xml:space="preserve">Hijab Scalp &amp; Hairline Kit (tonic + traction-alopecia serum)</t>
  </si>
  <si>
    <t xml:space="preserve">Hijab-wearing women 18-40, PK/GCC/UK</t>
  </si>
  <si>
    <t xml:space="preserve">Highly specific. Strong social content. Export-native</t>
  </si>
  <si>
    <t xml:space="preserve">hairenergyofficial.com | thehairpantry.com | rijjaskincare.com | hairmatters.co | hairaffairsbyms.com | asraderm.pk | jenpharm.com | accufixcosmetics.com | conaturalintl.com | saeedghani.pk</t>
  </si>
  <si>
    <t xml:space="preserve">KP / 'Strawberry Legs' Body Lotion (10% lactic + 10% urea)</t>
  </si>
  <si>
    <t xml:space="preserve">PK 16-35 women; strong US/UK export</t>
  </si>
  <si>
    <t xml:space="preserve">Moderate PK / High US-UK</t>
  </si>
  <si>
    <t xml:space="preserve">Near-zero PK</t>
  </si>
  <si>
    <t xml:space="preserve">Zero PK products found in search. Low PK awareness = education cost</t>
  </si>
  <si>
    <t xml:space="preserve">skincarepakistan.com | conaturalintl.com | saeedghani.pk | theskinfit.com | jenpharm.com | derma.pk | accufixcosmetics.com | asraderm.pk | fixderma.com | rozzana.pk</t>
  </si>
  <si>
    <t xml:space="preserve">Lip Pigmentation Repair Balm (tea/paan/smoking-darkened lips)</t>
  </si>
  <si>
    <t xml:space="preserve">PK men + women 20-45</t>
  </si>
  <si>
    <t xml:space="preserve">Culturally specific, no targeted product found. Low ticket - must bundle</t>
  </si>
  <si>
    <t xml:space="preserve">saeedghani.pk | conaturalintl.com | theskinfit.com | jenpharm.com | accufixcosmetics.com | derma.pk | skinfactor.pk | rozzana.pk | beautenic.com | daraz.pk (marketplace)</t>
  </si>
  <si>
    <t xml:space="preserve">Sulfate-Free Medicated Anti-Dandruff Shampoo (piroctone olamine)</t>
  </si>
  <si>
    <t xml:space="preserve">PK 18-45 dandruff sufferers</t>
  </si>
  <si>
    <t xml:space="preserve">Head &amp; Shoulders / Clear dominate. Enter only as line extension of #2</t>
  </si>
  <si>
    <t xml:space="preserve">asraderm.pk | jenpharm.com | accufixcosmetics.com | shaheenchemistrwp.com | theskinfit.com | rozzana.pk | hairenergyofficial.com | derma.pk | conaturalintl.com | dvago.pk</t>
  </si>
  <si>
    <t xml:space="preserve">Kids &amp; Teen Mineral Sunscreen (SPF 50, tear-free)</t>
  </si>
  <si>
    <t xml:space="preserve">PK mothers of 4-16 year olds</t>
  </si>
  <si>
    <t xml:space="preserve">Low</t>
  </si>
  <si>
    <t xml:space="preserve">VERIFIED: mineral sunscreen +124% YoY globally. Low PK competition</t>
  </si>
  <si>
    <t xml:space="preserve">jenpharm.com | florevapakistan.com | accufixcosmetics.com | theskinfit.com | derma.pk | shaheenchemistrwp.com | cybermart.pk | conaturalintl.com | rozzana.pk | dvago.pk</t>
  </si>
  <si>
    <t xml:space="preserve">25% Urea Cracked-Heel Repair Balm</t>
  </si>
  <si>
    <t xml:space="preserve">PK 30-60, both genders</t>
  </si>
  <si>
    <t xml:space="preserve">Low-Moderate</t>
  </si>
  <si>
    <t xml:space="preserve">Open footwear + wudu = universal need. Low ticket - bundle to clear PKR 2,000</t>
  </si>
  <si>
    <t xml:space="preserve">saeedghani.pk | conaturalintl.com | theskinfit.com | jenpharm.com | skincarepakistan.com | rozzana.pk | accufixcosmetics.com | asraderm.pk | dvago.pk | derma.pk</t>
  </si>
  <si>
    <t xml:space="preserve">Fungal-Acne-Safe Lightweight Moisturiser (ester-free gel)</t>
  </si>
  <si>
    <t xml:space="preserve">Line extension of #2</t>
  </si>
  <si>
    <t xml:space="preserve">Hard to formulate = moat. Only viable AFTER #2 establishes the category</t>
  </si>
  <si>
    <t xml:space="preserve">jenpharm.com | derma.pk | skinfactor.pk | accufixcosmetics.com | asraderm.pk | shopfidara.com | conaturalintl.com | arwaskincare.com | beautenic.com | theskinfit.com</t>
  </si>
  <si>
    <t xml:space="preserve">Alcohol-Free Halal Perfume Oil Roll-On (women)</t>
  </si>
  <si>
    <t xml:space="preserve">PK + GCC women 18-45</t>
  </si>
  <si>
    <t xml:space="preserve">EVALUATED AND NOT RECOMMENDED. Saturated, no defensible wedge</t>
  </si>
  <si>
    <t xml:space="preserve">scentsnstories.pk | fahaliyas.com | scentsenclave.com | saeedghani.pk | conaturalintl.com | theskinfit.com | rozzana.pk | myvitaminstore.pk | skindeepintl.com | daraz.pk (marketplace)</t>
  </si>
  <si>
    <t xml:space="preserve">LEGEND</t>
  </si>
  <si>
    <t xml:space="preserve">BLUE text = hardcoded estimate / assumption you should challenge and replace with your own quotes.</t>
  </si>
  <si>
    <t xml:space="preserve">BLACK text = calculated by formula from the blue inputs. Change a blue cell and the score/margin updates.</t>
  </si>
  <si>
    <t xml:space="preserve">Search Demand is a TIER, not a number. No verified search volumes were obtainable (Semrush credits = 0).</t>
  </si>
  <si>
    <t xml:space="preserve">Est. Gross Margin % = (avg selling price - avg cost) / avg selling price. Excludes ad spend, COD failure, returns, overhead.</t>
  </si>
  <si>
    <t xml:space="preserve">Opportunity Score = sum of the seven component scores. See 'Scoring Model' tab for what each measures.</t>
  </si>
  <si>
    <t xml:space="preserve">VERIFIED cost anchors (Human Care Laboratories, GMP, Pakistan): cream PKR 270-900/unit; serum PKR 1,000-2,000/bottle;</t>
  </si>
  <si>
    <t xml:space="preserve">   moisturiser/kit PKR 1,500-2,500; MOQ 300-500 units; lead time 4-8 weeks. Costs above ASSUME 40-60% reduction at 5,000 units.</t>
  </si>
  <si>
    <t xml:space="preserve">Opportunity Scoring Model</t>
  </si>
  <si>
    <t xml:space="preserve">These weights are my judgement, not measured data. Edit the Max column and re-score on the Top 20 tab if you weight differently.</t>
  </si>
  <si>
    <t xml:space="preserve">Component</t>
  </si>
  <si>
    <t xml:space="preserve">Max Points</t>
  </si>
  <si>
    <t xml:space="preserve">What it measures</t>
  </si>
  <si>
    <t xml:space="preserve">Demand</t>
  </si>
  <si>
    <t xml:space="preserve">Evidence-backed size of the problem in Pakistan (prevalence studies, market reports, observed category depth)</t>
  </si>
  <si>
    <t xml:space="preserve">Competition gap</t>
  </si>
  <si>
    <t xml:space="preserve">Inverse of incumbent strength. How empty the shelf is - counts named PK brands found in search</t>
  </si>
  <si>
    <t xml:space="preserve">Margin potential</t>
  </si>
  <si>
    <t xml:space="preserve">Estimated gross margin at a 5,000-unit run against realistic PK retail price</t>
  </si>
  <si>
    <t xml:space="preserve">Repeat purchase / CLV</t>
  </si>
  <si>
    <t xml:space="preserve">Consumption rate x reorder likelihood. A 30-day consumable scores far above a 90-day one</t>
  </si>
  <si>
    <t xml:space="preserve">Differentiation</t>
  </si>
  <si>
    <t xml:space="preserve">How defensible the wedge is. Can an incumbent copy it next month?</t>
  </si>
  <si>
    <t xml:space="preserve">Launch feasibility</t>
  </si>
  <si>
    <t xml:space="preserve">MOQ, formulation difficulty, DRAP pathway, capital needed</t>
  </si>
  <si>
    <t xml:space="preserve">Export headroom</t>
  </si>
  <si>
    <t xml:space="preserve">Transferability to UAE / KSA / UK / US without reformulation</t>
  </si>
  <si>
    <t xml:space="preserve">TOTAL</t>
  </si>
  <si>
    <t xml:space="preserve">Unit Economics Calculator - edit the YELLOW cells only</t>
  </si>
  <si>
    <t xml:space="preserve">Pre-loaded with opportunity #1 (Heavy-Metal-Tested Brightening Serum). Replace with your own real quotes.</t>
  </si>
  <si>
    <t xml:space="preserve">INPUT</t>
  </si>
  <si>
    <t xml:space="preserve">SOURCE / STATUS</t>
  </si>
  <si>
    <t xml:space="preserve">Retail selling price (PKR)</t>
  </si>
  <si>
    <t xml:space="preserve">ESTIMATE - your decision. Report suggests PKR 3,500-4,500</t>
  </si>
  <si>
    <t xml:space="preserve">Manufacturing cost per unit (PKR)</t>
  </si>
  <si>
    <t xml:space="preserve">ESTIMATE at 5,000 units. VERIFIED small-MOQ band was PKR 1,000-2,000 - GET YOUR OWN QUOTE</t>
  </si>
  <si>
    <t xml:space="preserve">Primary + secondary packaging (PKR)</t>
  </si>
  <si>
    <t xml:space="preserve">ESTIMATE - airless pump + carton</t>
  </si>
  <si>
    <t xml:space="preserve">Batch lab testing amortised per unit (PKR)</t>
  </si>
  <si>
    <t xml:space="preserve">ESTIMATE - heavy metals + steroid screen. Get a quote from PCSIR or SGS Pakistan</t>
  </si>
  <si>
    <t xml:space="preserve">Inbound freight + duty per unit (PKR)</t>
  </si>
  <si>
    <t xml:space="preserve">ESTIMATE - assumes local manufacture</t>
  </si>
  <si>
    <t xml:space="preserve">Discount rate applied (%)</t>
  </si>
  <si>
    <t xml:space="preserve">ESTIMATE - launch discounting</t>
  </si>
  <si>
    <t xml:space="preserve">COD failure / return rate (%)</t>
  </si>
  <si>
    <t xml:space="preserve">ESTIMATE - Pakistan COD refusal is a real and large cost. Validate with your courier</t>
  </si>
  <si>
    <t xml:space="preserve">Payment + courier cost per delivered unit (PKR)</t>
  </si>
  <si>
    <t xml:space="preserve">ESTIMATE</t>
  </si>
  <si>
    <t xml:space="preserve">Blended customer acquisition cost (PKR)</t>
  </si>
  <si>
    <t xml:space="preserve">ESTIMATE - Meta + TikTok ads. Measure this from day 1, do not assume it</t>
  </si>
  <si>
    <t xml:space="preserve">Repeat purchase cycle (days)</t>
  </si>
  <si>
    <t xml:space="preserve">Assumed reorders in year 1 per retained customer</t>
  </si>
  <si>
    <t xml:space="preserve">ESTIMATE - assumes ~50% retention</t>
  </si>
  <si>
    <t xml:space="preserve">Monthly unit volume target</t>
  </si>
  <si>
    <t xml:space="preserve">Your target</t>
  </si>
  <si>
    <t xml:space="preserve">OUTPUT</t>
  </si>
  <si>
    <t xml:space="preserve">NOTE</t>
  </si>
  <si>
    <t xml:space="preserve">Net revenue per delivered unit</t>
  </si>
  <si>
    <t xml:space="preserve">Retail less discount</t>
  </si>
  <si>
    <t xml:space="preserve">Total landed COGS per unit</t>
  </si>
  <si>
    <t xml:space="preserve">Manufacturing + packaging + testing + freight</t>
  </si>
  <si>
    <t xml:space="preserve">Gross profit per delivered unit</t>
  </si>
  <si>
    <t xml:space="preserve">Gross margin %</t>
  </si>
  <si>
    <t xml:space="preserve">Contribution after COD failure + fulfilment</t>
  </si>
  <si>
    <t xml:space="preserve">COD failure destroys the unit, not just the margin</t>
  </si>
  <si>
    <t xml:space="preserve">Contribution after CAC (first order)</t>
  </si>
  <si>
    <t xml:space="preserve">This is the number that matters. If negative, you buy customers at a loss</t>
  </si>
  <si>
    <t xml:space="preserve">Contribution across year 1 (with reorders)</t>
  </si>
  <si>
    <t xml:space="preserve">CAC is paid once; contribution repeats</t>
  </si>
  <si>
    <t xml:space="preserve">Monthly gross profit at target volume</t>
  </si>
  <si>
    <t xml:space="preserve">Annual gross profit at target volume</t>
  </si>
  <si>
    <t xml:space="preserve">Break-even units per month (assume PKR 400,000 fixed)</t>
  </si>
  <si>
    <t xml:space="preserve">Fixed cost is an ESTIMATE - replace with your real overhead</t>
  </si>
  <si>
    <t xml:space="preserve">Verified Data Used (everything else in this workbook is an estimate)</t>
  </si>
  <si>
    <t xml:space="preserve">Fact</t>
  </si>
  <si>
    <t xml:space="preserve">Value</t>
  </si>
  <si>
    <t xml:space="preserve">Source</t>
  </si>
  <si>
    <t xml:space="preserve">Fungal skin disease prevalence, Pakistan</t>
  </si>
  <si>
    <t xml:space="preserve">6.12% - highest of ALL dermatologic conditions</t>
  </si>
  <si>
    <t xml:space="preserve">Archives of Dermatological Research (GBD 2021 analysis)</t>
  </si>
  <si>
    <t xml:space="preserve">Scabies prevalence, Pakistan</t>
  </si>
  <si>
    <t xml:space="preserve">3.50%</t>
  </si>
  <si>
    <t xml:space="preserve">Archives of Dermatological Research</t>
  </si>
  <si>
    <t xml:space="preserve">Acne vulgaris prevalence, Pakistan</t>
  </si>
  <si>
    <t xml:space="preserve">2.60%</t>
  </si>
  <si>
    <t xml:space="preserve">Atopic dermatitis prevalence, Pakistan</t>
  </si>
  <si>
    <t xml:space="preserve">1.80%</t>
  </si>
  <si>
    <t xml:space="preserve">Alopecia areata prevalence, Pakistan</t>
  </si>
  <si>
    <t xml:space="preserve">0.18%</t>
  </si>
  <si>
    <t xml:space="preserve">Mercury in local skin-whitening creams, Lahore</t>
  </si>
  <si>
    <t xml:space="preserve">3.6 - 240 ppm (global cosmetic limit is typically 1 ppm)</t>
  </si>
  <si>
    <t xml:space="preserve">J. Pakistan Association of Dermatologists</t>
  </si>
  <si>
    <t xml:space="preserve">Hydroquinone in same creams</t>
  </si>
  <si>
    <t xml:space="preserve">0.000064% - 0.039% detected</t>
  </si>
  <si>
    <t xml:space="preserve">Skin-bleaching prevalence, target female population Lahore</t>
  </si>
  <si>
    <t xml:space="preserve">~50%</t>
  </si>
  <si>
    <t xml:space="preserve">Pakistan cosmetics market growth rate</t>
  </si>
  <si>
    <t xml:space="preserve">0.90% (2025) rising to 1.59% (2029) - SLOW</t>
  </si>
  <si>
    <t xml:space="preserve">6Wresearch</t>
  </si>
  <si>
    <t xml:space="preserve">Pakistan market challenge #1 named</t>
  </si>
  <si>
    <t xml:space="preserve">Counterfeit and substandard products</t>
  </si>
  <si>
    <t xml:space="preserve">GCC halal cosmetics market</t>
  </si>
  <si>
    <t xml:space="preserve">USD 7.5bn (2025) -&gt; USD 26.5bn (2034), 14.67% CAGR</t>
  </si>
  <si>
    <t xml:space="preserve">IMARC Group</t>
  </si>
  <si>
    <t xml:space="preserve">Azelaic acid treatment demand</t>
  </si>
  <si>
    <t xml:space="preserve">+50% YoY increase</t>
  </si>
  <si>
    <t xml:space="preserve">Qogita 2026 TikTok beauty trends</t>
  </si>
  <si>
    <t xml:space="preserve">Mineral / non-ghosting sunscreen demand</t>
  </si>
  <si>
    <t xml:space="preserve">+124% YoY increase</t>
  </si>
  <si>
    <t xml:space="preserve">Azelaic acid cosmetics market forecast</t>
  </si>
  <si>
    <t xml:space="preserve">USD 814.9M by 2033</t>
  </si>
  <si>
    <t xml:space="preserve">Grand View Research</t>
  </si>
  <si>
    <t xml:space="preserve">Private label cream cost, Pakistan GMP</t>
  </si>
  <si>
    <t xml:space="preserve">PKR 270 - 900 per unit</t>
  </si>
  <si>
    <t xml:space="preserve">Human Care Laboratories (published quote)</t>
  </si>
  <si>
    <t xml:space="preserve">Private label serum cost, Pakistan GMP</t>
  </si>
  <si>
    <t xml:space="preserve">PKR 1,000 - 2,000 per bottle</t>
  </si>
  <si>
    <t xml:space="preserve">Private label moisturiser / kit cost</t>
  </si>
  <si>
    <t xml:space="preserve">PKR 1,500 - 2,500</t>
  </si>
  <si>
    <t xml:space="preserve">Private label MOQ, Pakistan</t>
  </si>
  <si>
    <t xml:space="preserve">300 - 500 units per SKU</t>
  </si>
  <si>
    <t xml:space="preserve">Human Care Laboratories</t>
  </si>
  <si>
    <t xml:space="preserve">Private label lead time</t>
  </si>
  <si>
    <t xml:space="preserve">4 - 8 weeks from formula approval</t>
  </si>
  <si>
    <t xml:space="preserve">Local sunscreen retail band, Pakistan</t>
  </si>
  <si>
    <t xml:space="preserve">PKR 1,249 - 2,200</t>
  </si>
  <si>
    <t xml:space="preserve">Floreva Pakistan 2026 buyer's guide</t>
  </si>
  <si>
    <t xml:space="preserve">Imported sunscreen retail band, Pakistan</t>
  </si>
  <si>
    <t xml:space="preserve">PKR 2,500 - 5,500</t>
  </si>
  <si>
    <t xml:space="preserve">Named sunscreen consumer complaint</t>
  </si>
  <si>
    <t xml:space="preserve">White cast on darker skin (mineral formulas)</t>
  </si>
  <si>
    <t xml:space="preserve">TikTok Shop availability, Pakistan</t>
  </si>
  <si>
    <t xml:space="preserve">NOT available to Pakistani-registered businesses. TikTok ADS are available.</t>
  </si>
  <si>
    <t xml:space="preserve">WeProms Digital / TikTok seller docs</t>
  </si>
  <si>
    <t xml:space="preserve">TikTok Shop workaround cost</t>
  </si>
  <si>
    <t xml:space="preserve">UK LLP registration approx PKR 50,000 - 100,000</t>
  </si>
  <si>
    <t xml:space="preserve">WeProms Digital</t>
  </si>
  <si>
    <t xml:space="preserve">Pakistan cosmetics regulator</t>
  </si>
  <si>
    <t xml:space="preserve">DRAP - controls manufacture, import, sale AND advertising</t>
  </si>
  <si>
    <t xml:space="preserve">DRAP / 6Wresearch / Freyr</t>
  </si>
  <si>
    <t xml:space="preserve">Semrush keyword API status</t>
  </si>
  <si>
    <t xml:space="preserve">ERROR 132: API UNITS BALANCE IS ZERO - no volume data obtainable</t>
  </si>
  <si>
    <t xml:space="preserve">Semrush API response, 12 Aug 2026</t>
  </si>
  <si>
    <t xml:space="preserve">Validation Checklist - do these BEFORE ordering inventory</t>
  </si>
  <si>
    <t xml:space="preserve">#</t>
  </si>
  <si>
    <t xml:space="preserve">Action</t>
  </si>
  <si>
    <t xml:space="preserve">Why</t>
  </si>
  <si>
    <t xml:space="preserve">Est. cost</t>
  </si>
  <si>
    <t xml:space="preserve">Owner</t>
  </si>
  <si>
    <t xml:space="preserve">Done?</t>
  </si>
  <si>
    <t xml:space="preserve">Buy 1 month of Semrush or Ahrefs; pull real search volumes for the top 5 in PK, AE, SA, GB, US</t>
  </si>
  <si>
    <t xml:space="preserve">This report contains NO verified volumes. This is the single biggest gap.</t>
  </si>
  <si>
    <t xml:space="preserve">~USD 120</t>
  </si>
  <si>
    <t xml:space="preserve">Search Daraz for 'fungal acne', 'azelaic acid', 'mercury free cream'</t>
  </si>
  <si>
    <t xml:space="preserve">Confirms the competition gaps I inferred from absence of search results are real</t>
  </si>
  <si>
    <t xml:space="preserve">Free / 20 min</t>
  </si>
  <si>
    <t xml:space="preserve">Request written quotes at 5,000 units from Human Care Labs, Ali Group Services Labs, Soneri Care</t>
  </si>
  <si>
    <t xml:space="preserve">Every margin figure in this workbook depends on cost falling 40-60% at scale. Unproven.</t>
  </si>
  <si>
    <t xml:space="preserve">Free</t>
  </si>
  <si>
    <t xml:space="preserve">Get written DRAP classification opinion: azelaic acid 10%, piroctone olamine, brightening claim wording</t>
  </si>
  <si>
    <t xml:space="preserve">Cosmetic vs medicated-cosmetic is the #1 regulatory risk on opportunities 1, 2 and 3</t>
  </si>
  <si>
    <t xml:space="preserve">PKR 50-150k (est)</t>
  </si>
  <si>
    <t xml:space="preserve">Get heavy-metals + steroid screening quote from PCSIR or SGS Pakistan</t>
  </si>
  <si>
    <t xml:space="preserve">This test IS the USP of opportunity #1. Price it before building the brand on it.</t>
  </si>
  <si>
    <t xml:space="preserve">Unknown - get quote</t>
  </si>
  <si>
    <t xml:space="preserve">Decide TikTok route: ads-to-own-site, or UK LLP for TikTok Shop UK</t>
  </si>
  <si>
    <t xml:space="preserve">TikTok Shop is confirmed unavailable to Pakistani businesses</t>
  </si>
  <si>
    <t xml:space="preserve">PKR 50-100k if LLP</t>
  </si>
  <si>
    <t xml:space="preserve">Measure real COD refusal rate with 2-3 couriers before modelling margin</t>
  </si>
  <si>
    <t xml:space="preserve">COD failure is the largest hidden cost in Pakistani e-commerce</t>
  </si>
  <si>
    <t xml:space="preserve">Buy and test 5 competitor products in your chosen category</t>
  </si>
  <si>
    <t xml:space="preserve">You cannot position against products you have not used</t>
  </si>
  <si>
    <t xml:space="preserve">~PKR 15,000</t>
  </si>
  <si>
    <t xml:space="preserve">Top 10 Pakistani Beauty / Skincare Brands - Website List</t>
  </si>
  <si>
    <t xml:space="preserve">RANKING BASIS (important): this is ordered by how frequently each brand appeared across the independent 2026 Pakistani skincare buyer-guides and listicles I read during research, NOT by revenue, traffic or market share - I had no traffic data (Semrush API credits = 0). Treat the order as 'most visible', not 'largest'.</t>
  </si>
  <si>
    <t xml:space="preserve">Brand</t>
  </si>
  <si>
    <t xml:space="preserve">Website</t>
  </si>
  <si>
    <t xml:space="preserve">Category focus</t>
  </si>
  <si>
    <t xml:space="preserve">Why they matter to you</t>
  </si>
  <si>
    <t xml:space="preserve">Threat level to your launch</t>
  </si>
  <si>
    <t xml:space="preserve">Jenpharm</t>
  </si>
  <si>
    <t xml:space="preserve">https://jenpharm.com/</t>
  </si>
  <si>
    <t xml:space="preserve">Dermocosmetics: sun care, hair care, pigmentation</t>
  </si>
  <si>
    <t xml:space="preserve">Pharma-backed, widest SPF 30-75 range at PKR 700-2,200. The credibility benchmark you must beat.</t>
  </si>
  <si>
    <t xml:space="preserve">HIGH - direct competitor on opportunities 1, 3, 6, 7</t>
  </si>
  <si>
    <t xml:space="preserve">AccuFix Cosmetics</t>
  </si>
  <si>
    <t xml:space="preserve">https://accufixcosmetics.com/</t>
  </si>
  <si>
    <t xml:space="preserve">Skincare + hair care, actives-led</t>
  </si>
  <si>
    <t xml:space="preserve">Sells rosemary hair oil, Centella SPF 50 (PKR 1,800-2,200), acne and hair-fall ranges. Very broad.</t>
  </si>
  <si>
    <t xml:space="preserve">HIGH - overlaps opportunities 1, 3, 6, 8</t>
  </si>
  <si>
    <t xml:space="preserve">Derma.pk</t>
  </si>
  <si>
    <t xml:space="preserve">https://derma.pk/</t>
  </si>
  <si>
    <t xml:space="preserve">Dermatologist-positioned skincare</t>
  </si>
  <si>
    <t xml:space="preserve">Publishes melasma and brown-skin sunscreen buying guides - already owns the education layer you want.</t>
  </si>
  <si>
    <t xml:space="preserve">HIGH - direct on opportunities 1, 4, 7</t>
  </si>
  <si>
    <t xml:space="preserve">Conatural</t>
  </si>
  <si>
    <t xml:space="preserve">https://conaturalintl.com/</t>
  </si>
  <si>
    <t xml:space="preserve">Organic / natural skincare and hair care</t>
  </si>
  <si>
    <t xml:space="preserve">Raised outside investment; strongest 'clean beauty' equity in Pakistan. Natural positioning is taken.</t>
  </si>
  <si>
    <t xml:space="preserve">MEDIUM-HIGH - blocks a 'natural' angle, weak on actives</t>
  </si>
  <si>
    <t xml:space="preserve">Saeed Ghani</t>
  </si>
  <si>
    <t xml:space="preserve">https://saeedghani.pk/</t>
  </si>
  <si>
    <t xml:space="preserve">Herbal, heritage (since 1888), mass price</t>
  </si>
  <si>
    <t xml:space="preserve">Enormous trust and distribution at low price points. Do not compete on herbal or on price.</t>
  </si>
  <si>
    <t xml:space="preserve">MEDIUM - different price tier, but huge brand awareness</t>
  </si>
  <si>
    <t xml:space="preserve">Skin Factor</t>
  </si>
  <si>
    <t xml:space="preserve">https://www.skinfactor.pk/</t>
  </si>
  <si>
    <t xml:space="preserve">Actives-led skincare, pigmentation</t>
  </si>
  <si>
    <t xml:space="preserve">Publishes hyperpigmentation content for the PK market - direct rival on your #1 wedge.</t>
  </si>
  <si>
    <t xml:space="preserve">HIGH - direct on opportunities 1, 3, 7</t>
  </si>
  <si>
    <t xml:space="preserve">Arwa Skin Care</t>
  </si>
  <si>
    <t xml:space="preserve">https://arwaskincare.com/</t>
  </si>
  <si>
    <t xml:space="preserve">Dermatologist-verified positioning</t>
  </si>
  <si>
    <t xml:space="preserve">Uses 'dermatologist verified' as its wedge, which is adjacent to your lab-testing wedge.</t>
  </si>
  <si>
    <t xml:space="preserve">MEDIUM-HIGH - closest positioning rival for opportunity 1</t>
  </si>
  <si>
    <t xml:space="preserve">Asraderm</t>
  </si>
  <si>
    <t xml:space="preserve">https://www.asraderm.pk/</t>
  </si>
  <si>
    <t xml:space="preserve">Hair fall, dandruff, scalp, nourishment</t>
  </si>
  <si>
    <t xml:space="preserve">The most developed PK hair-and-scalp assortment. Study before entering opportunity 8 or 13.</t>
  </si>
  <si>
    <t xml:space="preserve">MEDIUM-HIGH - direct on opportunities 8, 13, 16</t>
  </si>
  <si>
    <t xml:space="preserve">Dari Mooch</t>
  </si>
  <si>
    <t xml:space="preserve">https://www.darimooch.com/</t>
  </si>
  <si>
    <t xml:space="preserve">Men's grooming - beard-led</t>
  </si>
  <si>
    <t xml:space="preserve">Self-described #1 PK men's grooming brand. Owns beard; has NOT taken heat/sweat control.</t>
  </si>
  <si>
    <t xml:space="preserve">MEDIUM - blocks beard, leaves opportunity 11 open</t>
  </si>
  <si>
    <t xml:space="preserve">Floreva Pakistan</t>
  </si>
  <si>
    <t xml:space="preserve">https://florevapakistan.com/</t>
  </si>
  <si>
    <t xml:space="preserve">Sun care, hybrid sunscreen</t>
  </si>
  <si>
    <t xml:space="preserve">Hybrid SPF 50+ PA++++ at PKR 1,249 - the aggressive local price anchor for opportunity 6.</t>
  </si>
  <si>
    <t xml:space="preserve">MEDIUM-HIGH - sets the price floor on sunscreen</t>
  </si>
  <si>
    <t xml:space="preserve">ALSO WATCH (secondary / adjacent players)</t>
  </si>
  <si>
    <t xml:space="preserve">Segment</t>
  </si>
  <si>
    <t xml:space="preserve">Men's grooming</t>
  </si>
  <si>
    <t xml:space="preserve">ManKind</t>
  </si>
  <si>
    <t xml:space="preserve">https://mankindd.com/</t>
  </si>
  <si>
    <t xml:space="preserve">Beyond Beard</t>
  </si>
  <si>
    <t xml:space="preserve">https://www.beyondbeard.com/</t>
  </si>
  <si>
    <t xml:space="preserve">Nuvari</t>
  </si>
  <si>
    <t xml:space="preserve">https://nuvari.pk/</t>
  </si>
  <si>
    <t xml:space="preserve">Hair care</t>
  </si>
  <si>
    <t xml:space="preserve">Hair Energy</t>
  </si>
  <si>
    <t xml:space="preserve">https://hairenergyofficial.com/</t>
  </si>
  <si>
    <t xml:space="preserve">The Hair Pantry</t>
  </si>
  <si>
    <t xml:space="preserve">https://thehairpantry.com/</t>
  </si>
  <si>
    <t xml:space="preserve">Rijja Skincare</t>
  </si>
  <si>
    <t xml:space="preserve">https://www.rijjaskincare.com/</t>
  </si>
  <si>
    <t xml:space="preserve">Hair Matters</t>
  </si>
  <si>
    <t xml:space="preserve">https://hairmatters.co/</t>
  </si>
  <si>
    <t xml:space="preserve">Skincare</t>
  </si>
  <si>
    <t xml:space="preserve">Dr Elements</t>
  </si>
  <si>
    <t xml:space="preserve">https://drelements.com/</t>
  </si>
  <si>
    <t xml:space="preserve">Beautenic</t>
  </si>
  <si>
    <t xml:space="preserve">https://beautenic.com/</t>
  </si>
  <si>
    <t xml:space="preserve">Fidara Beauty</t>
  </si>
  <si>
    <t xml:space="preserve">https://shopfidara.com/</t>
  </si>
  <si>
    <t xml:space="preserve">Loyal Body Cosmetics</t>
  </si>
  <si>
    <t xml:space="preserve">https://loyalbodycosmetics.com/</t>
  </si>
  <si>
    <t xml:space="preserve">Retail / multi-brand</t>
  </si>
  <si>
    <t xml:space="preserve">The Skin Fit</t>
  </si>
  <si>
    <t xml:space="preserve">https://theskinfit.com/</t>
  </si>
  <si>
    <t xml:space="preserve">Rozzana</t>
  </si>
  <si>
    <t xml:space="preserve">https://rozzana.pk/</t>
  </si>
  <si>
    <t xml:space="preserve">Shaheen Chemist</t>
  </si>
  <si>
    <t xml:space="preserve">https://shaheenchemistrwp.com/</t>
  </si>
  <si>
    <t xml:space="preserve">Retail / pharmacy</t>
  </si>
  <si>
    <t xml:space="preserve">DVAGO</t>
  </si>
  <si>
    <t xml:space="preserve">https://www.dvago.pk/</t>
  </si>
  <si>
    <t xml:space="preserve">Imported rival (India)</t>
  </si>
  <si>
    <t xml:space="preserve">Fixderma</t>
  </si>
  <si>
    <t xml:space="preserve">https://www.fixderma.com/</t>
  </si>
  <si>
    <t xml:space="preserve">Fragrance</t>
  </si>
  <si>
    <t xml:space="preserve">Scents n Stories</t>
  </si>
  <si>
    <t xml:space="preserve">https://scentsnstories.pk/</t>
  </si>
  <si>
    <t xml:space="preserve">Fahaliya's</t>
  </si>
  <si>
    <t xml:space="preserve">https://www.fahaliyas.com/</t>
  </si>
  <si>
    <t xml:space="preserve">Scents Enclave</t>
  </si>
  <si>
    <t xml:space="preserve">https://scentsenclave.com/</t>
  </si>
  <si>
    <t xml:space="preserve">MANUFACTURER (not a rival)</t>
  </si>
  <si>
    <t xml:space="preserve">https://humancarelabs.com/</t>
  </si>
  <si>
    <t xml:space="preserve">Ali Group Services Labs</t>
  </si>
  <si>
    <t xml:space="preserve">https://aligroupservices.com/labs/</t>
  </si>
  <si>
    <t xml:space="preserve">Soneri Care</t>
  </si>
  <si>
    <t xml:space="preserve">https://sonericare.com/private-label/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</si>
</sst>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777777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jenpharm.com/" TargetMode="External"/><Relationship Id="rId2" Type="http://schemas.openxmlformats.org/officeDocument/2006/relationships/hyperlink" Target="https://accufixcosmetics.com/" TargetMode="External"/><Relationship Id="rId3" Type="http://schemas.openxmlformats.org/officeDocument/2006/relationships/hyperlink" Target="https://derma.pk/" TargetMode="External"/><Relationship Id="rId4" Type="http://schemas.openxmlformats.org/officeDocument/2006/relationships/hyperlink" Target="https://conaturalintl.com/" TargetMode="External"/><Relationship Id="rId5" Type="http://schemas.openxmlformats.org/officeDocument/2006/relationships/hyperlink" Target="https://saeedghani.pk/" TargetMode="External"/><Relationship Id="rId6" Type="http://schemas.openxmlformats.org/officeDocument/2006/relationships/hyperlink" Target="https://www.skinfactor.pk/" TargetMode="External"/><Relationship Id="rId7" Type="http://schemas.openxmlformats.org/officeDocument/2006/relationships/hyperlink" Target="https://arwaskincare.com/" TargetMode="External"/><Relationship Id="rId8" Type="http://schemas.openxmlformats.org/officeDocument/2006/relationships/hyperlink" Target="https://www.asraderm.pk/" TargetMode="External"/><Relationship Id="rId9" Type="http://schemas.openxmlformats.org/officeDocument/2006/relationships/hyperlink" Target="https://www.darimooch.com/" TargetMode="External"/><Relationship Id="rId10" Type="http://schemas.openxmlformats.org/officeDocument/2006/relationships/hyperlink" Target="https://florevapakistan.com/" TargetMode="External"/><Relationship Id="rId11" Type="http://schemas.openxmlformats.org/officeDocument/2006/relationships/hyperlink" Target="https://mankindd.com/" TargetMode="External"/><Relationship Id="rId12" Type="http://schemas.openxmlformats.org/officeDocument/2006/relationships/hyperlink" Target="https://www.beyondbeard.com/" TargetMode="External"/><Relationship Id="rId13" Type="http://schemas.openxmlformats.org/officeDocument/2006/relationships/hyperlink" Target="https://nuvari.pk/" TargetMode="External"/><Relationship Id="rId14" Type="http://schemas.openxmlformats.org/officeDocument/2006/relationships/hyperlink" Target="https://hairenergyofficial.com/" TargetMode="External"/><Relationship Id="rId15" Type="http://schemas.openxmlformats.org/officeDocument/2006/relationships/hyperlink" Target="https://thehairpantry.com/" TargetMode="External"/><Relationship Id="rId16" Type="http://schemas.openxmlformats.org/officeDocument/2006/relationships/hyperlink" Target="https://www.rijjaskincare.com/" TargetMode="External"/><Relationship Id="rId17" Type="http://schemas.openxmlformats.org/officeDocument/2006/relationships/hyperlink" Target="https://hairmatters.co/" TargetMode="External"/><Relationship Id="rId18" Type="http://schemas.openxmlformats.org/officeDocument/2006/relationships/hyperlink" Target="https://drelements.com/" TargetMode="External"/><Relationship Id="rId19" Type="http://schemas.openxmlformats.org/officeDocument/2006/relationships/hyperlink" Target="https://beautenic.com/" TargetMode="External"/><Relationship Id="rId20" Type="http://schemas.openxmlformats.org/officeDocument/2006/relationships/hyperlink" Target="https://shopfidara.com/" TargetMode="External"/><Relationship Id="rId21" Type="http://schemas.openxmlformats.org/officeDocument/2006/relationships/hyperlink" Target="https://loyalbodycosmetics.com/" TargetMode="External"/><Relationship Id="rId22" Type="http://schemas.openxmlformats.org/officeDocument/2006/relationships/hyperlink" Target="https://theskinfit.com/" TargetMode="External"/><Relationship Id="rId23" Type="http://schemas.openxmlformats.org/officeDocument/2006/relationships/hyperlink" Target="https://rozzana.pk/" TargetMode="External"/><Relationship Id="rId24" Type="http://schemas.openxmlformats.org/officeDocument/2006/relationships/hyperlink" Target="https://shaheenchemistrwp.com/" TargetMode="External"/><Relationship Id="rId25" Type="http://schemas.openxmlformats.org/officeDocument/2006/relationships/hyperlink" Target="https://www.dvago.pk/" TargetMode="External"/><Relationship Id="rId26" Type="http://schemas.openxmlformats.org/officeDocument/2006/relationships/hyperlink" Target="https://www.fixderma.com/" TargetMode="External"/><Relationship Id="rId27" Type="http://schemas.openxmlformats.org/officeDocument/2006/relationships/hyperlink" Target="https://scentsnstories.pk/" TargetMode="External"/><Relationship Id="rId28" Type="http://schemas.openxmlformats.org/officeDocument/2006/relationships/hyperlink" Target="https://www.fahaliyas.com/" TargetMode="External"/><Relationship Id="rId29" Type="http://schemas.openxmlformats.org/officeDocument/2006/relationships/hyperlink" Target="https://scentsenclave.com/" TargetMode="External"/><Relationship Id="rId30" Type="http://schemas.openxmlformats.org/officeDocument/2006/relationships/hyperlink" Target="https://humancarelabs.com/" TargetMode="External"/><Relationship Id="rId31" Type="http://schemas.openxmlformats.org/officeDocument/2006/relationships/hyperlink" Target="https://aligroupservices.com/labs/" TargetMode="External"/><Relationship Id="rId32" Type="http://schemas.openxmlformats.org/officeDocument/2006/relationships/hyperlink" Target="https://sonericare.com/private-labe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9" min="6" style="0" width="12"/>
    <col collapsed="false" customWidth="true" hidden="false" outlineLevel="0" max="13" min="10" style="0" width="14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4"/>
    <col collapsed="false" customWidth="true" hidden="false" outlineLevel="0" max="22" min="22" style="0" width="56"/>
    <col collapsed="false" customWidth="true" hidden="false" outlineLevel="0" max="23" min="23" style="0" width="62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customFormat="false" ht="45.75" hidden="false" customHeight="true" outlineLevel="0" collapsed="false">
      <c r="A5" s="4" t="n">
        <v>1</v>
      </c>
      <c r="B5" s="5" t="s">
        <v>25</v>
      </c>
      <c r="C5" s="5" t="s">
        <v>26</v>
      </c>
      <c r="D5" s="5" t="s">
        <v>27</v>
      </c>
      <c r="E5" s="5" t="s">
        <v>28</v>
      </c>
      <c r="F5" s="6" t="n">
        <v>3500</v>
      </c>
      <c r="G5" s="6" t="n">
        <v>4500</v>
      </c>
      <c r="H5" s="6" t="n">
        <v>900</v>
      </c>
      <c r="I5" s="6" t="n">
        <v>1400</v>
      </c>
      <c r="J5" s="7" t="n">
        <f aca="false">IFERROR((AVERAGE(F5,G5)-AVERAGE(H5,I5))/AVERAGE(F5,G5),"")</f>
        <v>0.7125</v>
      </c>
      <c r="K5" s="8" t="n">
        <v>50</v>
      </c>
      <c r="L5" s="9" t="n">
        <f aca="false">IFERROR(365/K5,"")</f>
        <v>7.3</v>
      </c>
      <c r="M5" s="5" t="s">
        <v>29</v>
      </c>
      <c r="N5" s="8" t="n">
        <v>20</v>
      </c>
      <c r="O5" s="8" t="n">
        <v>15</v>
      </c>
      <c r="P5" s="8" t="n">
        <v>14</v>
      </c>
      <c r="Q5" s="8" t="n">
        <v>12</v>
      </c>
      <c r="R5" s="8" t="n">
        <v>15</v>
      </c>
      <c r="S5" s="8" t="n">
        <v>10</v>
      </c>
      <c r="T5" s="8" t="n">
        <v>5</v>
      </c>
      <c r="U5" s="10" t="n">
        <f aca="false">SUM(N5:T5)</f>
        <v>91</v>
      </c>
      <c r="V5" s="5" t="s">
        <v>30</v>
      </c>
      <c r="W5" s="11" t="s">
        <v>31</v>
      </c>
    </row>
    <row r="6" customFormat="false" ht="45.75" hidden="false" customHeight="true" outlineLevel="0" collapsed="false">
      <c r="A6" s="4" t="n">
        <v>2</v>
      </c>
      <c r="B6" s="5" t="s">
        <v>32</v>
      </c>
      <c r="C6" s="5" t="s">
        <v>33</v>
      </c>
      <c r="D6" s="5" t="s">
        <v>34</v>
      </c>
      <c r="E6" s="5" t="s">
        <v>35</v>
      </c>
      <c r="F6" s="6" t="n">
        <v>2200</v>
      </c>
      <c r="G6" s="6" t="n">
        <v>3200</v>
      </c>
      <c r="H6" s="6" t="n">
        <v>550</v>
      </c>
      <c r="I6" s="6" t="n">
        <v>850</v>
      </c>
      <c r="J6" s="7" t="n">
        <f aca="false">IFERROR((AVERAGE(F6,G6)-AVERAGE(H6,I6))/AVERAGE(F6,G6),"")</f>
        <v>0.740740740740741</v>
      </c>
      <c r="K6" s="8" t="n">
        <v>30</v>
      </c>
      <c r="L6" s="9" t="n">
        <f aca="false">IFERROR(365/K6,"")</f>
        <v>12.1666666666667</v>
      </c>
      <c r="M6" s="5" t="s">
        <v>29</v>
      </c>
      <c r="N6" s="8" t="n">
        <v>17</v>
      </c>
      <c r="O6" s="8" t="n">
        <v>19</v>
      </c>
      <c r="P6" s="8" t="n">
        <v>13</v>
      </c>
      <c r="Q6" s="8" t="n">
        <v>15</v>
      </c>
      <c r="R6" s="8" t="n">
        <v>15</v>
      </c>
      <c r="S6" s="8" t="n">
        <v>6</v>
      </c>
      <c r="T6" s="8" t="n">
        <v>4</v>
      </c>
      <c r="U6" s="10" t="n">
        <f aca="false">SUM(N6:T6)</f>
        <v>89</v>
      </c>
      <c r="V6" s="5" t="s">
        <v>36</v>
      </c>
      <c r="W6" s="11" t="s">
        <v>37</v>
      </c>
    </row>
    <row r="7" customFormat="false" ht="45.75" hidden="false" customHeight="true" outlineLevel="0" collapsed="false">
      <c r="A7" s="4" t="n">
        <v>3</v>
      </c>
      <c r="B7" s="5" t="s">
        <v>38</v>
      </c>
      <c r="C7" s="5" t="s">
        <v>39</v>
      </c>
      <c r="D7" s="5" t="s">
        <v>34</v>
      </c>
      <c r="E7" s="5" t="s">
        <v>40</v>
      </c>
      <c r="F7" s="6" t="n">
        <v>2600</v>
      </c>
      <c r="G7" s="6" t="n">
        <v>3400</v>
      </c>
      <c r="H7" s="6" t="n">
        <v>800</v>
      </c>
      <c r="I7" s="6" t="n">
        <v>1200</v>
      </c>
      <c r="J7" s="7" t="n">
        <f aca="false">IFERROR((AVERAGE(F7,G7)-AVERAGE(H7,I7))/AVERAGE(F7,G7),"")</f>
        <v>0.666666666666667</v>
      </c>
      <c r="K7" s="8" t="n">
        <v>45</v>
      </c>
      <c r="L7" s="9" t="n">
        <f aca="false">IFERROR(365/K7,"")</f>
        <v>8.11111111111111</v>
      </c>
      <c r="M7" s="5" t="s">
        <v>41</v>
      </c>
      <c r="N7" s="8" t="n">
        <v>18</v>
      </c>
      <c r="O7" s="8" t="n">
        <v>16</v>
      </c>
      <c r="P7" s="8" t="n">
        <v>13</v>
      </c>
      <c r="Q7" s="8" t="n">
        <v>12</v>
      </c>
      <c r="R7" s="8" t="n">
        <v>13</v>
      </c>
      <c r="S7" s="8" t="n">
        <v>8</v>
      </c>
      <c r="T7" s="8" t="n">
        <v>5</v>
      </c>
      <c r="U7" s="10" t="n">
        <f aca="false">SUM(N7:T7)</f>
        <v>85</v>
      </c>
      <c r="V7" s="5" t="s">
        <v>42</v>
      </c>
      <c r="W7" s="11" t="s">
        <v>43</v>
      </c>
    </row>
    <row r="8" customFormat="false" ht="45.75" hidden="false" customHeight="true" outlineLevel="0" collapsed="false">
      <c r="A8" s="4" t="n">
        <v>4</v>
      </c>
      <c r="B8" s="5" t="s">
        <v>44</v>
      </c>
      <c r="C8" s="5" t="s">
        <v>45</v>
      </c>
      <c r="D8" s="5" t="s">
        <v>27</v>
      </c>
      <c r="E8" s="5" t="s">
        <v>28</v>
      </c>
      <c r="F8" s="6" t="n">
        <v>2400</v>
      </c>
      <c r="G8" s="6" t="n">
        <v>3200</v>
      </c>
      <c r="H8" s="6" t="n">
        <v>600</v>
      </c>
      <c r="I8" s="6" t="n">
        <v>950</v>
      </c>
      <c r="J8" s="7" t="n">
        <f aca="false">IFERROR((AVERAGE(F8,G8)-AVERAGE(H8,I8))/AVERAGE(F8,G8),"")</f>
        <v>0.723214285714286</v>
      </c>
      <c r="K8" s="8" t="n">
        <v>40</v>
      </c>
      <c r="L8" s="9" t="n">
        <f aca="false">IFERROR(365/K8,"")</f>
        <v>9.125</v>
      </c>
      <c r="M8" s="5" t="s">
        <v>46</v>
      </c>
      <c r="N8" s="8" t="n">
        <v>19</v>
      </c>
      <c r="O8" s="8" t="n">
        <v>13</v>
      </c>
      <c r="P8" s="8" t="n">
        <v>13</v>
      </c>
      <c r="Q8" s="8" t="n">
        <v>12</v>
      </c>
      <c r="R8" s="8" t="n">
        <v>13</v>
      </c>
      <c r="S8" s="8" t="n">
        <v>9</v>
      </c>
      <c r="T8" s="8" t="n">
        <v>5</v>
      </c>
      <c r="U8" s="10" t="n">
        <f aca="false">SUM(N8:T8)</f>
        <v>84</v>
      </c>
      <c r="V8" s="5" t="s">
        <v>47</v>
      </c>
      <c r="W8" s="11" t="s">
        <v>48</v>
      </c>
    </row>
    <row r="9" customFormat="false" ht="45.75" hidden="false" customHeight="true" outlineLevel="0" collapsed="false">
      <c r="A9" s="4" t="n">
        <v>5</v>
      </c>
      <c r="B9" s="5" t="s">
        <v>49</v>
      </c>
      <c r="C9" s="5" t="s">
        <v>50</v>
      </c>
      <c r="D9" s="5" t="s">
        <v>34</v>
      </c>
      <c r="E9" s="5" t="s">
        <v>51</v>
      </c>
      <c r="F9" s="6" t="n">
        <v>2000</v>
      </c>
      <c r="G9" s="6" t="n">
        <v>2600</v>
      </c>
      <c r="H9" s="6" t="n">
        <v>400</v>
      </c>
      <c r="I9" s="6" t="n">
        <v>650</v>
      </c>
      <c r="J9" s="7" t="n">
        <f aca="false">IFERROR((AVERAGE(F9,G9)-AVERAGE(H9,I9))/AVERAGE(F9,G9),"")</f>
        <v>0.771739130434783</v>
      </c>
      <c r="K9" s="8" t="n">
        <v>30</v>
      </c>
      <c r="L9" s="9" t="n">
        <f aca="false">IFERROR(365/K9,"")</f>
        <v>12.1666666666667</v>
      </c>
      <c r="M9" s="5" t="s">
        <v>29</v>
      </c>
      <c r="N9" s="8" t="n">
        <v>14</v>
      </c>
      <c r="O9" s="8" t="n">
        <v>15</v>
      </c>
      <c r="P9" s="8" t="n">
        <v>14</v>
      </c>
      <c r="Q9" s="8" t="n">
        <v>15</v>
      </c>
      <c r="R9" s="8" t="n">
        <v>11</v>
      </c>
      <c r="S9" s="8" t="n">
        <v>8</v>
      </c>
      <c r="T9" s="8" t="n">
        <v>5</v>
      </c>
      <c r="U9" s="10" t="n">
        <f aca="false">SUM(N9:T9)</f>
        <v>82</v>
      </c>
      <c r="V9" s="5" t="s">
        <v>52</v>
      </c>
      <c r="W9" s="11" t="s">
        <v>53</v>
      </c>
    </row>
    <row r="10" customFormat="false" ht="45.75" hidden="false" customHeight="true" outlineLevel="0" collapsed="false">
      <c r="A10" s="4" t="n">
        <v>6</v>
      </c>
      <c r="B10" s="5" t="s">
        <v>54</v>
      </c>
      <c r="C10" s="5" t="s">
        <v>55</v>
      </c>
      <c r="D10" s="5" t="s">
        <v>27</v>
      </c>
      <c r="E10" s="5" t="s">
        <v>56</v>
      </c>
      <c r="F10" s="6" t="n">
        <v>2200</v>
      </c>
      <c r="G10" s="6" t="n">
        <v>2800</v>
      </c>
      <c r="H10" s="6" t="n">
        <v>700</v>
      </c>
      <c r="I10" s="6" t="n">
        <v>1000</v>
      </c>
      <c r="J10" s="7" t="n">
        <f aca="false">IFERROR((AVERAGE(F10,G10)-AVERAGE(H10,I10))/AVERAGE(F10,G10),"")</f>
        <v>0.66</v>
      </c>
      <c r="K10" s="8" t="n">
        <v>45</v>
      </c>
      <c r="L10" s="9" t="n">
        <f aca="false">IFERROR(365/K10,"")</f>
        <v>8.11111111111111</v>
      </c>
      <c r="M10" s="5" t="s">
        <v>29</v>
      </c>
      <c r="N10" s="8" t="n">
        <v>19</v>
      </c>
      <c r="O10" s="8" t="n">
        <v>10</v>
      </c>
      <c r="P10" s="8" t="n">
        <v>11</v>
      </c>
      <c r="Q10" s="8" t="n">
        <v>15</v>
      </c>
      <c r="R10" s="8" t="n">
        <v>12</v>
      </c>
      <c r="S10" s="8" t="n">
        <v>9</v>
      </c>
      <c r="T10" s="8" t="n">
        <v>5</v>
      </c>
      <c r="U10" s="10" t="n">
        <f aca="false">SUM(N10:T10)</f>
        <v>81</v>
      </c>
      <c r="V10" s="5" t="s">
        <v>57</v>
      </c>
      <c r="W10" s="11" t="s">
        <v>58</v>
      </c>
    </row>
    <row r="11" customFormat="false" ht="45.75" hidden="false" customHeight="true" outlineLevel="0" collapsed="false">
      <c r="A11" s="4" t="n">
        <v>7</v>
      </c>
      <c r="B11" s="5" t="s">
        <v>59</v>
      </c>
      <c r="C11" s="5" t="s">
        <v>60</v>
      </c>
      <c r="D11" s="5" t="s">
        <v>27</v>
      </c>
      <c r="E11" s="5" t="s">
        <v>28</v>
      </c>
      <c r="F11" s="6" t="n">
        <v>3200</v>
      </c>
      <c r="G11" s="6" t="n">
        <v>4200</v>
      </c>
      <c r="H11" s="6" t="n">
        <v>900</v>
      </c>
      <c r="I11" s="6" t="n">
        <v>1400</v>
      </c>
      <c r="J11" s="7" t="n">
        <f aca="false">IFERROR((AVERAGE(F11,G11)-AVERAGE(H11,I11))/AVERAGE(F11,G11),"")</f>
        <v>0.689189189189189</v>
      </c>
      <c r="K11" s="8" t="n">
        <v>60</v>
      </c>
      <c r="L11" s="9" t="n">
        <f aca="false">IFERROR(365/K11,"")</f>
        <v>6.08333333333333</v>
      </c>
      <c r="M11" s="5" t="s">
        <v>61</v>
      </c>
      <c r="N11" s="8" t="n">
        <v>18</v>
      </c>
      <c r="O11" s="8" t="n">
        <v>12</v>
      </c>
      <c r="P11" s="8" t="n">
        <v>12</v>
      </c>
      <c r="Q11" s="8" t="n">
        <v>12</v>
      </c>
      <c r="R11" s="8" t="n">
        <v>12</v>
      </c>
      <c r="S11" s="8" t="n">
        <v>9</v>
      </c>
      <c r="T11" s="8" t="n">
        <v>5</v>
      </c>
      <c r="U11" s="10" t="n">
        <f aca="false">SUM(N11:T11)</f>
        <v>80</v>
      </c>
      <c r="V11" s="5" t="s">
        <v>62</v>
      </c>
      <c r="W11" s="11" t="s">
        <v>63</v>
      </c>
    </row>
    <row r="12" customFormat="false" ht="45.75" hidden="false" customHeight="true" outlineLevel="0" collapsed="false">
      <c r="A12" s="4" t="n">
        <v>8</v>
      </c>
      <c r="B12" s="5" t="s">
        <v>64</v>
      </c>
      <c r="C12" s="5" t="s">
        <v>65</v>
      </c>
      <c r="D12" s="5" t="s">
        <v>27</v>
      </c>
      <c r="E12" s="5" t="s">
        <v>28</v>
      </c>
      <c r="F12" s="6" t="n">
        <v>3000</v>
      </c>
      <c r="G12" s="6" t="n">
        <v>4000</v>
      </c>
      <c r="H12" s="6" t="n">
        <v>950</v>
      </c>
      <c r="I12" s="6" t="n">
        <v>1400</v>
      </c>
      <c r="J12" s="7" t="n">
        <f aca="false">IFERROR((AVERAGE(F12,G12)-AVERAGE(H12,I12))/AVERAGE(F12,G12),"")</f>
        <v>0.664285714285714</v>
      </c>
      <c r="K12" s="8" t="n">
        <v>45</v>
      </c>
      <c r="L12" s="9" t="n">
        <f aca="false">IFERROR(365/K12,"")</f>
        <v>8.11111111111111</v>
      </c>
      <c r="M12" s="5" t="s">
        <v>29</v>
      </c>
      <c r="N12" s="8" t="n">
        <v>19</v>
      </c>
      <c r="O12" s="8" t="n">
        <v>12</v>
      </c>
      <c r="P12" s="8" t="n">
        <v>12</v>
      </c>
      <c r="Q12" s="8" t="n">
        <v>12</v>
      </c>
      <c r="R12" s="8" t="n">
        <v>11</v>
      </c>
      <c r="S12" s="8" t="n">
        <v>9</v>
      </c>
      <c r="T12" s="8" t="n">
        <v>5</v>
      </c>
      <c r="U12" s="10" t="n">
        <f aca="false">SUM(N12:T12)</f>
        <v>80</v>
      </c>
      <c r="V12" s="5" t="s">
        <v>66</v>
      </c>
      <c r="W12" s="11" t="s">
        <v>67</v>
      </c>
    </row>
    <row r="13" customFormat="false" ht="45.75" hidden="false" customHeight="true" outlineLevel="0" collapsed="false">
      <c r="A13" s="4" t="n">
        <v>9</v>
      </c>
      <c r="B13" s="5" t="s">
        <v>68</v>
      </c>
      <c r="C13" s="5" t="s">
        <v>69</v>
      </c>
      <c r="D13" s="5" t="s">
        <v>70</v>
      </c>
      <c r="E13" s="5" t="s">
        <v>71</v>
      </c>
      <c r="F13" s="6" t="n">
        <v>1400</v>
      </c>
      <c r="G13" s="6" t="n">
        <v>2000</v>
      </c>
      <c r="H13" s="6" t="n">
        <v>350</v>
      </c>
      <c r="I13" s="6" t="n">
        <v>600</v>
      </c>
      <c r="J13" s="7" t="n">
        <f aca="false">IFERROR((AVERAGE(F13,G13)-AVERAGE(H13,I13))/AVERAGE(F13,G13),"")</f>
        <v>0.720588235294118</v>
      </c>
      <c r="K13" s="8" t="n">
        <v>90</v>
      </c>
      <c r="L13" s="9" t="n">
        <f aca="false">IFERROR(365/K13,"")</f>
        <v>4.05555555555556</v>
      </c>
      <c r="M13" s="5" t="s">
        <v>41</v>
      </c>
      <c r="N13" s="8" t="n">
        <v>15</v>
      </c>
      <c r="O13" s="8" t="n">
        <v>17</v>
      </c>
      <c r="P13" s="8" t="n">
        <v>12</v>
      </c>
      <c r="Q13" s="8" t="n">
        <v>8</v>
      </c>
      <c r="R13" s="8" t="n">
        <v>14</v>
      </c>
      <c r="S13" s="8" t="n">
        <v>8</v>
      </c>
      <c r="T13" s="8" t="n">
        <v>5</v>
      </c>
      <c r="U13" s="10" t="n">
        <f aca="false">SUM(N13:T13)</f>
        <v>79</v>
      </c>
      <c r="V13" s="5" t="s">
        <v>72</v>
      </c>
      <c r="W13" s="11" t="s">
        <v>73</v>
      </c>
    </row>
    <row r="14" customFormat="false" ht="45.75" hidden="false" customHeight="true" outlineLevel="0" collapsed="false">
      <c r="A14" s="4" t="n">
        <v>10</v>
      </c>
      <c r="B14" s="5" t="s">
        <v>74</v>
      </c>
      <c r="C14" s="5" t="s">
        <v>75</v>
      </c>
      <c r="D14" s="5" t="s">
        <v>34</v>
      </c>
      <c r="E14" s="5" t="s">
        <v>35</v>
      </c>
      <c r="F14" s="6" t="n">
        <v>2000</v>
      </c>
      <c r="G14" s="6" t="n">
        <v>2600</v>
      </c>
      <c r="H14" s="6" t="n">
        <v>450</v>
      </c>
      <c r="I14" s="6" t="n">
        <v>700</v>
      </c>
      <c r="J14" s="7" t="n">
        <f aca="false">IFERROR((AVERAGE(F14,G14)-AVERAGE(H14,I14))/AVERAGE(F14,G14),"")</f>
        <v>0.75</v>
      </c>
      <c r="K14" s="8" t="n">
        <v>30</v>
      </c>
      <c r="L14" s="9" t="n">
        <f aca="false">IFERROR(365/K14,"")</f>
        <v>12.1666666666667</v>
      </c>
      <c r="M14" s="5" t="s">
        <v>76</v>
      </c>
      <c r="N14" s="8" t="n">
        <v>15</v>
      </c>
      <c r="O14" s="8" t="n">
        <v>17</v>
      </c>
      <c r="P14" s="8" t="n">
        <v>13</v>
      </c>
      <c r="Q14" s="8" t="n">
        <v>13</v>
      </c>
      <c r="R14" s="8" t="n">
        <v>10</v>
      </c>
      <c r="S14" s="8" t="n">
        <v>7</v>
      </c>
      <c r="T14" s="8" t="n">
        <v>3</v>
      </c>
      <c r="U14" s="10" t="n">
        <f aca="false">SUM(N14:T14)</f>
        <v>78</v>
      </c>
      <c r="V14" s="5" t="s">
        <v>77</v>
      </c>
      <c r="W14" s="11" t="s">
        <v>78</v>
      </c>
    </row>
    <row r="15" customFormat="false" ht="45.75" hidden="false" customHeight="true" outlineLevel="0" collapsed="false">
      <c r="A15" s="4" t="n">
        <v>11</v>
      </c>
      <c r="B15" s="5" t="s">
        <v>79</v>
      </c>
      <c r="C15" s="5" t="s">
        <v>80</v>
      </c>
      <c r="D15" s="5" t="s">
        <v>34</v>
      </c>
      <c r="E15" s="5" t="s">
        <v>28</v>
      </c>
      <c r="F15" s="6" t="n">
        <v>2000</v>
      </c>
      <c r="G15" s="6" t="n">
        <v>2800</v>
      </c>
      <c r="H15" s="6" t="n">
        <v>500</v>
      </c>
      <c r="I15" s="6" t="n">
        <v>800</v>
      </c>
      <c r="J15" s="7" t="n">
        <f aca="false">IFERROR((AVERAGE(F15,G15)-AVERAGE(H15,I15))/AVERAGE(F15,G15),"")</f>
        <v>0.729166666666667</v>
      </c>
      <c r="K15" s="8" t="n">
        <v>35</v>
      </c>
      <c r="L15" s="9" t="n">
        <f aca="false">IFERROR(365/K15,"")</f>
        <v>10.4285714285714</v>
      </c>
      <c r="M15" s="5" t="s">
        <v>29</v>
      </c>
      <c r="N15" s="8" t="n">
        <v>16</v>
      </c>
      <c r="O15" s="8" t="n">
        <v>12</v>
      </c>
      <c r="P15" s="8" t="n">
        <v>13</v>
      </c>
      <c r="Q15" s="8" t="n">
        <v>13</v>
      </c>
      <c r="R15" s="8" t="n">
        <v>11</v>
      </c>
      <c r="S15" s="8" t="n">
        <v>8</v>
      </c>
      <c r="T15" s="8" t="n">
        <v>4</v>
      </c>
      <c r="U15" s="10" t="n">
        <f aca="false">SUM(N15:T15)</f>
        <v>77</v>
      </c>
      <c r="V15" s="5" t="s">
        <v>81</v>
      </c>
      <c r="W15" s="11" t="s">
        <v>82</v>
      </c>
    </row>
    <row r="16" customFormat="false" ht="45.75" hidden="false" customHeight="true" outlineLevel="0" collapsed="false">
      <c r="A16" s="4" t="n">
        <v>12</v>
      </c>
      <c r="B16" s="5" t="s">
        <v>83</v>
      </c>
      <c r="C16" s="5" t="s">
        <v>84</v>
      </c>
      <c r="D16" s="5" t="s">
        <v>34</v>
      </c>
      <c r="E16" s="5" t="s">
        <v>35</v>
      </c>
      <c r="F16" s="6" t="n">
        <v>2800</v>
      </c>
      <c r="G16" s="6" t="n">
        <v>3600</v>
      </c>
      <c r="H16" s="6" t="n">
        <v>800</v>
      </c>
      <c r="I16" s="6" t="n">
        <v>1200</v>
      </c>
      <c r="J16" s="7" t="n">
        <f aca="false">IFERROR((AVERAGE(F16,G16)-AVERAGE(H16,I16))/AVERAGE(F16,G16),"")</f>
        <v>0.6875</v>
      </c>
      <c r="K16" s="8" t="n">
        <v>60</v>
      </c>
      <c r="L16" s="9" t="n">
        <f aca="false">IFERROR(365/K16,"")</f>
        <v>6.08333333333333</v>
      </c>
      <c r="M16" s="5" t="s">
        <v>76</v>
      </c>
      <c r="N16" s="8" t="n">
        <v>14</v>
      </c>
      <c r="O16" s="8" t="n">
        <v>17</v>
      </c>
      <c r="P16" s="8" t="n">
        <v>12</v>
      </c>
      <c r="Q16" s="8" t="n">
        <v>10</v>
      </c>
      <c r="R16" s="8" t="n">
        <v>13</v>
      </c>
      <c r="S16" s="8" t="n">
        <v>8</v>
      </c>
      <c r="T16" s="8" t="n">
        <v>3</v>
      </c>
      <c r="U16" s="10" t="n">
        <f aca="false">SUM(N16:T16)</f>
        <v>77</v>
      </c>
      <c r="V16" s="5" t="s">
        <v>85</v>
      </c>
      <c r="W16" s="11" t="s">
        <v>86</v>
      </c>
    </row>
    <row r="17" customFormat="false" ht="45.75" hidden="false" customHeight="true" outlineLevel="0" collapsed="false">
      <c r="A17" s="4" t="n">
        <v>13</v>
      </c>
      <c r="B17" s="5" t="s">
        <v>87</v>
      </c>
      <c r="C17" s="5" t="s">
        <v>88</v>
      </c>
      <c r="D17" s="5" t="s">
        <v>56</v>
      </c>
      <c r="E17" s="5" t="s">
        <v>35</v>
      </c>
      <c r="F17" s="6" t="n">
        <v>3400</v>
      </c>
      <c r="G17" s="6" t="n">
        <v>4400</v>
      </c>
      <c r="H17" s="6" t="n">
        <v>1000</v>
      </c>
      <c r="I17" s="6" t="n">
        <v>1500</v>
      </c>
      <c r="J17" s="7" t="n">
        <f aca="false">IFERROR((AVERAGE(F17,G17)-AVERAGE(H17,I17))/AVERAGE(F17,G17),"")</f>
        <v>0.67948717948718</v>
      </c>
      <c r="K17" s="8" t="n">
        <v>45</v>
      </c>
      <c r="L17" s="9" t="n">
        <f aca="false">IFERROR(365/K17,"")</f>
        <v>8.11111111111111</v>
      </c>
      <c r="M17" s="5" t="s">
        <v>76</v>
      </c>
      <c r="N17" s="8" t="n">
        <v>12</v>
      </c>
      <c r="O17" s="8" t="n">
        <v>18</v>
      </c>
      <c r="P17" s="8" t="n">
        <v>11</v>
      </c>
      <c r="Q17" s="8" t="n">
        <v>11</v>
      </c>
      <c r="R17" s="8" t="n">
        <v>13</v>
      </c>
      <c r="S17" s="8" t="n">
        <v>6</v>
      </c>
      <c r="T17" s="8" t="n">
        <v>5</v>
      </c>
      <c r="U17" s="10" t="n">
        <f aca="false">SUM(N17:T17)</f>
        <v>76</v>
      </c>
      <c r="V17" s="5" t="s">
        <v>89</v>
      </c>
      <c r="W17" s="11" t="s">
        <v>90</v>
      </c>
    </row>
    <row r="18" customFormat="false" ht="45.75" hidden="false" customHeight="true" outlineLevel="0" collapsed="false">
      <c r="A18" s="4" t="n">
        <v>14</v>
      </c>
      <c r="B18" s="5" t="s">
        <v>91</v>
      </c>
      <c r="C18" s="5" t="s">
        <v>92</v>
      </c>
      <c r="D18" s="5" t="s">
        <v>93</v>
      </c>
      <c r="E18" s="5" t="s">
        <v>94</v>
      </c>
      <c r="F18" s="6" t="n">
        <v>2400</v>
      </c>
      <c r="G18" s="6" t="n">
        <v>3000</v>
      </c>
      <c r="H18" s="6" t="n">
        <v>600</v>
      </c>
      <c r="I18" s="6" t="n">
        <v>900</v>
      </c>
      <c r="J18" s="7" t="n">
        <f aca="false">IFERROR((AVERAGE(F18,G18)-AVERAGE(H18,I18))/AVERAGE(F18,G18),"")</f>
        <v>0.722222222222222</v>
      </c>
      <c r="K18" s="8" t="n">
        <v>45</v>
      </c>
      <c r="L18" s="9" t="n">
        <f aca="false">IFERROR(365/K18,"")</f>
        <v>8.11111111111111</v>
      </c>
      <c r="M18" s="5" t="s">
        <v>29</v>
      </c>
      <c r="N18" s="8" t="n">
        <v>11</v>
      </c>
      <c r="O18" s="8" t="n">
        <v>18</v>
      </c>
      <c r="P18" s="8" t="n">
        <v>12</v>
      </c>
      <c r="Q18" s="8" t="n">
        <v>11</v>
      </c>
      <c r="R18" s="8" t="n">
        <v>9</v>
      </c>
      <c r="S18" s="8" t="n">
        <v>8</v>
      </c>
      <c r="T18" s="8" t="n">
        <v>5</v>
      </c>
      <c r="U18" s="10" t="n">
        <f aca="false">SUM(N18:T18)</f>
        <v>74</v>
      </c>
      <c r="V18" s="5" t="s">
        <v>95</v>
      </c>
      <c r="W18" s="11" t="s">
        <v>96</v>
      </c>
    </row>
    <row r="19" customFormat="false" ht="45.75" hidden="false" customHeight="true" outlineLevel="0" collapsed="false">
      <c r="A19" s="4" t="n">
        <v>15</v>
      </c>
      <c r="B19" s="5" t="s">
        <v>97</v>
      </c>
      <c r="C19" s="5" t="s">
        <v>98</v>
      </c>
      <c r="D19" s="5" t="s">
        <v>34</v>
      </c>
      <c r="E19" s="5" t="s">
        <v>35</v>
      </c>
      <c r="F19" s="6" t="n">
        <v>1200</v>
      </c>
      <c r="G19" s="6" t="n">
        <v>1800</v>
      </c>
      <c r="H19" s="6" t="n">
        <v>250</v>
      </c>
      <c r="I19" s="6" t="n">
        <v>400</v>
      </c>
      <c r="J19" s="7" t="n">
        <f aca="false">IFERROR((AVERAGE(F19,G19)-AVERAGE(H19,I19))/AVERAGE(F19,G19),"")</f>
        <v>0.783333333333333</v>
      </c>
      <c r="K19" s="8" t="n">
        <v>40</v>
      </c>
      <c r="L19" s="9" t="n">
        <f aca="false">IFERROR(365/K19,"")</f>
        <v>9.125</v>
      </c>
      <c r="M19" s="5" t="s">
        <v>76</v>
      </c>
      <c r="N19" s="8" t="n">
        <v>14</v>
      </c>
      <c r="O19" s="8" t="n">
        <v>17</v>
      </c>
      <c r="P19" s="8" t="n">
        <v>12</v>
      </c>
      <c r="Q19" s="8" t="n">
        <v>11</v>
      </c>
      <c r="R19" s="8" t="n">
        <v>9</v>
      </c>
      <c r="S19" s="8" t="n">
        <v>8</v>
      </c>
      <c r="T19" s="8" t="n">
        <v>2</v>
      </c>
      <c r="U19" s="10" t="n">
        <f aca="false">SUM(N19:T19)</f>
        <v>73</v>
      </c>
      <c r="V19" s="5" t="s">
        <v>99</v>
      </c>
      <c r="W19" s="11" t="s">
        <v>100</v>
      </c>
    </row>
    <row r="20" customFormat="false" ht="45.75" hidden="false" customHeight="true" outlineLevel="0" collapsed="false">
      <c r="A20" s="4" t="n">
        <v>16</v>
      </c>
      <c r="B20" s="5" t="s">
        <v>101</v>
      </c>
      <c r="C20" s="5" t="s">
        <v>102</v>
      </c>
      <c r="D20" s="5" t="s">
        <v>27</v>
      </c>
      <c r="E20" s="5" t="s">
        <v>34</v>
      </c>
      <c r="F20" s="6" t="n">
        <v>2200</v>
      </c>
      <c r="G20" s="6" t="n">
        <v>2800</v>
      </c>
      <c r="H20" s="6" t="n">
        <v>550</v>
      </c>
      <c r="I20" s="6" t="n">
        <v>850</v>
      </c>
      <c r="J20" s="7" t="n">
        <f aca="false">IFERROR((AVERAGE(F20,G20)-AVERAGE(H20,I20))/AVERAGE(F20,G20),"")</f>
        <v>0.72</v>
      </c>
      <c r="K20" s="8" t="n">
        <v>30</v>
      </c>
      <c r="L20" s="9" t="n">
        <f aca="false">IFERROR(365/K20,"")</f>
        <v>12.1666666666667</v>
      </c>
      <c r="M20" s="5" t="s">
        <v>61</v>
      </c>
      <c r="N20" s="8" t="n">
        <v>19</v>
      </c>
      <c r="O20" s="8" t="n">
        <v>6</v>
      </c>
      <c r="P20" s="8" t="n">
        <v>11</v>
      </c>
      <c r="Q20" s="8" t="n">
        <v>15</v>
      </c>
      <c r="R20" s="8" t="n">
        <v>8</v>
      </c>
      <c r="S20" s="8" t="n">
        <v>9</v>
      </c>
      <c r="T20" s="8" t="n">
        <v>4</v>
      </c>
      <c r="U20" s="10" t="n">
        <f aca="false">SUM(N20:T20)</f>
        <v>72</v>
      </c>
      <c r="V20" s="5" t="s">
        <v>103</v>
      </c>
      <c r="W20" s="11" t="s">
        <v>104</v>
      </c>
    </row>
    <row r="21" customFormat="false" ht="45.75" hidden="false" customHeight="true" outlineLevel="0" collapsed="false">
      <c r="A21" s="4" t="n">
        <v>17</v>
      </c>
      <c r="B21" s="5" t="s">
        <v>105</v>
      </c>
      <c r="C21" s="5" t="s">
        <v>106</v>
      </c>
      <c r="D21" s="5" t="s">
        <v>28</v>
      </c>
      <c r="E21" s="5" t="s">
        <v>107</v>
      </c>
      <c r="F21" s="6" t="n">
        <v>2000</v>
      </c>
      <c r="G21" s="6" t="n">
        <v>2600</v>
      </c>
      <c r="H21" s="6" t="n">
        <v>650</v>
      </c>
      <c r="I21" s="6" t="n">
        <v>950</v>
      </c>
      <c r="J21" s="7" t="n">
        <f aca="false">IFERROR((AVERAGE(F21,G21)-AVERAGE(H21,I21))/AVERAGE(F21,G21),"")</f>
        <v>0.652173913043478</v>
      </c>
      <c r="K21" s="8" t="n">
        <v>45</v>
      </c>
      <c r="L21" s="9" t="n">
        <f aca="false">IFERROR(365/K21,"")</f>
        <v>8.11111111111111</v>
      </c>
      <c r="M21" s="5" t="s">
        <v>29</v>
      </c>
      <c r="N21" s="8" t="n">
        <v>11</v>
      </c>
      <c r="O21" s="8" t="n">
        <v>15</v>
      </c>
      <c r="P21" s="8" t="n">
        <v>10</v>
      </c>
      <c r="Q21" s="8" t="n">
        <v>12</v>
      </c>
      <c r="R21" s="8" t="n">
        <v>10</v>
      </c>
      <c r="S21" s="8" t="n">
        <v>9</v>
      </c>
      <c r="T21" s="8" t="n">
        <v>4</v>
      </c>
      <c r="U21" s="10" t="n">
        <f aca="false">SUM(N21:T21)</f>
        <v>71</v>
      </c>
      <c r="V21" s="5" t="s">
        <v>108</v>
      </c>
      <c r="W21" s="11" t="s">
        <v>109</v>
      </c>
    </row>
    <row r="22" customFormat="false" ht="45.75" hidden="false" customHeight="true" outlineLevel="0" collapsed="false">
      <c r="A22" s="4" t="n">
        <v>18</v>
      </c>
      <c r="B22" s="5" t="s">
        <v>110</v>
      </c>
      <c r="C22" s="5" t="s">
        <v>111</v>
      </c>
      <c r="D22" s="5" t="s">
        <v>34</v>
      </c>
      <c r="E22" s="5" t="s">
        <v>112</v>
      </c>
      <c r="F22" s="6" t="n">
        <v>1600</v>
      </c>
      <c r="G22" s="6" t="n">
        <v>2200</v>
      </c>
      <c r="H22" s="6" t="n">
        <v>350</v>
      </c>
      <c r="I22" s="6" t="n">
        <v>550</v>
      </c>
      <c r="J22" s="7" t="n">
        <f aca="false">IFERROR((AVERAGE(F22,G22)-AVERAGE(H22,I22))/AVERAGE(F22,G22),"")</f>
        <v>0.763157894736842</v>
      </c>
      <c r="K22" s="8" t="n">
        <v>75</v>
      </c>
      <c r="L22" s="9" t="n">
        <f aca="false">IFERROR(365/K22,"")</f>
        <v>4.86666666666667</v>
      </c>
      <c r="M22" s="5" t="s">
        <v>61</v>
      </c>
      <c r="N22" s="8" t="n">
        <v>14</v>
      </c>
      <c r="O22" s="8" t="n">
        <v>13</v>
      </c>
      <c r="P22" s="8" t="n">
        <v>12</v>
      </c>
      <c r="Q22" s="8" t="n">
        <v>9</v>
      </c>
      <c r="R22" s="8" t="n">
        <v>9</v>
      </c>
      <c r="S22" s="8" t="n">
        <v>10</v>
      </c>
      <c r="T22" s="8" t="n">
        <v>3</v>
      </c>
      <c r="U22" s="10" t="n">
        <f aca="false">SUM(N22:T22)</f>
        <v>70</v>
      </c>
      <c r="V22" s="5" t="s">
        <v>113</v>
      </c>
      <c r="W22" s="11" t="s">
        <v>114</v>
      </c>
    </row>
    <row r="23" customFormat="false" ht="45.75" hidden="false" customHeight="true" outlineLevel="0" collapsed="false">
      <c r="A23" s="4" t="n">
        <v>19</v>
      </c>
      <c r="B23" s="5" t="s">
        <v>115</v>
      </c>
      <c r="C23" s="5" t="s">
        <v>116</v>
      </c>
      <c r="D23" s="5" t="s">
        <v>28</v>
      </c>
      <c r="E23" s="5" t="s">
        <v>35</v>
      </c>
      <c r="F23" s="6" t="n">
        <v>2400</v>
      </c>
      <c r="G23" s="6" t="n">
        <v>3000</v>
      </c>
      <c r="H23" s="6" t="n">
        <v>650</v>
      </c>
      <c r="I23" s="6" t="n">
        <v>950</v>
      </c>
      <c r="J23" s="7" t="n">
        <f aca="false">IFERROR((AVERAGE(F23,G23)-AVERAGE(H23,I23))/AVERAGE(F23,G23),"")</f>
        <v>0.703703703703704</v>
      </c>
      <c r="K23" s="8" t="n">
        <v>45</v>
      </c>
      <c r="L23" s="9" t="n">
        <f aca="false">IFERROR(365/K23,"")</f>
        <v>8.11111111111111</v>
      </c>
      <c r="M23" s="5" t="s">
        <v>29</v>
      </c>
      <c r="N23" s="8" t="n">
        <v>10</v>
      </c>
      <c r="O23" s="8" t="n">
        <v>17</v>
      </c>
      <c r="P23" s="8" t="n">
        <v>11</v>
      </c>
      <c r="Q23" s="8" t="n">
        <v>11</v>
      </c>
      <c r="R23" s="8" t="n">
        <v>10</v>
      </c>
      <c r="S23" s="8" t="n">
        <v>6</v>
      </c>
      <c r="T23" s="8" t="n">
        <v>4</v>
      </c>
      <c r="U23" s="10" t="n">
        <f aca="false">SUM(N23:T23)</f>
        <v>69</v>
      </c>
      <c r="V23" s="5" t="s">
        <v>117</v>
      </c>
      <c r="W23" s="11" t="s">
        <v>118</v>
      </c>
    </row>
    <row r="24" customFormat="false" ht="45.75" hidden="false" customHeight="true" outlineLevel="0" collapsed="false">
      <c r="A24" s="4" t="n">
        <v>20</v>
      </c>
      <c r="B24" s="5" t="s">
        <v>119</v>
      </c>
      <c r="C24" s="5" t="s">
        <v>120</v>
      </c>
      <c r="D24" s="5" t="s">
        <v>27</v>
      </c>
      <c r="E24" s="5" t="s">
        <v>27</v>
      </c>
      <c r="F24" s="6" t="n">
        <v>2000</v>
      </c>
      <c r="G24" s="6" t="n">
        <v>3500</v>
      </c>
      <c r="H24" s="6" t="n">
        <v>500</v>
      </c>
      <c r="I24" s="6" t="n">
        <v>900</v>
      </c>
      <c r="J24" s="7" t="n">
        <f aca="false">IFERROR((AVERAGE(F24,G24)-AVERAGE(H24,I24))/AVERAGE(F24,G24),"")</f>
        <v>0.745454545454546</v>
      </c>
      <c r="K24" s="8" t="n">
        <v>90</v>
      </c>
      <c r="L24" s="9" t="n">
        <f aca="false">IFERROR(365/K24,"")</f>
        <v>4.05555555555556</v>
      </c>
      <c r="M24" s="5" t="s">
        <v>61</v>
      </c>
      <c r="N24" s="8" t="n">
        <v>19</v>
      </c>
      <c r="O24" s="8" t="n">
        <v>4</v>
      </c>
      <c r="P24" s="8" t="n">
        <v>13</v>
      </c>
      <c r="Q24" s="8" t="n">
        <v>9</v>
      </c>
      <c r="R24" s="8" t="n">
        <v>8</v>
      </c>
      <c r="S24" s="8" t="n">
        <v>9</v>
      </c>
      <c r="T24" s="8" t="n">
        <v>4</v>
      </c>
      <c r="U24" s="10" t="n">
        <f aca="false">SUM(N24:T24)</f>
        <v>66</v>
      </c>
      <c r="V24" s="5" t="s">
        <v>121</v>
      </c>
      <c r="W24" s="11" t="s">
        <v>122</v>
      </c>
    </row>
    <row r="26" customFormat="false" ht="15" hidden="false" customHeight="false" outlineLevel="0" collapsed="false">
      <c r="A26" s="12" t="s">
        <v>123</v>
      </c>
    </row>
    <row r="27" customFormat="false" ht="15" hidden="false" customHeight="false" outlineLevel="0" collapsed="false">
      <c r="A27" s="13" t="s">
        <v>124</v>
      </c>
    </row>
    <row r="28" customFormat="false" ht="15" hidden="false" customHeight="false" outlineLevel="0" collapsed="false">
      <c r="A28" s="13" t="s">
        <v>125</v>
      </c>
    </row>
    <row r="29" customFormat="false" ht="15" hidden="false" customHeight="false" outlineLevel="0" collapsed="false">
      <c r="A29" s="13" t="s">
        <v>126</v>
      </c>
    </row>
    <row r="30" customFormat="false" ht="15" hidden="false" customHeight="false" outlineLevel="0" collapsed="false">
      <c r="A30" s="13" t="s">
        <v>127</v>
      </c>
    </row>
    <row r="31" customFormat="false" ht="15" hidden="false" customHeight="false" outlineLevel="0" collapsed="false">
      <c r="A31" s="13" t="s">
        <v>128</v>
      </c>
    </row>
    <row r="32" customFormat="false" ht="15" hidden="false" customHeight="false" outlineLevel="0" collapsed="false">
      <c r="A32" s="13" t="s">
        <v>129</v>
      </c>
    </row>
    <row r="33" customFormat="false" ht="15" hidden="false" customHeight="false" outlineLevel="0" collapsed="false">
      <c r="A33" s="13" t="s">
        <v>130</v>
      </c>
    </row>
  </sheetData>
  <autoFilter ref="A4:W24"/>
  <mergeCells count="1"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86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4" t="s">
        <v>132</v>
      </c>
    </row>
    <row r="4" customFormat="false" ht="15" hidden="false" customHeight="false" outlineLevel="0" collapsed="false">
      <c r="A4" s="3" t="s">
        <v>133</v>
      </c>
      <c r="B4" s="3" t="s">
        <v>134</v>
      </c>
      <c r="C4" s="3" t="s">
        <v>135</v>
      </c>
    </row>
    <row r="5" customFormat="false" ht="30" hidden="false" customHeight="true" outlineLevel="0" collapsed="false">
      <c r="A5" s="5" t="s">
        <v>136</v>
      </c>
      <c r="B5" s="15" t="n">
        <v>20</v>
      </c>
      <c r="C5" s="5" t="s">
        <v>137</v>
      </c>
    </row>
    <row r="6" customFormat="false" ht="30" hidden="false" customHeight="true" outlineLevel="0" collapsed="false">
      <c r="A6" s="5" t="s">
        <v>138</v>
      </c>
      <c r="B6" s="15" t="n">
        <v>20</v>
      </c>
      <c r="C6" s="5" t="s">
        <v>139</v>
      </c>
    </row>
    <row r="7" customFormat="false" ht="30" hidden="false" customHeight="true" outlineLevel="0" collapsed="false">
      <c r="A7" s="5" t="s">
        <v>140</v>
      </c>
      <c r="B7" s="15" t="n">
        <v>15</v>
      </c>
      <c r="C7" s="5" t="s">
        <v>141</v>
      </c>
    </row>
    <row r="8" customFormat="false" ht="30" hidden="false" customHeight="true" outlineLevel="0" collapsed="false">
      <c r="A8" s="5" t="s">
        <v>142</v>
      </c>
      <c r="B8" s="15" t="n">
        <v>15</v>
      </c>
      <c r="C8" s="5" t="s">
        <v>143</v>
      </c>
    </row>
    <row r="9" customFormat="false" ht="30" hidden="false" customHeight="true" outlineLevel="0" collapsed="false">
      <c r="A9" s="5" t="s">
        <v>144</v>
      </c>
      <c r="B9" s="15" t="n">
        <v>15</v>
      </c>
      <c r="C9" s="5" t="s">
        <v>145</v>
      </c>
    </row>
    <row r="10" customFormat="false" ht="30" hidden="false" customHeight="true" outlineLevel="0" collapsed="false">
      <c r="A10" s="5" t="s">
        <v>146</v>
      </c>
      <c r="B10" s="15" t="n">
        <v>10</v>
      </c>
      <c r="C10" s="5" t="s">
        <v>147</v>
      </c>
    </row>
    <row r="11" customFormat="false" ht="30" hidden="false" customHeight="true" outlineLevel="0" collapsed="false">
      <c r="A11" s="5" t="s">
        <v>148</v>
      </c>
      <c r="B11" s="15" t="n">
        <v>5</v>
      </c>
      <c r="C11" s="5" t="s">
        <v>149</v>
      </c>
    </row>
    <row r="12" customFormat="false" ht="15" hidden="false" customHeight="false" outlineLevel="0" collapsed="false">
      <c r="A12" s="12" t="s">
        <v>150</v>
      </c>
      <c r="B12" s="16" t="n">
        <f aca="false">SUM(B5:B11)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14" t="s">
        <v>152</v>
      </c>
    </row>
    <row r="4" customFormat="false" ht="15" hidden="false" customHeight="false" outlineLevel="0" collapsed="false">
      <c r="A4" s="17" t="s">
        <v>153</v>
      </c>
      <c r="B4" s="17"/>
      <c r="C4" s="3" t="s">
        <v>154</v>
      </c>
    </row>
    <row r="5" customFormat="false" ht="15" hidden="false" customHeight="false" outlineLevel="0" collapsed="false">
      <c r="A5" s="4" t="s">
        <v>155</v>
      </c>
      <c r="B5" s="18" t="n">
        <v>3800</v>
      </c>
      <c r="C5" s="19" t="s">
        <v>156</v>
      </c>
    </row>
    <row r="6" customFormat="false" ht="22.35" hidden="false" customHeight="false" outlineLevel="0" collapsed="false">
      <c r="A6" s="4" t="s">
        <v>157</v>
      </c>
      <c r="B6" s="18" t="n">
        <v>950</v>
      </c>
      <c r="C6" s="19" t="s">
        <v>158</v>
      </c>
    </row>
    <row r="7" customFormat="false" ht="15" hidden="false" customHeight="false" outlineLevel="0" collapsed="false">
      <c r="A7" s="4" t="s">
        <v>159</v>
      </c>
      <c r="B7" s="18" t="n">
        <v>220</v>
      </c>
      <c r="C7" s="19" t="s">
        <v>160</v>
      </c>
    </row>
    <row r="8" customFormat="false" ht="22.35" hidden="false" customHeight="false" outlineLevel="0" collapsed="false">
      <c r="A8" s="4" t="s">
        <v>161</v>
      </c>
      <c r="B8" s="18" t="n">
        <v>30</v>
      </c>
      <c r="C8" s="19" t="s">
        <v>162</v>
      </c>
    </row>
    <row r="9" customFormat="false" ht="15" hidden="false" customHeight="false" outlineLevel="0" collapsed="false">
      <c r="A9" s="4" t="s">
        <v>163</v>
      </c>
      <c r="B9" s="18" t="n">
        <v>40</v>
      </c>
      <c r="C9" s="19" t="s">
        <v>164</v>
      </c>
    </row>
    <row r="10" customFormat="false" ht="15" hidden="false" customHeight="false" outlineLevel="0" collapsed="false">
      <c r="A10" s="4" t="s">
        <v>165</v>
      </c>
      <c r="B10" s="20" t="n">
        <v>0.1</v>
      </c>
      <c r="C10" s="19" t="s">
        <v>166</v>
      </c>
    </row>
    <row r="11" customFormat="false" ht="15" hidden="false" customHeight="false" outlineLevel="0" collapsed="false">
      <c r="A11" s="4" t="s">
        <v>167</v>
      </c>
      <c r="B11" s="20" t="n">
        <v>0.15</v>
      </c>
      <c r="C11" s="19" t="s">
        <v>168</v>
      </c>
    </row>
    <row r="12" customFormat="false" ht="15" hidden="false" customHeight="false" outlineLevel="0" collapsed="false">
      <c r="A12" s="4" t="s">
        <v>169</v>
      </c>
      <c r="B12" s="18" t="n">
        <v>250</v>
      </c>
      <c r="C12" s="19" t="s">
        <v>170</v>
      </c>
    </row>
    <row r="13" customFormat="false" ht="15" hidden="false" customHeight="false" outlineLevel="0" collapsed="false">
      <c r="A13" s="4" t="s">
        <v>171</v>
      </c>
      <c r="B13" s="18" t="n">
        <v>700</v>
      </c>
      <c r="C13" s="19" t="s">
        <v>172</v>
      </c>
    </row>
    <row r="14" customFormat="false" ht="15" hidden="false" customHeight="false" outlineLevel="0" collapsed="false">
      <c r="A14" s="4" t="s">
        <v>173</v>
      </c>
      <c r="B14" s="18" t="n">
        <v>50</v>
      </c>
      <c r="C14" s="19" t="s">
        <v>170</v>
      </c>
    </row>
    <row r="15" customFormat="false" ht="15" hidden="false" customHeight="false" outlineLevel="0" collapsed="false">
      <c r="A15" s="4" t="s">
        <v>174</v>
      </c>
      <c r="B15" s="18" t="n">
        <v>3.5</v>
      </c>
      <c r="C15" s="19" t="s">
        <v>175</v>
      </c>
    </row>
    <row r="16" customFormat="false" ht="15" hidden="false" customHeight="false" outlineLevel="0" collapsed="false">
      <c r="A16" s="4" t="s">
        <v>176</v>
      </c>
      <c r="B16" s="18" t="n">
        <v>800</v>
      </c>
      <c r="C16" s="19" t="s">
        <v>177</v>
      </c>
    </row>
    <row r="18" customFormat="false" ht="15" hidden="false" customHeight="false" outlineLevel="0" collapsed="false">
      <c r="A18" s="17" t="s">
        <v>178</v>
      </c>
      <c r="B18" s="17"/>
      <c r="C18" s="3" t="s">
        <v>179</v>
      </c>
    </row>
    <row r="19" customFormat="false" ht="15" hidden="false" customHeight="false" outlineLevel="0" collapsed="false">
      <c r="A19" s="4" t="s">
        <v>180</v>
      </c>
      <c r="B19" s="21" t="n">
        <f aca="false">B5*(1-B10)</f>
        <v>3420</v>
      </c>
      <c r="C19" s="19" t="s">
        <v>181</v>
      </c>
    </row>
    <row r="20" customFormat="false" ht="15" hidden="false" customHeight="false" outlineLevel="0" collapsed="false">
      <c r="A20" s="4" t="s">
        <v>182</v>
      </c>
      <c r="B20" s="21" t="n">
        <f aca="false">B6+B7+B8+B9</f>
        <v>1240</v>
      </c>
      <c r="C20" s="19" t="s">
        <v>183</v>
      </c>
    </row>
    <row r="21" customFormat="false" ht="15" hidden="false" customHeight="false" outlineLevel="0" collapsed="false">
      <c r="A21" s="4" t="s">
        <v>184</v>
      </c>
      <c r="B21" s="21" t="n">
        <f aca="false">B19-B20</f>
        <v>2180</v>
      </c>
      <c r="C21" s="19"/>
    </row>
    <row r="22" customFormat="false" ht="15" hidden="false" customHeight="false" outlineLevel="0" collapsed="false">
      <c r="A22" s="4" t="s">
        <v>185</v>
      </c>
      <c r="B22" s="22" t="n">
        <f aca="false">IFERROR(B21/B19,0)</f>
        <v>0.637426900584795</v>
      </c>
      <c r="C22" s="19"/>
    </row>
    <row r="23" customFormat="false" ht="15" hidden="false" customHeight="false" outlineLevel="0" collapsed="false">
      <c r="A23" s="4" t="s">
        <v>186</v>
      </c>
      <c r="B23" s="21" t="n">
        <f aca="false">B21*(1-B11)-B12</f>
        <v>1603</v>
      </c>
      <c r="C23" s="19" t="s">
        <v>187</v>
      </c>
    </row>
    <row r="24" customFormat="false" ht="15" hidden="false" customHeight="false" outlineLevel="0" collapsed="false">
      <c r="A24" s="4" t="s">
        <v>188</v>
      </c>
      <c r="B24" s="23" t="n">
        <f aca="false">B23-B13</f>
        <v>903</v>
      </c>
      <c r="C24" s="19" t="s">
        <v>189</v>
      </c>
    </row>
    <row r="25" customFormat="false" ht="15" hidden="false" customHeight="false" outlineLevel="0" collapsed="false">
      <c r="A25" s="4" t="s">
        <v>190</v>
      </c>
      <c r="B25" s="21" t="n">
        <f aca="false">B23*B15-B13</f>
        <v>4910.5</v>
      </c>
      <c r="C25" s="19" t="s">
        <v>191</v>
      </c>
    </row>
    <row r="26" customFormat="false" ht="15" hidden="false" customHeight="false" outlineLevel="0" collapsed="false">
      <c r="A26" s="4" t="s">
        <v>192</v>
      </c>
      <c r="B26" s="23" t="n">
        <f aca="false">B23*B16</f>
        <v>1282400</v>
      </c>
      <c r="C26" s="19"/>
    </row>
    <row r="27" customFormat="false" ht="15" hidden="false" customHeight="false" outlineLevel="0" collapsed="false">
      <c r="A27" s="4" t="s">
        <v>193</v>
      </c>
      <c r="B27" s="21" t="n">
        <f aca="false">B26*12</f>
        <v>15388800</v>
      </c>
      <c r="C27" s="19"/>
    </row>
    <row r="28" customFormat="false" ht="15" hidden="false" customHeight="false" outlineLevel="0" collapsed="false">
      <c r="A28" s="4" t="s">
        <v>194</v>
      </c>
      <c r="B28" s="21" t="n">
        <f aca="false">IFERROR(400000/B23,0)</f>
        <v>249.532127261385</v>
      </c>
      <c r="C28" s="19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2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196</v>
      </c>
    </row>
    <row r="3" customFormat="false" ht="15" hidden="false" customHeight="false" outlineLevel="0" collapsed="false">
      <c r="A3" s="3" t="s">
        <v>197</v>
      </c>
      <c r="B3" s="3" t="s">
        <v>198</v>
      </c>
      <c r="C3" s="3" t="s">
        <v>199</v>
      </c>
    </row>
    <row r="4" customFormat="false" ht="23.85" hidden="false" customHeight="false" outlineLevel="0" collapsed="false">
      <c r="A4" s="5" t="s">
        <v>200</v>
      </c>
      <c r="B4" s="5" t="s">
        <v>201</v>
      </c>
      <c r="C4" s="5" t="s">
        <v>202</v>
      </c>
    </row>
    <row r="5" customFormat="false" ht="15" hidden="false" customHeight="false" outlineLevel="0" collapsed="false">
      <c r="A5" s="5" t="s">
        <v>203</v>
      </c>
      <c r="B5" s="5" t="s">
        <v>204</v>
      </c>
      <c r="C5" s="5" t="s">
        <v>205</v>
      </c>
    </row>
    <row r="6" customFormat="false" ht="15" hidden="false" customHeight="false" outlineLevel="0" collapsed="false">
      <c r="A6" s="5" t="s">
        <v>206</v>
      </c>
      <c r="B6" s="5" t="s">
        <v>207</v>
      </c>
      <c r="C6" s="5" t="s">
        <v>205</v>
      </c>
    </row>
    <row r="7" customFormat="false" ht="15" hidden="false" customHeight="false" outlineLevel="0" collapsed="false">
      <c r="A7" s="5" t="s">
        <v>208</v>
      </c>
      <c r="B7" s="5" t="s">
        <v>209</v>
      </c>
      <c r="C7" s="5" t="s">
        <v>205</v>
      </c>
    </row>
    <row r="8" customFormat="false" ht="15" hidden="false" customHeight="false" outlineLevel="0" collapsed="false">
      <c r="A8" s="5" t="s">
        <v>210</v>
      </c>
      <c r="B8" s="5" t="s">
        <v>211</v>
      </c>
      <c r="C8" s="5" t="s">
        <v>205</v>
      </c>
    </row>
    <row r="9" customFormat="false" ht="15" hidden="false" customHeight="false" outlineLevel="0" collapsed="false">
      <c r="A9" s="5" t="s">
        <v>212</v>
      </c>
      <c r="B9" s="5" t="s">
        <v>213</v>
      </c>
      <c r="C9" s="5" t="s">
        <v>214</v>
      </c>
    </row>
    <row r="10" customFormat="false" ht="15" hidden="false" customHeight="false" outlineLevel="0" collapsed="false">
      <c r="A10" s="5" t="s">
        <v>215</v>
      </c>
      <c r="B10" s="5" t="s">
        <v>216</v>
      </c>
      <c r="C10" s="5" t="s">
        <v>214</v>
      </c>
    </row>
    <row r="11" customFormat="false" ht="15" hidden="false" customHeight="false" outlineLevel="0" collapsed="false">
      <c r="A11" s="5" t="s">
        <v>217</v>
      </c>
      <c r="B11" s="5" t="s">
        <v>218</v>
      </c>
      <c r="C11" s="5" t="s">
        <v>214</v>
      </c>
    </row>
    <row r="12" customFormat="false" ht="15" hidden="false" customHeight="false" outlineLevel="0" collapsed="false">
      <c r="A12" s="5" t="s">
        <v>219</v>
      </c>
      <c r="B12" s="5" t="s">
        <v>220</v>
      </c>
      <c r="C12" s="5" t="s">
        <v>221</v>
      </c>
    </row>
    <row r="13" customFormat="false" ht="15" hidden="false" customHeight="false" outlineLevel="0" collapsed="false">
      <c r="A13" s="5" t="s">
        <v>222</v>
      </c>
      <c r="B13" s="5" t="s">
        <v>223</v>
      </c>
      <c r="C13" s="5" t="s">
        <v>221</v>
      </c>
    </row>
    <row r="14" customFormat="false" ht="15" hidden="false" customHeight="false" outlineLevel="0" collapsed="false">
      <c r="A14" s="5" t="s">
        <v>224</v>
      </c>
      <c r="B14" s="5" t="s">
        <v>225</v>
      </c>
      <c r="C14" s="5" t="s">
        <v>226</v>
      </c>
    </row>
    <row r="15" customFormat="false" ht="15" hidden="false" customHeight="false" outlineLevel="0" collapsed="false">
      <c r="A15" s="5" t="s">
        <v>227</v>
      </c>
      <c r="B15" s="5" t="s">
        <v>228</v>
      </c>
      <c r="C15" s="5" t="s">
        <v>229</v>
      </c>
    </row>
    <row r="16" customFormat="false" ht="15" hidden="false" customHeight="false" outlineLevel="0" collapsed="false">
      <c r="A16" s="5" t="s">
        <v>230</v>
      </c>
      <c r="B16" s="5" t="s">
        <v>231</v>
      </c>
      <c r="C16" s="5" t="s">
        <v>229</v>
      </c>
    </row>
    <row r="17" customFormat="false" ht="15" hidden="false" customHeight="false" outlineLevel="0" collapsed="false">
      <c r="A17" s="5" t="s">
        <v>232</v>
      </c>
      <c r="B17" s="5" t="s">
        <v>233</v>
      </c>
      <c r="C17" s="5" t="s">
        <v>234</v>
      </c>
    </row>
    <row r="18" customFormat="false" ht="15" hidden="false" customHeight="false" outlineLevel="0" collapsed="false">
      <c r="A18" s="5" t="s">
        <v>235</v>
      </c>
      <c r="B18" s="5" t="s">
        <v>236</v>
      </c>
      <c r="C18" s="5" t="s">
        <v>237</v>
      </c>
    </row>
    <row r="19" customFormat="false" ht="15" hidden="false" customHeight="false" outlineLevel="0" collapsed="false">
      <c r="A19" s="5" t="s">
        <v>238</v>
      </c>
      <c r="B19" s="5" t="s">
        <v>239</v>
      </c>
      <c r="C19" s="5" t="s">
        <v>237</v>
      </c>
    </row>
    <row r="20" customFormat="false" ht="15" hidden="false" customHeight="false" outlineLevel="0" collapsed="false">
      <c r="A20" s="5" t="s">
        <v>240</v>
      </c>
      <c r="B20" s="5" t="s">
        <v>241</v>
      </c>
      <c r="C20" s="5" t="s">
        <v>237</v>
      </c>
    </row>
    <row r="21" customFormat="false" ht="15" hidden="false" customHeight="false" outlineLevel="0" collapsed="false">
      <c r="A21" s="5" t="s">
        <v>242</v>
      </c>
      <c r="B21" s="5" t="s">
        <v>243</v>
      </c>
      <c r="C21" s="5" t="s">
        <v>244</v>
      </c>
    </row>
    <row r="22" customFormat="false" ht="15" hidden="false" customHeight="false" outlineLevel="0" collapsed="false">
      <c r="A22" s="5" t="s">
        <v>245</v>
      </c>
      <c r="B22" s="5" t="s">
        <v>246</v>
      </c>
      <c r="C22" s="5" t="s">
        <v>244</v>
      </c>
    </row>
    <row r="23" customFormat="false" ht="15" hidden="false" customHeight="false" outlineLevel="0" collapsed="false">
      <c r="A23" s="5" t="s">
        <v>247</v>
      </c>
      <c r="B23" s="5" t="s">
        <v>248</v>
      </c>
      <c r="C23" s="5" t="s">
        <v>249</v>
      </c>
    </row>
    <row r="24" customFormat="false" ht="15" hidden="false" customHeight="false" outlineLevel="0" collapsed="false">
      <c r="A24" s="5" t="s">
        <v>250</v>
      </c>
      <c r="B24" s="5" t="s">
        <v>251</v>
      </c>
      <c r="C24" s="5" t="s">
        <v>249</v>
      </c>
    </row>
    <row r="25" customFormat="false" ht="15" hidden="false" customHeight="false" outlineLevel="0" collapsed="false">
      <c r="A25" s="5" t="s">
        <v>252</v>
      </c>
      <c r="B25" s="5" t="s">
        <v>253</v>
      </c>
      <c r="C25" s="5" t="s">
        <v>249</v>
      </c>
    </row>
    <row r="26" customFormat="false" ht="23.85" hidden="false" customHeight="false" outlineLevel="0" collapsed="false">
      <c r="A26" s="5" t="s">
        <v>254</v>
      </c>
      <c r="B26" s="5" t="s">
        <v>255</v>
      </c>
      <c r="C26" s="5" t="s">
        <v>256</v>
      </c>
    </row>
    <row r="27" customFormat="false" ht="15" hidden="false" customHeight="false" outlineLevel="0" collapsed="false">
      <c r="A27" s="5" t="s">
        <v>257</v>
      </c>
      <c r="B27" s="5" t="s">
        <v>258</v>
      </c>
      <c r="C27" s="5" t="s">
        <v>259</v>
      </c>
    </row>
    <row r="28" customFormat="false" ht="15" hidden="false" customHeight="false" outlineLevel="0" collapsed="false">
      <c r="A28" s="5" t="s">
        <v>260</v>
      </c>
      <c r="B28" s="5" t="s">
        <v>261</v>
      </c>
      <c r="C28" s="5" t="s">
        <v>262</v>
      </c>
    </row>
    <row r="29" customFormat="false" ht="23.85" hidden="false" customHeight="false" outlineLevel="0" collapsed="false">
      <c r="A29" s="5" t="s">
        <v>263</v>
      </c>
      <c r="B29" s="5" t="s">
        <v>264</v>
      </c>
      <c r="C29" s="5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5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266</v>
      </c>
    </row>
    <row r="3" customFormat="false" ht="15" hidden="false" customHeight="false" outlineLevel="0" collapsed="false">
      <c r="A3" s="3" t="s">
        <v>267</v>
      </c>
      <c r="B3" s="3" t="s">
        <v>268</v>
      </c>
      <c r="C3" s="3" t="s">
        <v>269</v>
      </c>
      <c r="D3" s="3" t="s">
        <v>270</v>
      </c>
      <c r="E3" s="3" t="s">
        <v>271</v>
      </c>
      <c r="F3" s="3" t="s">
        <v>272</v>
      </c>
    </row>
    <row r="4" customFormat="false" ht="42" hidden="false" customHeight="true" outlineLevel="0" collapsed="false">
      <c r="A4" s="5" t="n">
        <v>1</v>
      </c>
      <c r="B4" s="5" t="s">
        <v>273</v>
      </c>
      <c r="C4" s="5" t="s">
        <v>274</v>
      </c>
      <c r="D4" s="5" t="s">
        <v>275</v>
      </c>
      <c r="E4" s="5"/>
      <c r="F4" s="24"/>
    </row>
    <row r="5" customFormat="false" ht="42" hidden="false" customHeight="true" outlineLevel="0" collapsed="false">
      <c r="A5" s="5" t="n">
        <v>2</v>
      </c>
      <c r="B5" s="5" t="s">
        <v>276</v>
      </c>
      <c r="C5" s="5" t="s">
        <v>277</v>
      </c>
      <c r="D5" s="5" t="s">
        <v>278</v>
      </c>
      <c r="E5" s="5"/>
      <c r="F5" s="24"/>
    </row>
    <row r="6" customFormat="false" ht="42" hidden="false" customHeight="true" outlineLevel="0" collapsed="false">
      <c r="A6" s="5" t="n">
        <v>3</v>
      </c>
      <c r="B6" s="5" t="s">
        <v>279</v>
      </c>
      <c r="C6" s="5" t="s">
        <v>280</v>
      </c>
      <c r="D6" s="5" t="s">
        <v>281</v>
      </c>
      <c r="E6" s="5"/>
      <c r="F6" s="24"/>
    </row>
    <row r="7" customFormat="false" ht="42" hidden="false" customHeight="true" outlineLevel="0" collapsed="false">
      <c r="A7" s="5" t="n">
        <v>4</v>
      </c>
      <c r="B7" s="5" t="s">
        <v>282</v>
      </c>
      <c r="C7" s="5" t="s">
        <v>283</v>
      </c>
      <c r="D7" s="5" t="s">
        <v>284</v>
      </c>
      <c r="E7" s="5"/>
      <c r="F7" s="24"/>
    </row>
    <row r="8" customFormat="false" ht="42" hidden="false" customHeight="true" outlineLevel="0" collapsed="false">
      <c r="A8" s="5" t="n">
        <v>5</v>
      </c>
      <c r="B8" s="5" t="s">
        <v>285</v>
      </c>
      <c r="C8" s="5" t="s">
        <v>286</v>
      </c>
      <c r="D8" s="5" t="s">
        <v>287</v>
      </c>
      <c r="E8" s="5"/>
      <c r="F8" s="24"/>
    </row>
    <row r="9" customFormat="false" ht="42" hidden="false" customHeight="true" outlineLevel="0" collapsed="false">
      <c r="A9" s="5" t="n">
        <v>6</v>
      </c>
      <c r="B9" s="5" t="s">
        <v>288</v>
      </c>
      <c r="C9" s="5" t="s">
        <v>289</v>
      </c>
      <c r="D9" s="5" t="s">
        <v>290</v>
      </c>
      <c r="E9" s="5"/>
      <c r="F9" s="24"/>
    </row>
    <row r="10" customFormat="false" ht="42" hidden="false" customHeight="true" outlineLevel="0" collapsed="false">
      <c r="A10" s="5" t="n">
        <v>7</v>
      </c>
      <c r="B10" s="5" t="s">
        <v>291</v>
      </c>
      <c r="C10" s="5" t="s">
        <v>292</v>
      </c>
      <c r="D10" s="5" t="s">
        <v>281</v>
      </c>
      <c r="E10" s="5"/>
      <c r="F10" s="24"/>
    </row>
    <row r="11" customFormat="false" ht="42" hidden="false" customHeight="true" outlineLevel="0" collapsed="false">
      <c r="A11" s="5" t="n">
        <v>8</v>
      </c>
      <c r="B11" s="5" t="s">
        <v>293</v>
      </c>
      <c r="C11" s="5" t="s">
        <v>294</v>
      </c>
      <c r="D11" s="5" t="s">
        <v>295</v>
      </c>
      <c r="E11" s="5"/>
      <c r="F1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60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296</v>
      </c>
    </row>
    <row r="2" customFormat="false" ht="43.5" hidden="false" customHeight="true" outlineLevel="0" collapsed="false">
      <c r="A2" s="2" t="s">
        <v>297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298</v>
      </c>
      <c r="C4" s="3" t="s">
        <v>299</v>
      </c>
      <c r="D4" s="3" t="s">
        <v>300</v>
      </c>
      <c r="E4" s="3" t="s">
        <v>301</v>
      </c>
      <c r="F4" s="3" t="s">
        <v>302</v>
      </c>
    </row>
    <row r="5" customFormat="false" ht="45.75" hidden="false" customHeight="true" outlineLevel="0" collapsed="false">
      <c r="A5" s="5" t="n">
        <v>1</v>
      </c>
      <c r="B5" s="5" t="s">
        <v>303</v>
      </c>
      <c r="C5" s="25" t="s">
        <v>304</v>
      </c>
      <c r="D5" s="5" t="s">
        <v>305</v>
      </c>
      <c r="E5" s="5" t="s">
        <v>306</v>
      </c>
      <c r="F5" s="26" t="s">
        <v>307</v>
      </c>
    </row>
    <row r="6" customFormat="false" ht="45.75" hidden="false" customHeight="true" outlineLevel="0" collapsed="false">
      <c r="A6" s="5" t="n">
        <v>2</v>
      </c>
      <c r="B6" s="5" t="s">
        <v>308</v>
      </c>
      <c r="C6" s="25" t="s">
        <v>309</v>
      </c>
      <c r="D6" s="5" t="s">
        <v>310</v>
      </c>
      <c r="E6" s="5" t="s">
        <v>311</v>
      </c>
      <c r="F6" s="26" t="s">
        <v>312</v>
      </c>
    </row>
    <row r="7" customFormat="false" ht="45.75" hidden="false" customHeight="true" outlineLevel="0" collapsed="false">
      <c r="A7" s="5" t="n">
        <v>3</v>
      </c>
      <c r="B7" s="5" t="s">
        <v>313</v>
      </c>
      <c r="C7" s="25" t="s">
        <v>314</v>
      </c>
      <c r="D7" s="5" t="s">
        <v>315</v>
      </c>
      <c r="E7" s="5" t="s">
        <v>316</v>
      </c>
      <c r="F7" s="26" t="s">
        <v>317</v>
      </c>
    </row>
    <row r="8" customFormat="false" ht="45.75" hidden="false" customHeight="true" outlineLevel="0" collapsed="false">
      <c r="A8" s="5" t="n">
        <v>4</v>
      </c>
      <c r="B8" s="5" t="s">
        <v>318</v>
      </c>
      <c r="C8" s="25" t="s">
        <v>319</v>
      </c>
      <c r="D8" s="5" t="s">
        <v>320</v>
      </c>
      <c r="E8" s="5" t="s">
        <v>321</v>
      </c>
      <c r="F8" s="24" t="s">
        <v>322</v>
      </c>
    </row>
    <row r="9" customFormat="false" ht="45.75" hidden="false" customHeight="true" outlineLevel="0" collapsed="false">
      <c r="A9" s="5" t="n">
        <v>5</v>
      </c>
      <c r="B9" s="5" t="s">
        <v>323</v>
      </c>
      <c r="C9" s="25" t="s">
        <v>324</v>
      </c>
      <c r="D9" s="5" t="s">
        <v>325</v>
      </c>
      <c r="E9" s="5" t="s">
        <v>326</v>
      </c>
      <c r="F9" s="24" t="s">
        <v>327</v>
      </c>
    </row>
    <row r="10" customFormat="false" ht="45.75" hidden="false" customHeight="true" outlineLevel="0" collapsed="false">
      <c r="A10" s="5" t="n">
        <v>6</v>
      </c>
      <c r="B10" s="5" t="s">
        <v>328</v>
      </c>
      <c r="C10" s="25" t="s">
        <v>329</v>
      </c>
      <c r="D10" s="5" t="s">
        <v>330</v>
      </c>
      <c r="E10" s="5" t="s">
        <v>331</v>
      </c>
      <c r="F10" s="26" t="s">
        <v>332</v>
      </c>
    </row>
    <row r="11" customFormat="false" ht="45.75" hidden="false" customHeight="true" outlineLevel="0" collapsed="false">
      <c r="A11" s="5" t="n">
        <v>7</v>
      </c>
      <c r="B11" s="5" t="s">
        <v>333</v>
      </c>
      <c r="C11" s="25" t="s">
        <v>334</v>
      </c>
      <c r="D11" s="5" t="s">
        <v>335</v>
      </c>
      <c r="E11" s="5" t="s">
        <v>336</v>
      </c>
      <c r="F11" s="24" t="s">
        <v>337</v>
      </c>
    </row>
    <row r="12" customFormat="false" ht="45.75" hidden="false" customHeight="true" outlineLevel="0" collapsed="false">
      <c r="A12" s="5" t="n">
        <v>8</v>
      </c>
      <c r="B12" s="5" t="s">
        <v>338</v>
      </c>
      <c r="C12" s="25" t="s">
        <v>339</v>
      </c>
      <c r="D12" s="5" t="s">
        <v>340</v>
      </c>
      <c r="E12" s="5" t="s">
        <v>341</v>
      </c>
      <c r="F12" s="24" t="s">
        <v>342</v>
      </c>
    </row>
    <row r="13" customFormat="false" ht="45.75" hidden="false" customHeight="true" outlineLevel="0" collapsed="false">
      <c r="A13" s="5" t="n">
        <v>9</v>
      </c>
      <c r="B13" s="5" t="s">
        <v>343</v>
      </c>
      <c r="C13" s="25" t="s">
        <v>344</v>
      </c>
      <c r="D13" s="5" t="s">
        <v>345</v>
      </c>
      <c r="E13" s="5" t="s">
        <v>346</v>
      </c>
      <c r="F13" s="24" t="s">
        <v>347</v>
      </c>
    </row>
    <row r="14" customFormat="false" ht="45.75" hidden="false" customHeight="true" outlineLevel="0" collapsed="false">
      <c r="A14" s="5" t="n">
        <v>10</v>
      </c>
      <c r="B14" s="5" t="s">
        <v>348</v>
      </c>
      <c r="C14" s="25" t="s">
        <v>349</v>
      </c>
      <c r="D14" s="5" t="s">
        <v>350</v>
      </c>
      <c r="E14" s="5" t="s">
        <v>351</v>
      </c>
      <c r="F14" s="24" t="s">
        <v>352</v>
      </c>
    </row>
    <row r="16" customFormat="false" ht="15" hidden="false" customHeight="false" outlineLevel="0" collapsed="false">
      <c r="A16" s="12" t="s">
        <v>353</v>
      </c>
    </row>
    <row r="17" customFormat="false" ht="15" hidden="false" customHeight="false" outlineLevel="0" collapsed="false">
      <c r="A17" s="17" t="s">
        <v>354</v>
      </c>
      <c r="B17" s="17" t="s">
        <v>298</v>
      </c>
      <c r="C17" s="17" t="s">
        <v>299</v>
      </c>
    </row>
    <row r="18" customFormat="false" ht="15" hidden="false" customHeight="false" outlineLevel="0" collapsed="false">
      <c r="A18" s="4" t="s">
        <v>355</v>
      </c>
      <c r="B18" s="4" t="s">
        <v>356</v>
      </c>
      <c r="C18" s="27" t="s">
        <v>357</v>
      </c>
    </row>
    <row r="19" customFormat="false" ht="15" hidden="false" customHeight="false" outlineLevel="0" collapsed="false">
      <c r="A19" s="4" t="s">
        <v>355</v>
      </c>
      <c r="B19" s="4" t="s">
        <v>358</v>
      </c>
      <c r="C19" s="27" t="s">
        <v>359</v>
      </c>
    </row>
    <row r="20" customFormat="false" ht="15" hidden="false" customHeight="false" outlineLevel="0" collapsed="false">
      <c r="A20" s="4" t="s">
        <v>355</v>
      </c>
      <c r="B20" s="4" t="s">
        <v>360</v>
      </c>
      <c r="C20" s="27" t="s">
        <v>361</v>
      </c>
    </row>
    <row r="21" customFormat="false" ht="15" hidden="false" customHeight="false" outlineLevel="0" collapsed="false">
      <c r="A21" s="4" t="s">
        <v>362</v>
      </c>
      <c r="B21" s="4" t="s">
        <v>363</v>
      </c>
      <c r="C21" s="27" t="s">
        <v>364</v>
      </c>
    </row>
    <row r="22" customFormat="false" ht="15" hidden="false" customHeight="false" outlineLevel="0" collapsed="false">
      <c r="A22" s="4" t="s">
        <v>362</v>
      </c>
      <c r="B22" s="4" t="s">
        <v>365</v>
      </c>
      <c r="C22" s="27" t="s">
        <v>366</v>
      </c>
    </row>
    <row r="23" customFormat="false" ht="15" hidden="false" customHeight="false" outlineLevel="0" collapsed="false">
      <c r="A23" s="4" t="s">
        <v>362</v>
      </c>
      <c r="B23" s="4" t="s">
        <v>367</v>
      </c>
      <c r="C23" s="27" t="s">
        <v>368</v>
      </c>
    </row>
    <row r="24" customFormat="false" ht="15" hidden="false" customHeight="false" outlineLevel="0" collapsed="false">
      <c r="A24" s="4" t="s">
        <v>362</v>
      </c>
      <c r="B24" s="4" t="s">
        <v>369</v>
      </c>
      <c r="C24" s="27" t="s">
        <v>370</v>
      </c>
    </row>
    <row r="25" customFormat="false" ht="15" hidden="false" customHeight="false" outlineLevel="0" collapsed="false">
      <c r="A25" s="4" t="s">
        <v>371</v>
      </c>
      <c r="B25" s="4" t="s">
        <v>372</v>
      </c>
      <c r="C25" s="27" t="s">
        <v>373</v>
      </c>
    </row>
    <row r="26" customFormat="false" ht="15" hidden="false" customHeight="false" outlineLevel="0" collapsed="false">
      <c r="A26" s="4" t="s">
        <v>371</v>
      </c>
      <c r="B26" s="4" t="s">
        <v>374</v>
      </c>
      <c r="C26" s="27" t="s">
        <v>375</v>
      </c>
    </row>
    <row r="27" customFormat="false" ht="15" hidden="false" customHeight="false" outlineLevel="0" collapsed="false">
      <c r="A27" s="4" t="s">
        <v>371</v>
      </c>
      <c r="B27" s="4" t="s">
        <v>376</v>
      </c>
      <c r="C27" s="27" t="s">
        <v>377</v>
      </c>
    </row>
    <row r="28" customFormat="false" ht="15" hidden="false" customHeight="false" outlineLevel="0" collapsed="false">
      <c r="A28" s="4" t="s">
        <v>371</v>
      </c>
      <c r="B28" s="4" t="s">
        <v>378</v>
      </c>
      <c r="C28" s="27" t="s">
        <v>379</v>
      </c>
    </row>
    <row r="29" customFormat="false" ht="15" hidden="false" customHeight="false" outlineLevel="0" collapsed="false">
      <c r="A29" s="4" t="s">
        <v>380</v>
      </c>
      <c r="B29" s="4" t="s">
        <v>381</v>
      </c>
      <c r="C29" s="27" t="s">
        <v>382</v>
      </c>
    </row>
    <row r="30" customFormat="false" ht="15" hidden="false" customHeight="false" outlineLevel="0" collapsed="false">
      <c r="A30" s="4" t="s">
        <v>380</v>
      </c>
      <c r="B30" s="4" t="s">
        <v>383</v>
      </c>
      <c r="C30" s="27" t="s">
        <v>384</v>
      </c>
    </row>
    <row r="31" customFormat="false" ht="15" hidden="false" customHeight="false" outlineLevel="0" collapsed="false">
      <c r="A31" s="4" t="s">
        <v>380</v>
      </c>
      <c r="B31" s="4" t="s">
        <v>385</v>
      </c>
      <c r="C31" s="27" t="s">
        <v>386</v>
      </c>
    </row>
    <row r="32" customFormat="false" ht="15" hidden="false" customHeight="false" outlineLevel="0" collapsed="false">
      <c r="A32" s="4" t="s">
        <v>387</v>
      </c>
      <c r="B32" s="4" t="s">
        <v>388</v>
      </c>
      <c r="C32" s="27" t="s">
        <v>389</v>
      </c>
    </row>
    <row r="33" customFormat="false" ht="15" hidden="false" customHeight="false" outlineLevel="0" collapsed="false">
      <c r="A33" s="4" t="s">
        <v>390</v>
      </c>
      <c r="B33" s="4" t="s">
        <v>391</v>
      </c>
      <c r="C33" s="27" t="s">
        <v>392</v>
      </c>
    </row>
    <row r="34" customFormat="false" ht="15" hidden="false" customHeight="false" outlineLevel="0" collapsed="false">
      <c r="A34" s="4" t="s">
        <v>393</v>
      </c>
      <c r="B34" s="4" t="s">
        <v>394</v>
      </c>
      <c r="C34" s="27" t="s">
        <v>395</v>
      </c>
    </row>
    <row r="35" customFormat="false" ht="15" hidden="false" customHeight="false" outlineLevel="0" collapsed="false">
      <c r="A35" s="4" t="s">
        <v>393</v>
      </c>
      <c r="B35" s="4" t="s">
        <v>396</v>
      </c>
      <c r="C35" s="27" t="s">
        <v>397</v>
      </c>
    </row>
    <row r="36" customFormat="false" ht="15" hidden="false" customHeight="false" outlineLevel="0" collapsed="false">
      <c r="A36" s="4" t="s">
        <v>393</v>
      </c>
      <c r="B36" s="4" t="s">
        <v>398</v>
      </c>
      <c r="C36" s="27" t="s">
        <v>399</v>
      </c>
    </row>
    <row r="37" customFormat="false" ht="15" hidden="false" customHeight="false" outlineLevel="0" collapsed="false">
      <c r="A37" s="4" t="s">
        <v>400</v>
      </c>
      <c r="B37" s="4" t="s">
        <v>244</v>
      </c>
      <c r="C37" s="27" t="s">
        <v>401</v>
      </c>
    </row>
    <row r="38" customFormat="false" ht="15" hidden="false" customHeight="false" outlineLevel="0" collapsed="false">
      <c r="A38" s="4" t="s">
        <v>400</v>
      </c>
      <c r="B38" s="4" t="s">
        <v>402</v>
      </c>
      <c r="C38" s="27" t="s">
        <v>403</v>
      </c>
    </row>
    <row r="39" customFormat="false" ht="15" hidden="false" customHeight="false" outlineLevel="0" collapsed="false">
      <c r="A39" s="4" t="s">
        <v>400</v>
      </c>
      <c r="B39" s="4" t="s">
        <v>404</v>
      </c>
      <c r="C39" s="27" t="s">
        <v>405</v>
      </c>
    </row>
  </sheetData>
  <mergeCells count="1">
    <mergeCell ref="A2:F2"/>
  </mergeCells>
  <hyperlinks>
    <hyperlink ref="C5" r:id="rId1" display="https://jenpharm.com/"/>
    <hyperlink ref="C6" r:id="rId2" display="https://accufixcosmetics.com/"/>
    <hyperlink ref="C7" r:id="rId3" display="https://derma.pk/"/>
    <hyperlink ref="C8" r:id="rId4" display="https://conaturalintl.com/"/>
    <hyperlink ref="C9" r:id="rId5" display="https://saeedghani.pk/"/>
    <hyperlink ref="C10" r:id="rId6" display="https://www.skinfactor.pk/"/>
    <hyperlink ref="C11" r:id="rId7" display="https://arwaskincare.com/"/>
    <hyperlink ref="C12" r:id="rId8" display="https://www.asraderm.pk/"/>
    <hyperlink ref="C13" r:id="rId9" display="https://www.darimooch.com/"/>
    <hyperlink ref="C14" r:id="rId10" display="https://florevapakistan.com/"/>
    <hyperlink ref="C18" r:id="rId11" display="https://mankindd.com/"/>
    <hyperlink ref="C19" r:id="rId12" display="https://www.beyondbeard.com/"/>
    <hyperlink ref="C20" r:id="rId13" display="https://nuvari.pk/"/>
    <hyperlink ref="C21" r:id="rId14" display="https://hairenergyofficial.com/"/>
    <hyperlink ref="C22" r:id="rId15" display="https://thehairpantry.com/"/>
    <hyperlink ref="C23" r:id="rId16" display="https://www.rijjaskincare.com/"/>
    <hyperlink ref="C24" r:id="rId17" display="https://hairmatters.co/"/>
    <hyperlink ref="C25" r:id="rId18" display="https://drelements.com/"/>
    <hyperlink ref="C26" r:id="rId19" display="https://beautenic.com/"/>
    <hyperlink ref="C27" r:id="rId20" display="https://shopfidara.com/"/>
    <hyperlink ref="C28" r:id="rId21" display="https://loyalbodycosmetics.com/"/>
    <hyperlink ref="C29" r:id="rId22" display="https://theskinfit.com/"/>
    <hyperlink ref="C30" r:id="rId23" display="https://rozzana.pk/"/>
    <hyperlink ref="C31" r:id="rId24" display="https://shaheenchemistrwp.com/"/>
    <hyperlink ref="C32" r:id="rId25" display="https://www.dvago.pk/"/>
    <hyperlink ref="C33" r:id="rId26" display="https://www.fixderma.com/"/>
    <hyperlink ref="C34" r:id="rId27" display="https://scentsnstories.pk/"/>
    <hyperlink ref="C35" r:id="rId28" display="https://www.fahaliyas.com/"/>
    <hyperlink ref="C36" r:id="rId29" display="https://scentsenclave.com/"/>
    <hyperlink ref="C37" r:id="rId30" display="https://humancarelabs.com/"/>
    <hyperlink ref="C38" r:id="rId31" display="https://aligroupservices.com/labs/"/>
    <hyperlink ref="C39" r:id="rId32" display="https://sonericare.com/private-label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2026-08-12T13:08:59Z</dcterms:created>
  <dc:creator>openpyxl</dc:creator>
  <dc:description/>
  <dc:language>en-US</dc:language>
  <cp:lastModifiedBy/>
  <dcterms:modified xsi:type="dcterms:W3CDTF">2026-08-12T13:08:59Z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