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Read Me" sheetId="1" state="visible" r:id="rId3"/>
    <sheet name="1. Products" sheetId="2" state="visible" r:id="rId4"/>
    <sheet name="2. Keywords" sheetId="3" state="visible" r:id="rId5"/>
    <sheet name="3. Top Brands" sheetId="4" state="visible" r:id="rId6"/>
    <sheet name="4. Brands Excluded" sheetId="5" state="visible" r:id="rId7"/>
    <sheet name="5. SEO Gaps" sheetId="6" state="visible" r:id="rId8"/>
    <sheet name="6. Competitor Domains" sheetId="7" state="visible" r:id="rId9"/>
    <sheet name="7. Category Analysis" sheetId="8" state="visible" r:id="rId10"/>
    <sheet name="8. Product Opportunities" sheetId="9" state="visible" r:id="rId11"/>
    <sheet name="9. Market Gaps" sheetId="10" state="visible" r:id="rId12"/>
    <sheet name="10. Content Plan" sheetId="11" state="visible" r:id="rId13"/>
    <sheet name="11. Personas" sheetId="12" state="visible" r:id="rId14"/>
    <sheet name="12. Hero Products" sheetId="13" state="visible" r:id="rId15"/>
  </sheets>
  <definedNames>
    <definedName function="false" hidden="true" localSheetId="1" name="_xlnm._FilterDatabase" vbProcedure="false">'1. Products'!$A$1:$U$115</definedName>
    <definedName function="false" hidden="true" localSheetId="2" name="_xlnm._FilterDatabase" vbProcedure="false">'2. Keywords'!$A$1:$O$364</definedName>
    <definedName function="false" hidden="true" localSheetId="7" name="_xlnm._FilterDatabase" vbProcedure="false">'7. Category Analysis'!$A$4:$M$34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<sst xmlns="http://schemas.openxmlformats.org/spreadsheetml/2006/main" count="7030" uniqueCount="2021">
  <si>
    <t xml:space="preserve">PAKISTANI PREMIUM SKINCARE &amp; COSMETICS — MASTER RESEARCH DATABASE</t>
  </si>
  <si>
    <t xml:space="preserve">Research date: August 2026 · Pakistani-owned brands only · Official brand websites only · No marketplaces used as a product source</t>
  </si>
  <si>
    <t xml:space="preserve">SCOPE APPLIED</t>
  </si>
  <si>
    <t xml:space="preserve">Skincare and colour cosmetics ONLY. Perfumes, fragrances, body sprays, hair care, medicines, supplements and general FMCG are EXCLUDED. Products must retail at PKR 2,000 or above.</t>
  </si>
  <si>
    <t xml:space="preserve">BRAND FILTER</t>
  </si>
  <si>
    <t xml:space="preserve">Only brands verified as founded in Pakistan or Pakistani-owned. International, imported, Korean, Chinese, Indian, Western and Middle-Eastern brands are excluded, as are retailers and marketplaces (Daraz, Naheed, Bagallery, Highfy, Allure Beauty, Rios, Skin Shop).</t>
  </si>
  <si>
    <t xml:space="preserve">PRODUCT SOURCE</t>
  </si>
  <si>
    <t xml:space="preserve">Every price and URL was read live from the brand's OWN e-commerce product feed in August 2026. No marketplace, affiliate site, blog or reseller was used.</t>
  </si>
  <si>
    <t xml:space="preserve">SHEET GUIDE</t>
  </si>
  <si>
    <t xml:space="preserve">1. Products</t>
  </si>
  <si>
    <t xml:space="preserve">Verified Pakistani-brand SKUs at PKR 2,000+ with category, concern, ingredients, price, direct product URL, official website, verification status, best-seller evidence and popularity score.</t>
  </si>
  <si>
    <t xml:space="preserve">2. Keywords</t>
  </si>
  <si>
    <t xml:space="preserve">Semrush Pakistan-database keywords with volume, difficulty, CPC, intent and opportunity score.</t>
  </si>
  <si>
    <t xml:space="preserve">3. Top Brands</t>
  </si>
  <si>
    <t xml:space="preserve">Pakistani brand register: founder, founding year, city, ownership, manufacturing location, revenue (or explicit non-disclosure), SEO strengths and weaknesses.</t>
  </si>
  <si>
    <t xml:space="preserve">4. Brands Excluded</t>
  </si>
  <si>
    <t xml:space="preserve">Brands and sites deliberately excluded, and the specific reason for each. Read this before adding anything back.</t>
  </si>
  <si>
    <t xml:space="preserve">5. SEO Gaps</t>
  </si>
  <si>
    <t xml:space="preserve">Keyword-by-keyword SERP teardown with the actual ranking URLs and their Authority Scores, plus why each SERP is vulnerable.</t>
  </si>
  <si>
    <t xml:space="preserve">6. Competitor Domains</t>
  </si>
  <si>
    <t xml:space="preserve">Authority Score, backlinks and referring domains for the ten domains that own this category.</t>
  </si>
  <si>
    <t xml:space="preserve">7. Category Analysis</t>
  </si>
  <si>
    <t xml:space="preserve">Per-category product counts, price range, average price and demand — computed from sheets 1 and 2.</t>
  </si>
  <si>
    <t xml:space="preserve">8. Product Opportunities</t>
  </si>
  <si>
    <t xml:space="preserve">Top 25 launch opportunities with a weighted opportunity score.</t>
  </si>
  <si>
    <t xml:space="preserve">9. Market Gaps</t>
  </si>
  <si>
    <t xml:space="preserve">Top 20 things Pakistani beauty brands are doing badly, scored.</t>
  </si>
  <si>
    <t xml:space="preserve">10. Content Plan</t>
  </si>
  <si>
    <t xml:space="preserve">110 SEO content opportunities with content type, suggested title, funnel stage and priority.</t>
  </si>
  <si>
    <t xml:space="preserve">11. Personas</t>
  </si>
  <si>
    <t xml:space="preserve">Seven customer personas across the categories in scope.</t>
  </si>
  <si>
    <t xml:space="preserve">12. Hero Products</t>
  </si>
  <si>
    <t xml:space="preserve">The ten strongest hero-product candidates with full launch reasoning.</t>
  </si>
  <si>
    <t xml:space="preserve">SCORING</t>
  </si>
  <si>
    <t xml:space="preserve">Opportunity Score weighting</t>
  </si>
  <si>
    <t xml:space="preserve">Search Demand 20% · SEO Opportunity 20% · Commercial Intent 15% · Competition 10% · Price Potential 10% · Repeat Purchase 10% · Market Gap 10% · Differentiation 5%. Bands: 90-100 Exceptional · 80-89 Excellent · 70-79 Strong · 60-69 Moderate · below 60 Weak.</t>
  </si>
  <si>
    <t xml:space="preserve">Popularity Confidence Score</t>
  </si>
  <si>
    <t xml:space="preserve">0-100. Built ONLY from observable evidence: best-seller wording in the brand's own feed, Semrush organic traffic to that page, and the search volume and difficulty of the keyword the product maps to. Where no evidence exists the score stays low. No product is called 'top-selling' without a stated reason.</t>
  </si>
  <si>
    <t xml:space="preserve">DATA LIMITS — READ THIS</t>
  </si>
  <si>
    <t xml:space="preserve">Semrush API units exhausted</t>
  </si>
  <si>
    <t xml:space="preserve">Semrush API units ran out partway through this research. Three full SERP result sets were retrieved (sheet 5) plus Authority Scores for ten domains (sheet 6) and 363 keywords (sheet 2). Ranking-URL and Authority Score data for the remaining keywords is marked 'Not retrieved — Semrush API units exhausted'. Nothing has been estimated in its place. More units: https://www.semrush.com/mcp-access</t>
  </si>
  <si>
    <t xml:space="preserve">Ratings and reviews</t>
  </si>
  <si>
    <t xml:space="preserve">Pakistani brand product feeds do not expose rating or review counts. Those fields read 'Not publicly available' throughout rather than carrying invented numbers.</t>
  </si>
  <si>
    <t xml:space="preserve">Revenue</t>
  </si>
  <si>
    <t xml:space="preserve">No Pakistani cosmetics company is listed on the PSX and none files public accounts. Only four figures exist anywhere and none are audited: Conatural US$264k (FY2020), BNB Derma PKR 60-70m (c.2020), Golden Pearl 'exceeding US$20m' (undated third-party estimate), Color Studio PKR 1bn VALUATION (not revenue). Every one is labelled with its confidence level in sheet 3. Nothing was estimated by us.</t>
  </si>
  <si>
    <t xml:space="preserve">Ingredients / concern / skin type</t>
  </si>
  <si>
    <t xml:space="preserve">Where a brand's feed did not state these, they are inferred from the product name and flagged as inferred. They are not manufacturer claims.</t>
  </si>
  <si>
    <t xml:space="preserve">Prices</t>
  </si>
  <si>
    <t xml:space="preserve">Read live in August 2026, in PKR, at the first variant, before discount. Pakistani beauty pricing moves fast — re-verify before quoting commercially.</t>
  </si>
  <si>
    <t xml:space="preserve">ID</t>
  </si>
  <si>
    <t xml:space="preserve">Brand</t>
  </si>
  <si>
    <t xml:space="preserve">Product</t>
  </si>
  <si>
    <t xml:space="preserve">Category</t>
  </si>
  <si>
    <t xml:space="preserve">Subcategory</t>
  </si>
  <si>
    <t xml:space="preserve">Skin Concern</t>
  </si>
  <si>
    <t xml:space="preserve">Skin Type</t>
  </si>
  <si>
    <t xml:space="preserve">Key Ingredients</t>
  </si>
  <si>
    <t xml:space="preserve">Size</t>
  </si>
  <si>
    <t xml:space="preserve">Price PKR</t>
  </si>
  <si>
    <t xml:space="preserve">Price Band</t>
  </si>
  <si>
    <t xml:space="preserve">Product URL</t>
  </si>
  <si>
    <t xml:space="preserve">Official Website</t>
  </si>
  <si>
    <t xml:space="preserve">Brand Origin</t>
  </si>
  <si>
    <t xml:space="preserve">PK Brand Verified</t>
  </si>
  <si>
    <t xml:space="preserve">Availability</t>
  </si>
  <si>
    <t xml:space="preserve">Rating</t>
  </si>
  <si>
    <t xml:space="preserve">Reviews</t>
  </si>
  <si>
    <t xml:space="preserve">Best Seller / Popularity Evidence</t>
  </si>
  <si>
    <t xml:space="preserve">Popularity Score (0-100)</t>
  </si>
  <si>
    <t xml:space="preserve">Bundle or Single</t>
  </si>
  <si>
    <t xml:space="preserve">AccuFix Cosmetics</t>
  </si>
  <si>
    <t xml:space="preserve">Pigmentation Treatment Bundle</t>
  </si>
  <si>
    <t xml:space="preserve">Skincare</t>
  </si>
  <si>
    <t xml:space="preserve">Routine Kit</t>
  </si>
  <si>
    <t xml:space="preserve">Pigmentation / dark spots</t>
  </si>
  <si>
    <t xml:space="preserve">All</t>
  </si>
  <si>
    <t xml:space="preserve">Multi-active routine</t>
  </si>
  <si>
    <t xml:space="preserve">Bundle</t>
  </si>
  <si>
    <t xml:space="preserve">https://accufixcosmetics.com/products/pigmentation-treatment-bundle</t>
  </si>
  <si>
    <t xml:space="preserve">https://accufixcosmetics.com</t>
  </si>
  <si>
    <t xml:space="preserve">Pakistan</t>
  </si>
  <si>
    <t xml:space="preserve">VERIFIED</t>
  </si>
  <si>
    <t xml:space="preserve">In stock (feed live Aug-2026)</t>
  </si>
  <si>
    <t xml:space="preserve">Not publicly available</t>
  </si>
  <si>
    <t xml:space="preserve">Highest-priced verified PK skincare bundle found</t>
  </si>
  <si>
    <t xml:space="preserve">Bundle / Kit</t>
  </si>
  <si>
    <t xml:space="preserve">Conatural</t>
  </si>
  <si>
    <t xml:space="preserve">Everyday Makeup Kit</t>
  </si>
  <si>
    <t xml:space="preserve">Cosmetics</t>
  </si>
  <si>
    <t xml:space="preserve">Makeup Kit</t>
  </si>
  <si>
    <t xml:space="preserve">Everyday makeup</t>
  </si>
  <si>
    <t xml:space="preserve">Makeup kit</t>
  </si>
  <si>
    <t xml:space="preserve">Kit</t>
  </si>
  <si>
    <t xml:space="preserve">https://conaturalintl.com/products/everyday-makeup-kit</t>
  </si>
  <si>
    <t xml:space="preserve">https://conaturalintl.com</t>
  </si>
  <si>
    <t xml:space="preserve">Highest-priced Conatural SKU</t>
  </si>
  <si>
    <t xml:space="preserve">Zero Makeup by Nabila</t>
  </si>
  <si>
    <t xml:space="preserve">The Eyes On Us Drop</t>
  </si>
  <si>
    <t xml:space="preserve">Eye Makeup Set</t>
  </si>
  <si>
    <t xml:space="preserve">Eye makeup</t>
  </si>
  <si>
    <t xml:space="preserve">Eye set</t>
  </si>
  <si>
    <t xml:space="preserve">Set</t>
  </si>
  <si>
    <t xml:space="preserve">https://zeromakeup.com/products/the-eyes-on-us-drop</t>
  </si>
  <si>
    <t xml:space="preserve">https://zeromakeup.com</t>
  </si>
  <si>
    <t xml:space="preserve">Flagship eye drop launch</t>
  </si>
  <si>
    <t xml:space="preserve">Single</t>
  </si>
  <si>
    <t xml:space="preserve">Eyesticks - Pack of 4</t>
  </si>
  <si>
    <t xml:space="preserve">Eyeshadow Stick</t>
  </si>
  <si>
    <t xml:space="preserve">Cream eyeshadow</t>
  </si>
  <si>
    <t xml:space="preserve">Pack of 4</t>
  </si>
  <si>
    <t xml:space="preserve">https://zeromakeup.com/products/eyesticks-pack-of-4</t>
  </si>
  <si>
    <t xml:space="preserve">Eyesticks are the brand's signature format</t>
  </si>
  <si>
    <t xml:space="preserve">Lip Trio</t>
  </si>
  <si>
    <t xml:space="preserve">Lip Set</t>
  </si>
  <si>
    <t xml:space="preserve">Lips</t>
  </si>
  <si>
    <t xml:space="preserve">Lip trio</t>
  </si>
  <si>
    <t xml:space="preserve">Trio</t>
  </si>
  <si>
    <t xml:space="preserve">https://zeromakeup.com/products/lip-trio</t>
  </si>
  <si>
    <t xml:space="preserve">No best-seller evidence found</t>
  </si>
  <si>
    <t xml:space="preserve">Flawless Makeup Set</t>
  </si>
  <si>
    <t xml:space="preserve">Full-face makeup</t>
  </si>
  <si>
    <t xml:space="preserve">Makeup set</t>
  </si>
  <si>
    <t xml:space="preserve">https://conaturalintl.com/products/flawless-makeup-set</t>
  </si>
  <si>
    <t xml:space="preserve">Luscious Cosmetics</t>
  </si>
  <si>
    <t xml:space="preserve">Deluxe Makeup Kit</t>
  </si>
  <si>
    <t xml:space="preserve">https://www.iloveluscious.com/products/deluxe-makeup-kit</t>
  </si>
  <si>
    <t xml:space="preserve">https://www.iloveluscious.com</t>
  </si>
  <si>
    <t xml:space="preserve">Skin Brightening Bundle</t>
  </si>
  <si>
    <t xml:space="preserve">Brightening</t>
  </si>
  <si>
    <t xml:space="preserve">Brightening actives</t>
  </si>
  <si>
    <t xml:space="preserve">https://accufixcosmetics.com/products/skin-brightening-bundle</t>
  </si>
  <si>
    <t xml:space="preserve">Brightening = largest PK search category</t>
  </si>
  <si>
    <t xml:space="preserve">Klean Beauty</t>
  </si>
  <si>
    <t xml:space="preserve">Acne Reset Kit</t>
  </si>
  <si>
    <t xml:space="preserve">Acne</t>
  </si>
  <si>
    <t xml:space="preserve">Oily / acne-prone</t>
  </si>
  <si>
    <t xml:space="preserve">Acne routine</t>
  </si>
  <si>
    <t xml:space="preserve">https://kleanbeauty.co/products/acne-reset-kit</t>
  </si>
  <si>
    <t xml:space="preserve">https://kleanbeauty.co</t>
  </si>
  <si>
    <t xml:space="preserve">Highest-priced SKU on site</t>
  </si>
  <si>
    <t xml:space="preserve">Kashee's</t>
  </si>
  <si>
    <t xml:space="preserve">Derma Glow Whitening Facial Box</t>
  </si>
  <si>
    <t xml:space="preserve">Facial Kit</t>
  </si>
  <si>
    <t xml:space="preserve">Facial kit</t>
  </si>
  <si>
    <t xml:space="preserve">Box</t>
  </si>
  <si>
    <t xml:space="preserve">https://www.kashees.com/products/derma-glow-whitening-facial-box</t>
  </si>
  <si>
    <t xml:space="preserve">https://www.kashees.com</t>
  </si>
  <si>
    <t xml:space="preserve">Salon-channel credibility; 'kashees' brand searches 3,600-4,400/mo</t>
  </si>
  <si>
    <t xml:space="preserve">Hajj / Umrah Skincare Essentials</t>
  </si>
  <si>
    <t xml:space="preserve">Sun / travel</t>
  </si>
  <si>
    <t xml:space="preserve">Travel routine</t>
  </si>
  <si>
    <t xml:space="preserve">https://accufixcosmetics.com/products/hajj-umrah-skincare-essentials</t>
  </si>
  <si>
    <t xml:space="preserve">Culturally specific SKU - genuine local insight</t>
  </si>
  <si>
    <t xml:space="preserve">Anti-Aging Skincare Set</t>
  </si>
  <si>
    <t xml:space="preserve">Ageing</t>
  </si>
  <si>
    <t xml:space="preserve">Mature</t>
  </si>
  <si>
    <t xml:space="preserve">Anti-ageing routine</t>
  </si>
  <si>
    <t xml:space="preserve">https://conaturalintl.com/products/anti-aging-skincare-set</t>
  </si>
  <si>
    <t xml:space="preserve">Retinol + BioRegenesis Age-Defence Duo</t>
  </si>
  <si>
    <t xml:space="preserve">Anti-Ageing</t>
  </si>
  <si>
    <t xml:space="preserve">Fine lines / ageing</t>
  </si>
  <si>
    <t xml:space="preserve">Normal / mature</t>
  </si>
  <si>
    <t xml:space="preserve">Retinol</t>
  </si>
  <si>
    <t xml:space="preserve">Duo</t>
  </si>
  <si>
    <t xml:space="preserve">https://accufixcosmetics.com/products/retinol-bioregenesis-age-defence-duo</t>
  </si>
  <si>
    <t xml:space="preserve">Anchors to 'retinol serum' 8,100/mo</t>
  </si>
  <si>
    <t xml:space="preserve">Head to Toe Exfoliation Trio</t>
  </si>
  <si>
    <t xml:space="preserve">Exfoliator</t>
  </si>
  <si>
    <t xml:space="preserve">Texture / KP</t>
  </si>
  <si>
    <t xml:space="preserve">AHA/BHA</t>
  </si>
  <si>
    <t xml:space="preserve">https://accufixcosmetics.com/products/head-to-toe-balance-bundle</t>
  </si>
  <si>
    <t xml:space="preserve">The Ultimate Body Trio</t>
  </si>
  <si>
    <t xml:space="preserve">Body Skincare</t>
  </si>
  <si>
    <t xml:space="preserve">Body Care</t>
  </si>
  <si>
    <t xml:space="preserve">Body brightening</t>
  </si>
  <si>
    <t xml:space="preserve">Body actives</t>
  </si>
  <si>
    <t xml:space="preserve">https://accufixcosmetics.com/products/complete-body-brightening-routine</t>
  </si>
  <si>
    <t xml:space="preserve">Body-actives is an under-served PK category</t>
  </si>
  <si>
    <t xml:space="preserve">Forganica</t>
  </si>
  <si>
    <t xml:space="preserve">Anti-Aging Repair Trio</t>
  </si>
  <si>
    <t xml:space="preserve">Fine lines</t>
  </si>
  <si>
    <t xml:space="preserve">Peptides / retinoid</t>
  </si>
  <si>
    <t xml:space="preserve">https://forganica.com/products/anti-aging-repair-trio</t>
  </si>
  <si>
    <t xml:space="preserve">https://forganica.com</t>
  </si>
  <si>
    <t xml:space="preserve">Clinically framed, pharmacist-founded</t>
  </si>
  <si>
    <t xml:space="preserve">Oily Skin Clarity Trio</t>
  </si>
  <si>
    <t xml:space="preserve">Oil control</t>
  </si>
  <si>
    <t xml:space="preserve">Oily</t>
  </si>
  <si>
    <t xml:space="preserve">Niacinamide / salicylic</t>
  </si>
  <si>
    <t xml:space="preserve">https://forganica.com/products/oily-skin-clarity-trio</t>
  </si>
  <si>
    <t xml:space="preserve">Oily skin = dominant PK skin type</t>
  </si>
  <si>
    <t xml:space="preserve">Skin Sciences</t>
  </si>
  <si>
    <t xml:space="preserve">PDRNew - Salmon DNA Complex</t>
  </si>
  <si>
    <t xml:space="preserve">Face Serum</t>
  </si>
  <si>
    <t xml:space="preserve">Regeneration</t>
  </si>
  <si>
    <t xml:space="preserve">PDRN (salmon DNA)</t>
  </si>
  <si>
    <t xml:space="preserve">Vial</t>
  </si>
  <si>
    <t xml:space="preserve">https://skinsciences.com.pk/products/pdrnew</t>
  </si>
  <si>
    <t xml:space="preserve">https://skinsciences.com.pk</t>
  </si>
  <si>
    <t xml:space="preserve">PROBABLY PAKISTANI</t>
  </si>
  <si>
    <t xml:space="preserve">PDRN is the single hottest global actives trend; almost no PK supply</t>
  </si>
  <si>
    <t xml:space="preserve">Liquid Foundation</t>
  </si>
  <si>
    <t xml:space="preserve">Foundation</t>
  </si>
  <si>
    <t xml:space="preserve">Coverage</t>
  </si>
  <si>
    <t xml:space="preserve">Liquid foundation</t>
  </si>
  <si>
    <t xml:space="preserve">30ml</t>
  </si>
  <si>
    <t xml:space="preserve">https://zeromakeup.com/products/zero-liquid-foundation</t>
  </si>
  <si>
    <t xml:space="preserve">Foundation cluster: 'maybelline foundation' 6,600/mo shows demand</t>
  </si>
  <si>
    <t xml:space="preserve">Dark Spot Kit</t>
  </si>
  <si>
    <t xml:space="preserve">Dark spots</t>
  </si>
  <si>
    <t xml:space="preserve">Brightening routine</t>
  </si>
  <si>
    <t xml:space="preserve">https://kleanbeauty.co/products/dark-spot-kit</t>
  </si>
  <si>
    <t xml:space="preserve">Dark spots = top PK concern</t>
  </si>
  <si>
    <t xml:space="preserve">Pigmentation &amp; Glow Trio</t>
  </si>
  <si>
    <t xml:space="preserve">Pigmentation</t>
  </si>
  <si>
    <t xml:space="preserve">Vitamin C / actives</t>
  </si>
  <si>
    <t xml:space="preserve">https://forganica.com/products/pigmentation-glow-trio</t>
  </si>
  <si>
    <t xml:space="preserve">Pigmentation = #1 PK skin concern</t>
  </si>
  <si>
    <t xml:space="preserve">SL Basics</t>
  </si>
  <si>
    <t xml:space="preserve">Ultimate Summer Routine Kit (Premium Bundle)</t>
  </si>
  <si>
    <t xml:space="preserve">Multi-concern / summer</t>
  </si>
  <si>
    <t xml:space="preserve">Multi-step routine</t>
  </si>
  <si>
    <t xml:space="preserve">https://slbasics.com/products/ultimate-summer-routine-kit-premium-bundle</t>
  </si>
  <si>
    <t xml:space="preserve">https://slbasics.com</t>
  </si>
  <si>
    <t xml:space="preserve">Feed labels it Premium Bundle; highest-priced SKU on site</t>
  </si>
  <si>
    <t xml:space="preserve">Acne Defense Trio for Oily &amp; Blemish-Prone Skin</t>
  </si>
  <si>
    <t xml:space="preserve">Acne Care</t>
  </si>
  <si>
    <t xml:space="preserve">Salicylic acid</t>
  </si>
  <si>
    <t xml:space="preserve">https://forganica.com/products/acne-treatment-routine-for-oily-acne-prone-skin</t>
  </si>
  <si>
    <t xml:space="preserve">SEO-optimised handle</t>
  </si>
  <si>
    <t xml:space="preserve">SUN100 60+60ml Bundle</t>
  </si>
  <si>
    <t xml:space="preserve">Sunscreen</t>
  </si>
  <si>
    <t xml:space="preserve">Sun protection</t>
  </si>
  <si>
    <t xml:space="preserve">Water-based SPF</t>
  </si>
  <si>
    <t xml:space="preserve">2 x 60ml</t>
  </si>
  <si>
    <t xml:space="preserve">https://zeromakeup.com/products/sun100-60-60ml-bundle</t>
  </si>
  <si>
    <t xml:space="preserve">Rare PK-owned premium sunscreen</t>
  </si>
  <si>
    <t xml:space="preserve">2-Step Morning Duo - Textured Skin</t>
  </si>
  <si>
    <t xml:space="preserve">Texture</t>
  </si>
  <si>
    <t xml:space="preserve">Textured</t>
  </si>
  <si>
    <t xml:space="preserve">Exfoliating duo</t>
  </si>
  <si>
    <t xml:space="preserve">https://accufixcosmetics.com/products/2-step-morning-duo-textured-skin-1</t>
  </si>
  <si>
    <t xml:space="preserve">Eyesticks - Pack of 2</t>
  </si>
  <si>
    <t xml:space="preserve">Pack of 2</t>
  </si>
  <si>
    <t xml:space="preserve">https://zeromakeup.com/products/eyesticks-pack-of-2</t>
  </si>
  <si>
    <t xml:space="preserve">Signature format</t>
  </si>
  <si>
    <t xml:space="preserve">Brightening Power Deal</t>
  </si>
  <si>
    <t xml:space="preserve">Face Makeup</t>
  </si>
  <si>
    <t xml:space="preserve">Complexion</t>
  </si>
  <si>
    <t xml:space="preserve">Brightening base set</t>
  </si>
  <si>
    <t xml:space="preserve">https://www.iloveluscious.com/products/brightening-power-deal</t>
  </si>
  <si>
    <t xml:space="preserve">Acne Control Bundle</t>
  </si>
  <si>
    <t xml:space="preserve">https://conaturalintl.com/products/acne-control-bundle</t>
  </si>
  <si>
    <t xml:space="preserve">Retinol Starter Routine</t>
  </si>
  <si>
    <t xml:space="preserve">Ageing / beginners</t>
  </si>
  <si>
    <t xml:space="preserve">https://accufixcosmetics.com/products/retinol-starter-routine</t>
  </si>
  <si>
    <t xml:space="preserve">'Starter' framing solves the retinol objection</t>
  </si>
  <si>
    <t xml:space="preserve">Bling by Nadia Hussain</t>
  </si>
  <si>
    <t xml:space="preserve">Bundle #3 - Full Face Glam Kit</t>
  </si>
  <si>
    <t xml:space="preserve">https://blingbynadiahussain.com/products/bundle-3-full-face-glam-kit</t>
  </si>
  <si>
    <t xml:space="preserve">https://blingbynadiahussain.com</t>
  </si>
  <si>
    <t xml:space="preserve">Barrier Repair Kit</t>
  </si>
  <si>
    <t xml:space="preserve">Barrier repair</t>
  </si>
  <si>
    <t xml:space="preserve">Sensitive</t>
  </si>
  <si>
    <t xml:space="preserve">Ceramide / peptide routine</t>
  </si>
  <si>
    <t xml:space="preserve">https://slbasics.com/products/barrier-repair-kit</t>
  </si>
  <si>
    <t xml:space="preserve">Barrier is a rising PK search theme</t>
  </si>
  <si>
    <t xml:space="preserve">Jenpharm</t>
  </si>
  <si>
    <t xml:space="preserve">Dermive Oil Free Moisturizer - Buy 5 Get 1 Free (6 x 100ml)</t>
  </si>
  <si>
    <t xml:space="preserve">Moisturizer</t>
  </si>
  <si>
    <t xml:space="preserve">Oil-free hydration</t>
  </si>
  <si>
    <t xml:space="preserve">6 x 100ml</t>
  </si>
  <si>
    <t xml:space="preserve">https://jenpharm.com/products/jenpharm-dermive-oil-free-moisturizer-buy-5-get-1-free-pack-of-6-100ml</t>
  </si>
  <si>
    <t xml:space="preserve">https://jenpharm.com</t>
  </si>
  <si>
    <t xml:space="preserve">'dermive oil free moisturizer' 5,400/mo KD 17; brand's top organic page pulls 10,812 visits/mo</t>
  </si>
  <si>
    <t xml:space="preserve">Lip Pencils - Pack of 3</t>
  </si>
  <si>
    <t xml:space="preserve">Lip Liner</t>
  </si>
  <si>
    <t xml:space="preserve">Lip pencils</t>
  </si>
  <si>
    <t xml:space="preserve">Pack of 3</t>
  </si>
  <si>
    <t xml:space="preserve">https://zeromakeup.com/products/lip-pencils-pack-of-3</t>
  </si>
  <si>
    <t xml:space="preserve">Golden Girl / Soft Touch</t>
  </si>
  <si>
    <t xml:space="preserve">Scrub Cream (Professional 5L)</t>
  </si>
  <si>
    <t xml:space="preserve">Professional / salon</t>
  </si>
  <si>
    <t xml:space="preserve">Scrub</t>
  </si>
  <si>
    <t xml:space="preserve">5L</t>
  </si>
  <si>
    <t xml:space="preserve">https://www.goldengirlcosmetics.com/products/scrub-cream-5ltr</t>
  </si>
  <si>
    <t xml:space="preserve">https://www.goldengirlcosmetics.com</t>
  </si>
  <si>
    <t xml:space="preserve">Salon/professional channel SKU</t>
  </si>
  <si>
    <t xml:space="preserve">Daily Makeup Essentials</t>
  </si>
  <si>
    <t xml:space="preserve">https://conaturalintl.com/products/daily-makeup-essentials</t>
  </si>
  <si>
    <t xml:space="preserve">Beauty Sleep Duo</t>
  </si>
  <si>
    <t xml:space="preserve">Overnight repair</t>
  </si>
  <si>
    <t xml:space="preserve">Night routine</t>
  </si>
  <si>
    <t xml:space="preserve">https://kleanbeauty.co/products/hydration-pair💧</t>
  </si>
  <si>
    <t xml:space="preserve">Barrier Rescue Kit</t>
  </si>
  <si>
    <t xml:space="preserve">Barrier routine</t>
  </si>
  <si>
    <t xml:space="preserve">https://kleanbeauty.co/products/barrier-rescue-kit</t>
  </si>
  <si>
    <t xml:space="preserve">2-Step Morning Duo - All Skin Types</t>
  </si>
  <si>
    <t xml:space="preserve">Multi-concern</t>
  </si>
  <si>
    <t xml:space="preserve">AM routine</t>
  </si>
  <si>
    <t xml:space="preserve">https://accufixcosmetics.com/products/best-2-step-morning-duo-all-skin-types-1</t>
  </si>
  <si>
    <t xml:space="preserve">Handle is already SEO-optimised</t>
  </si>
  <si>
    <t xml:space="preserve">Summer Glow Kit</t>
  </si>
  <si>
    <t xml:space="preserve">Dullness / glow</t>
  </si>
  <si>
    <t xml:space="preserve">https://slbasics.com/products/summer-glow-kit</t>
  </si>
  <si>
    <t xml:space="preserve">Merchandised as a seasonal hero kit</t>
  </si>
  <si>
    <t xml:space="preserve">Summer Skincare Kit</t>
  </si>
  <si>
    <t xml:space="preserve">Summer / sun</t>
  </si>
  <si>
    <t xml:space="preserve">Summer routine</t>
  </si>
  <si>
    <t xml:space="preserve">https://conaturalintl.com/products/summer-skincare-kit</t>
  </si>
  <si>
    <t xml:space="preserve">Lip &amp; Cheek Set</t>
  </si>
  <si>
    <t xml:space="preserve">Lip &amp; Cheek</t>
  </si>
  <si>
    <t xml:space="preserve">Lips / cheeks</t>
  </si>
  <si>
    <t xml:space="preserve">Lip + cheek</t>
  </si>
  <si>
    <t xml:space="preserve">https://www.iloveluscious.com/products/lip-cheek-set</t>
  </si>
  <si>
    <t xml:space="preserve">Bestselling Body Duo</t>
  </si>
  <si>
    <t xml:space="preserve">Body hydration</t>
  </si>
  <si>
    <t xml:space="preserve">Dry</t>
  </si>
  <si>
    <t xml:space="preserve">Body duo</t>
  </si>
  <si>
    <t xml:space="preserve">https://accufixcosmetics.com/products/basic-body-care-bundle</t>
  </si>
  <si>
    <t xml:space="preserve">Feed calls it 'Bestselling'</t>
  </si>
  <si>
    <t xml:space="preserve">Hydrate &amp; Protect Duo</t>
  </si>
  <si>
    <t xml:space="preserve">Hydration + SPF</t>
  </si>
  <si>
    <t xml:space="preserve">HA + SPF</t>
  </si>
  <si>
    <t xml:space="preserve">https://forganica.com/products/hydrate-protect-duo</t>
  </si>
  <si>
    <t xml:space="preserve">Texture Renewal Duo</t>
  </si>
  <si>
    <t xml:space="preserve">Glycolic acid</t>
  </si>
  <si>
    <t xml:space="preserve">https://forganica.com/products/texture-renewal-duo</t>
  </si>
  <si>
    <t xml:space="preserve">Summer Acne Defense Kit</t>
  </si>
  <si>
    <t xml:space="preserve">Salicylic-led routine</t>
  </si>
  <si>
    <t xml:space="preserve">https://slbasics.com/products/summer-acne-defense-kit</t>
  </si>
  <si>
    <t xml:space="preserve">Seasonal hero kit</t>
  </si>
  <si>
    <t xml:space="preserve">Ultra Cover Lip Gloss</t>
  </si>
  <si>
    <t xml:space="preserve">Lip Gloss</t>
  </si>
  <si>
    <t xml:space="preserve">Pigmented gloss</t>
  </si>
  <si>
    <t xml:space="preserve">Tube</t>
  </si>
  <si>
    <t xml:space="preserve">https://zeromakeup.com/products/ultra-cover-lip-gloss</t>
  </si>
  <si>
    <t xml:space="preserve">Wonder Glass Set Deal</t>
  </si>
  <si>
    <t xml:space="preserve">Glow / complexion</t>
  </si>
  <si>
    <t xml:space="preserve">Glass-skin base</t>
  </si>
  <si>
    <t xml:space="preserve">https://www.iloveluscious.com/products/wonder-glass-set-deal</t>
  </si>
  <si>
    <t xml:space="preserve">Sun Protection Set</t>
  </si>
  <si>
    <t xml:space="preserve">SPF 60</t>
  </si>
  <si>
    <t xml:space="preserve">https://conaturalintl.com/products/sun-protection-set</t>
  </si>
  <si>
    <t xml:space="preserve">Brand ranks nationally for sunscreen terms</t>
  </si>
  <si>
    <t xml:space="preserve">Best Matte Lipgloss Kit (Pack of 6)</t>
  </si>
  <si>
    <t xml:space="preserve">Matte gloss</t>
  </si>
  <si>
    <t xml:space="preserve">Pack of 6</t>
  </si>
  <si>
    <t xml:space="preserve">https://www.kashees.com/products/best-matte-lipgloss-kit-pack-of-6</t>
  </si>
  <si>
    <t xml:space="preserve">Brightening Base SPF 45</t>
  </si>
  <si>
    <t xml:space="preserve">Primer / Base</t>
  </si>
  <si>
    <t xml:space="preserve">Complexion + SPF</t>
  </si>
  <si>
    <t xml:space="preserve">SPF 45 base</t>
  </si>
  <si>
    <t xml:space="preserve">https://www.iloveluscious.com/products/brightening-base</t>
  </si>
  <si>
    <t xml:space="preserve">SPF-in-makeup is a real PK gap</t>
  </si>
  <si>
    <t xml:space="preserve">Glow Up</t>
  </si>
  <si>
    <t xml:space="preserve">https://slbasics.com/products/glow-up</t>
  </si>
  <si>
    <t xml:space="preserve">Named bundle, prominent placement</t>
  </si>
  <si>
    <t xml:space="preserve">Acne Action</t>
  </si>
  <si>
    <t xml:space="preserve">Acne actives</t>
  </si>
  <si>
    <t xml:space="preserve">https://kleanbeauty.co/products/acne-action</t>
  </si>
  <si>
    <t xml:space="preserve">Bundle #1 - Glow Up Kit</t>
  </si>
  <si>
    <t xml:space="preserve">Glow makeup</t>
  </si>
  <si>
    <t xml:space="preserve">https://blingbynadiahussain.com/products/bundle-1-glow-up-kit</t>
  </si>
  <si>
    <t xml:space="preserve">BioRegenesis Serum</t>
  </si>
  <si>
    <t xml:space="preserve">Ageing / repair</t>
  </si>
  <si>
    <t xml:space="preserve">Growth-factor style complex</t>
  </si>
  <si>
    <t xml:space="preserve">https://accufixcosmetics.com/products/bioregenesis-serum</t>
  </si>
  <si>
    <t xml:space="preserve">Premium single-serum anchor</t>
  </si>
  <si>
    <t xml:space="preserve">Hyperpigmentation Care Duo (Vitamin C + Sunscreen)</t>
  </si>
  <si>
    <t xml:space="preserve">Vitamin C + SPF</t>
  </si>
  <si>
    <t xml:space="preserve">https://forganica.com/products/hyperpigmentation-care-duo</t>
  </si>
  <si>
    <t xml:space="preserve">Correct clinical pairing - strong education hook</t>
  </si>
  <si>
    <t xml:space="preserve">Masarrat Misbah Makeup</t>
  </si>
  <si>
    <t xml:space="preserve">Cherry Cola Lip Combo with Love</t>
  </si>
  <si>
    <t xml:space="preserve">Lip combo</t>
  </si>
  <si>
    <t xml:space="preserve">https://masarratmakeup.com/products/cherry-cola-lip-combo-1</t>
  </si>
  <si>
    <t xml:space="preserve">https://masarratmakeup.com</t>
  </si>
  <si>
    <t xml:space="preserve">Golden Pearl</t>
  </si>
  <si>
    <t xml:space="preserve">Pack of 2 Brightening Rice Skincare Kit</t>
  </si>
  <si>
    <t xml:space="preserve">Rice extract</t>
  </si>
  <si>
    <t xml:space="preserve">https://goldenpearl.com.pk/products/pack-of-2-brightening-rice-skincare-kit</t>
  </si>
  <si>
    <t xml:space="preserve">https://goldenpearl.com.pk</t>
  </si>
  <si>
    <t xml:space="preserve">'golden pearl cream' 6,600/mo, 'rice face wash' 4,400/mo KD 13</t>
  </si>
  <si>
    <t xml:space="preserve">Eyeshadow Palette</t>
  </si>
  <si>
    <t xml:space="preserve">Pressed shadows</t>
  </si>
  <si>
    <t xml:space="preserve">Palette</t>
  </si>
  <si>
    <t xml:space="preserve">https://masarratmakeup.com/products/eyeshadow-palette</t>
  </si>
  <si>
    <t xml:space="preserve">Palette is the brand's signature</t>
  </si>
  <si>
    <t xml:space="preserve">The Flawless Filter Duo</t>
  </si>
  <si>
    <t xml:space="preserve">Base duo</t>
  </si>
  <si>
    <t xml:space="preserve">https://masarratmakeup.com/products/the-flawless-filter-duo</t>
  </si>
  <si>
    <t xml:space="preserve">The Saffron Set</t>
  </si>
  <si>
    <t xml:space="preserve">Saffron</t>
  </si>
  <si>
    <t xml:space="preserve">https://slbasics.com/products/the-saffron-set</t>
  </si>
  <si>
    <t xml:space="preserve">Saffron = strong local ingredient story</t>
  </si>
  <si>
    <t xml:space="preserve">Acne &amp; Pore Control Duo</t>
  </si>
  <si>
    <t xml:space="preserve">Acne / pores</t>
  </si>
  <si>
    <t xml:space="preserve">Salicylic / niacinamide</t>
  </si>
  <si>
    <t xml:space="preserve">https://forganica.com/products/acne-pore-control-duo</t>
  </si>
  <si>
    <t xml:space="preserve">Lip Pigmentation Bundle</t>
  </si>
  <si>
    <t xml:space="preserve">Lip Care</t>
  </si>
  <si>
    <t xml:space="preserve">Dark lips</t>
  </si>
  <si>
    <t xml:space="preserve">Lip actives</t>
  </si>
  <si>
    <t xml:space="preserve">https://accufixcosmetics.com/products/dark-lips-treatment-bundle</t>
  </si>
  <si>
    <t xml:space="preserve">Dark-lips is a genuinely unmet PK concern</t>
  </si>
  <si>
    <t xml:space="preserve">Shadow Liner</t>
  </si>
  <si>
    <t xml:space="preserve">Eyeliner</t>
  </si>
  <si>
    <t xml:space="preserve">Eye definition</t>
  </si>
  <si>
    <t xml:space="preserve">Shadow liner</t>
  </si>
  <si>
    <t xml:space="preserve">Stick</t>
  </si>
  <si>
    <t xml:space="preserve">https://zeromakeup.com/products/shadow-liner</t>
  </si>
  <si>
    <t xml:space="preserve">The Glass Skin Refiner</t>
  </si>
  <si>
    <t xml:space="preserve">Texture / glow</t>
  </si>
  <si>
    <t xml:space="preserve">Refining actives</t>
  </si>
  <si>
    <t xml:space="preserve">https://accufixcosmetics.com/products/best-serum-for-glass-skin</t>
  </si>
  <si>
    <t xml:space="preserve">Handle targets 'best serum for glass skin'</t>
  </si>
  <si>
    <t xml:space="preserve">Color Studio Professional</t>
  </si>
  <si>
    <t xml:space="preserve">Nudist Classic Beige N30 Foundation</t>
  </si>
  <si>
    <t xml:space="preserve">https://www.colorstudiopro.com/products/nudist-classic-beige-n30-foundation</t>
  </si>
  <si>
    <t xml:space="preserve">https://www.colorstudiopro.com</t>
  </si>
  <si>
    <t xml:space="preserve">PKR 1bn valuation Dec-2024; strongest PK colour-cosmetics distribution</t>
  </si>
  <si>
    <t xml:space="preserve">Brightening Barrier Duo</t>
  </si>
  <si>
    <t xml:space="preserve">Brightening + barrier</t>
  </si>
  <si>
    <t xml:space="preserve">https://kleanbeauty.co/products/skin-transformation-duo</t>
  </si>
  <si>
    <t xml:space="preserve">SUN100 Water-Based Sunscreen</t>
  </si>
  <si>
    <t xml:space="preserve">60ml</t>
  </si>
  <si>
    <t xml:space="preserve">https://zeromakeup.com/products/sun100-sunscreen</t>
  </si>
  <si>
    <t xml:space="preserve">'best sunscreen in pakistan' 4,400/mo KD 14</t>
  </si>
  <si>
    <t xml:space="preserve">Ultra Wear Foundation</t>
  </si>
  <si>
    <t xml:space="preserve">Coverage / longwear</t>
  </si>
  <si>
    <t xml:space="preserve">Long-wear foundation</t>
  </si>
  <si>
    <t xml:space="preserve">https://masarratmakeup.com/products/ultra-wear-flawless-foundation</t>
  </si>
  <si>
    <t xml:space="preserve">'foundation makeup' 1,600/mo; PK bridal demand</t>
  </si>
  <si>
    <t xml:space="preserve">Lip Gloss Fruit (Pack of 6)</t>
  </si>
  <si>
    <t xml:space="preserve">Fruit gloss</t>
  </si>
  <si>
    <t xml:space="preserve">https://www.kashees.com/products/lip-gloss-fruit</t>
  </si>
  <si>
    <t xml:space="preserve">AccuPair Skin Barrier Repair Cream with Ceramides</t>
  </si>
  <si>
    <t xml:space="preserve">Ceramides</t>
  </si>
  <si>
    <t xml:space="preserve">Jar</t>
  </si>
  <si>
    <t xml:space="preserve">https://accufixcosmetics.com/products/best-ceramide-moisturiser-for-strong-skin-barrier</t>
  </si>
  <si>
    <t xml:space="preserve">SEO-optimised handle; ceramide gap in PK</t>
  </si>
  <si>
    <t xml:space="preserve">3-Step Budget Routine</t>
  </si>
  <si>
    <t xml:space="preserve">Core routine</t>
  </si>
  <si>
    <t xml:space="preserve">https://accufixcosmetics.com/products/budget-friendly-skincare-bundle</t>
  </si>
  <si>
    <t xml:space="preserve">Better Than Ubtan Face &amp; Body Scrub 120g</t>
  </si>
  <si>
    <t xml:space="preserve">Dullness / tan</t>
  </si>
  <si>
    <t xml:space="preserve">Ubtan botanicals</t>
  </si>
  <si>
    <t xml:space="preserve">120g</t>
  </si>
  <si>
    <t xml:space="preserve">https://conaturalintl.com/products/better-than-ubtan-face-and-body-scrub-120g-clearance-sale-flat-40-off</t>
  </si>
  <si>
    <t xml:space="preserve">Ubtan = strongest local-heritage ingredient story</t>
  </si>
  <si>
    <t xml:space="preserve">Eyesticks</t>
  </si>
  <si>
    <t xml:space="preserve">https://zeromakeup.com/products/eyesticks-1</t>
  </si>
  <si>
    <t xml:space="preserve">Signature format, most-repeated SKU</t>
  </si>
  <si>
    <t xml:space="preserve">Bakuchiol Advanced Correcting Serum</t>
  </si>
  <si>
    <t xml:space="preserve">Ageing (retinol alternative)</t>
  </si>
  <si>
    <t xml:space="preserve">Bakuchiol</t>
  </si>
  <si>
    <t xml:space="preserve">https://kleanbeauty.co/products/bakuchiol-advanced-correcting-serum</t>
  </si>
  <si>
    <t xml:space="preserve">Bakuchiol = near-zero PK competition</t>
  </si>
  <si>
    <t xml:space="preserve">Barrier Boost Duo</t>
  </si>
  <si>
    <t xml:space="preserve">Barrier duo</t>
  </si>
  <si>
    <t xml:space="preserve">https://kleanbeauty.co/products/hydro-glow✨</t>
  </si>
  <si>
    <t xml:space="preserve">The Strawberry Suite</t>
  </si>
  <si>
    <t xml:space="preserve">Brightening / texture</t>
  </si>
  <si>
    <t xml:space="preserve">Strawberry AHA</t>
  </si>
  <si>
    <t xml:space="preserve">https://slbasics.com/products/the-strawberry-suite</t>
  </si>
  <si>
    <t xml:space="preserve">Fruit-acid range, repeat SKU family</t>
  </si>
  <si>
    <t xml:space="preserve">The Orange Suite</t>
  </si>
  <si>
    <t xml:space="preserve">Dullness / vitamin C</t>
  </si>
  <si>
    <t xml:space="preserve">Orange / vitamin C</t>
  </si>
  <si>
    <t xml:space="preserve">https://slbasics.com/products/the-orange-suite</t>
  </si>
  <si>
    <t xml:space="preserve">Fruit-acid range</t>
  </si>
  <si>
    <t xml:space="preserve">White Mask (Brightening Facial Mask)</t>
  </si>
  <si>
    <t xml:space="preserve">Face Mask</t>
  </si>
  <si>
    <t xml:space="preserve">Brightening clays</t>
  </si>
  <si>
    <t xml:space="preserve">https://conaturalintl.com/products/white-mask-face-brightening-mask-facial-mask</t>
  </si>
  <si>
    <t xml:space="preserve">Maps to 'whitening serum' 2,400/mo KD 9</t>
  </si>
  <si>
    <t xml:space="preserve">Soft Girl Duo</t>
  </si>
  <si>
    <t xml:space="preserve">Cream duo</t>
  </si>
  <si>
    <t xml:space="preserve">https://masarratmakeup.com/products/soft-girl-duo</t>
  </si>
  <si>
    <t xml:space="preserve">Cherry Cola Lip Combo</t>
  </si>
  <si>
    <t xml:space="preserve">https://masarratmakeup.com/products/cherry-cola-lip-combo-2</t>
  </si>
  <si>
    <t xml:space="preserve">Peptide + Hyaluronic Moisture Cream</t>
  </si>
  <si>
    <t xml:space="preserve">Hydration / fine lines</t>
  </si>
  <si>
    <t xml:space="preserve">Dry / normal</t>
  </si>
  <si>
    <t xml:space="preserve">Peptides, hyaluronic acid</t>
  </si>
  <si>
    <t xml:space="preserve">https://slbasics.com/products/peptide-hyaluronic-moisture-cream</t>
  </si>
  <si>
    <t xml:space="preserve">Actives-led hero single</t>
  </si>
  <si>
    <t xml:space="preserve">Glass Skin Sleeping Mask - Overnight Hydrating Gel Mask</t>
  </si>
  <si>
    <t xml:space="preserve">Hydration / glow</t>
  </si>
  <si>
    <t xml:space="preserve">Hydrating gel</t>
  </si>
  <si>
    <t xml:space="preserve">https://kleanbeauty.co/products/glass-skin-sleeping-mask</t>
  </si>
  <si>
    <t xml:space="preserve">'Glass skin' trend term, low PK supply</t>
  </si>
  <si>
    <t xml:space="preserve">Multi-Peptide Serum for Wrinkles &amp; Fine Lines</t>
  </si>
  <si>
    <t xml:space="preserve">Multi-peptides</t>
  </si>
  <si>
    <t xml:space="preserve">https://forganica.com/products/peptide-repair-serum</t>
  </si>
  <si>
    <t xml:space="preserve">Peptides under-supplied in PK</t>
  </si>
  <si>
    <t xml:space="preserve">Matte Luxe Duo Box</t>
  </si>
  <si>
    <t xml:space="preserve">Lipstick</t>
  </si>
  <si>
    <t xml:space="preserve">Matte lipsticks</t>
  </si>
  <si>
    <t xml:space="preserve">Box of 2</t>
  </si>
  <si>
    <t xml:space="preserve">https://masarratmakeup.com/products/box-of-2-matte-luxe</t>
  </si>
  <si>
    <t xml:space="preserve">'matte lipstick' cluster</t>
  </si>
  <si>
    <t xml:space="preserve">Encapsulated Salicylic Acid &amp; Niacinamide Serum</t>
  </si>
  <si>
    <t xml:space="preserve">Salicylic acid, niacinamide</t>
  </si>
  <si>
    <t xml:space="preserve">https://accufixcosmetics.com/products/encapsulated-salicylic-acid-niacinamide-serum</t>
  </si>
  <si>
    <t xml:space="preserve">Two of PK's biggest actives in one SKU</t>
  </si>
  <si>
    <t xml:space="preserve">Contour Powder</t>
  </si>
  <si>
    <t xml:space="preserve">Contour</t>
  </si>
  <si>
    <t xml:space="preserve">Face sculpting</t>
  </si>
  <si>
    <t xml:space="preserve">Pressed powder</t>
  </si>
  <si>
    <t xml:space="preserve">Compact</t>
  </si>
  <si>
    <t xml:space="preserve">https://conaturalintl.com/products/contour-powder</t>
  </si>
  <si>
    <t xml:space="preserve">Contour under-supplied by PK brands</t>
  </si>
  <si>
    <t xml:space="preserve">Goat Milk &amp; Niacinamide Lotion</t>
  </si>
  <si>
    <t xml:space="preserve">Body Lotion</t>
  </si>
  <si>
    <t xml:space="preserve">Goat milk, niacinamide</t>
  </si>
  <si>
    <t xml:space="preserve">Bottle</t>
  </si>
  <si>
    <t xml:space="preserve">https://blingbynadiahussain.com/products/nadia-hussain-goat-milk-niacinamide-lotion</t>
  </si>
  <si>
    <t xml:space="preserve">Niacinamide body lotion - clear white space</t>
  </si>
  <si>
    <t xml:space="preserve">Kojic Acid &amp; Collagen Lotion</t>
  </si>
  <si>
    <t xml:space="preserve">Body pigmentation</t>
  </si>
  <si>
    <t xml:space="preserve">Kojic acid, collagen</t>
  </si>
  <si>
    <t xml:space="preserve">https://blingbynadiahussain.com/products/nadia-hussain-kojic-acid-collagen-lotion</t>
  </si>
  <si>
    <t xml:space="preserve">'kojic acid serum' 1,300/mo shows active demand</t>
  </si>
  <si>
    <t xml:space="preserve">Vitamin C &amp; Glutathione Lotion</t>
  </si>
  <si>
    <t xml:space="preserve">Vitamin C, glutathione</t>
  </si>
  <si>
    <t xml:space="preserve">https://blingbynadiahussain.com/products/nadia-hussain-vitamin-c-glutathione-lotion</t>
  </si>
  <si>
    <t xml:space="preserve">Glutathione is a huge PK brightening term</t>
  </si>
  <si>
    <t xml:space="preserve">Vitamin E &amp; Argan Oil Lotion</t>
  </si>
  <si>
    <t xml:space="preserve">Body dryness</t>
  </si>
  <si>
    <t xml:space="preserve">Vitamin E, argan oil</t>
  </si>
  <si>
    <t xml:space="preserve">https://blingbynadiahussain.com/products/nadia-hussain-vitamin-e-argan-oil-lotion</t>
  </si>
  <si>
    <t xml:space="preserve">Derma Techno (Neuage / U-Veil)</t>
  </si>
  <si>
    <t xml:space="preserve">Hajj / Umrah Essential Kit</t>
  </si>
  <si>
    <t xml:space="preserve">SPF-led kit</t>
  </si>
  <si>
    <t xml:space="preserve">https://dermatechno.com/products/hajj-umrah-essential-kit</t>
  </si>
  <si>
    <t xml:space="preserve">https://dermatechno.com</t>
  </si>
  <si>
    <t xml:space="preserve">'u veil sunscreen' 720/mo KD 12</t>
  </si>
  <si>
    <t xml:space="preserve">Summer Skin Rescue Kit (Best Seller Bundle)</t>
  </si>
  <si>
    <t xml:space="preserve">Barrier / repair</t>
  </si>
  <si>
    <t xml:space="preserve">https://slbasics.com/products/summer-skin-rescue-kit-best-seller-bundle</t>
  </si>
  <si>
    <t xml:space="preserve">Feed title explicitly says 'Best Seller Bundle'</t>
  </si>
  <si>
    <t xml:space="preserve">Vince Care</t>
  </si>
  <si>
    <t xml:space="preserve">Face &amp; Lips Protection Combo</t>
  </si>
  <si>
    <t xml:space="preserve">Sun + lips</t>
  </si>
  <si>
    <t xml:space="preserve">SPF + lip care</t>
  </si>
  <si>
    <t xml:space="preserve">Combo</t>
  </si>
  <si>
    <t xml:space="preserve">https://vincecare.com/products/face-and-lips-protection-combo</t>
  </si>
  <si>
    <t xml:space="preserve">https://vincecare.com</t>
  </si>
  <si>
    <t xml:space="preserve">Brand ranks nationally for 'vince face wash' 3,600/mo</t>
  </si>
  <si>
    <t xml:space="preserve">Take Off Trio</t>
  </si>
  <si>
    <t xml:space="preserve">Cleanser</t>
  </si>
  <si>
    <t xml:space="preserve">Makeup removal</t>
  </si>
  <si>
    <t xml:space="preserve">Cleansing trio</t>
  </si>
  <si>
    <t xml:space="preserve">https://kleanbeauty.co/products/take-off-trio</t>
  </si>
  <si>
    <t xml:space="preserve">Silymarin Antioxidant Serum</t>
  </si>
  <si>
    <t xml:space="preserve">Blemishes / antioxidant</t>
  </si>
  <si>
    <t xml:space="preserve">Oily / blemish-prone</t>
  </si>
  <si>
    <t xml:space="preserve">Silymarin, vitamin C</t>
  </si>
  <si>
    <t xml:space="preserve">https://forganica.com/products/silymarin-antioxidant-serum-vitamin-c-serum-for-oily-and-blemish-prone-skin</t>
  </si>
  <si>
    <t xml:space="preserve">Differentiated active - almost no PK competition</t>
  </si>
  <si>
    <t xml:space="preserve">Dermive Urea Economy Pack</t>
  </si>
  <si>
    <t xml:space="preserve">Dryness / KP</t>
  </si>
  <si>
    <t xml:space="preserve">Very dry</t>
  </si>
  <si>
    <t xml:space="preserve">Urea</t>
  </si>
  <si>
    <t xml:space="preserve">Economy pack</t>
  </si>
  <si>
    <t xml:space="preserve">https://jenpharm.com/products/dermive-urea-economy-pack</t>
  </si>
  <si>
    <t xml:space="preserve">'dermive moisturizer' 6,600/mo</t>
  </si>
  <si>
    <t xml:space="preserve">Peptide Complex Serum</t>
  </si>
  <si>
    <t xml:space="preserve">Peptide complex</t>
  </si>
  <si>
    <t xml:space="preserve">https://kleanbeauty.co/products/peptide-complex-serum</t>
  </si>
  <si>
    <t xml:space="preserve">Oat Lipid &amp; Ceramides Body Wash</t>
  </si>
  <si>
    <t xml:space="preserve">Body Wash</t>
  </si>
  <si>
    <t xml:space="preserve">Dryness</t>
  </si>
  <si>
    <t xml:space="preserve">Dry / sensitive</t>
  </si>
  <si>
    <t xml:space="preserve">Oat lipids, ceramides</t>
  </si>
  <si>
    <t xml:space="preserve">https://accufixcosmetics.com/products/best-hydrating-body-wash-for-dry-skin</t>
  </si>
  <si>
    <t xml:space="preserve">GlycoCell 7% Glycolic Acid Toner</t>
  </si>
  <si>
    <t xml:space="preserve">Toner</t>
  </si>
  <si>
    <t xml:space="preserve">Texture / dullness</t>
  </si>
  <si>
    <t xml:space="preserve">7% glycolic acid</t>
  </si>
  <si>
    <t xml:space="preserve">https://forganica.com/products/glycolic-acid-toner</t>
  </si>
  <si>
    <t xml:space="preserve">Maps to 'glycolic acid toner' 3,600/mo KD 13</t>
  </si>
  <si>
    <t xml:space="preserve">SPF 50 Sunscreen</t>
  </si>
  <si>
    <t xml:space="preserve">SPF 50</t>
  </si>
  <si>
    <t xml:space="preserve">https://forganica.com/products/sunblock-with-spf-50</t>
  </si>
  <si>
    <t xml:space="preserve">Sunscreen = 6,600/mo head term, KD 18</t>
  </si>
  <si>
    <t xml:space="preserve">Hyaluro Boost Serum</t>
  </si>
  <si>
    <t xml:space="preserve">Dehydration</t>
  </si>
  <si>
    <t xml:space="preserve">Hyaluronic acid</t>
  </si>
  <si>
    <t xml:space="preserve">https://forganica.com/products/hyaluronic-acid-serum</t>
  </si>
  <si>
    <t xml:space="preserve">'hyaluronic acid serum' 5,400/mo KD 22</t>
  </si>
  <si>
    <t xml:space="preserve">Acne Clarifying Serum</t>
  </si>
  <si>
    <t xml:space="preserve">https://forganica.com/products/salicylic-acid-serum-for-acne</t>
  </si>
  <si>
    <t xml:space="preserve">'salicylic acid serum' 4,400/mo KD 16</t>
  </si>
  <si>
    <t xml:space="preserve">C Bright Serum</t>
  </si>
  <si>
    <t xml:space="preserve">Pigmentation / dullness</t>
  </si>
  <si>
    <t xml:space="preserve">Vitamin C</t>
  </si>
  <si>
    <t xml:space="preserve">https://slbasics.com/products/c-bright-serum</t>
  </si>
  <si>
    <t xml:space="preserve">Maps to 'vitamin c serum' 12,100/mo cluster</t>
  </si>
  <si>
    <t xml:space="preserve">LipidCleanse Oil-to-Milk Cleanser</t>
  </si>
  <si>
    <t xml:space="preserve">Cleansing oil</t>
  </si>
  <si>
    <t xml:space="preserve">https://forganica.com/products/oil-to-milk-cleanser</t>
  </si>
  <si>
    <t xml:space="preserve">Double-cleanse education gap in PK</t>
  </si>
  <si>
    <t xml:space="preserve">Dynamic Duo</t>
  </si>
  <si>
    <t xml:space="preserve">Two-step routine</t>
  </si>
  <si>
    <t xml:space="preserve">https://slbasics.com/products/dynamic-duo</t>
  </si>
  <si>
    <t xml:space="preserve">Entry bundle</t>
  </si>
  <si>
    <t xml:space="preserve">Basic B</t>
  </si>
  <si>
    <t xml:space="preserve">https://slbasics.com/products/basic-b</t>
  </si>
  <si>
    <t xml:space="preserve">BB Cream</t>
  </si>
  <si>
    <t xml:space="preserve">Light coverage</t>
  </si>
  <si>
    <t xml:space="preserve">BB cream</t>
  </si>
  <si>
    <t xml:space="preserve">https://masarratmakeup.com/products/bb-cream</t>
  </si>
  <si>
    <t xml:space="preserve">Hydra Serum</t>
  </si>
  <si>
    <t xml:space="preserve">https://slbasics.com/products/hydra-serum</t>
  </si>
  <si>
    <t xml:space="preserve">Serum category = highest PK search demand</t>
  </si>
  <si>
    <t xml:space="preserve">Fresh Glow Facial Trio</t>
  </si>
  <si>
    <t xml:space="preserve">Glow</t>
  </si>
  <si>
    <t xml:space="preserve">Facial trio</t>
  </si>
  <si>
    <t xml:space="preserve">https://www.goldengirlcosmetics.com/products/fresh-glow-facial-trio-bundle</t>
  </si>
  <si>
    <t xml:space="preserve">Honey Suite</t>
  </si>
  <si>
    <t xml:space="preserve">Hydration</t>
  </si>
  <si>
    <t xml:space="preserve">Honey</t>
  </si>
  <si>
    <t xml:space="preserve">https://slbasics.com/products/honey-suite</t>
  </si>
  <si>
    <t xml:space="preserve">Toners Trio</t>
  </si>
  <si>
    <t xml:space="preserve">Texture / pores</t>
  </si>
  <si>
    <t xml:space="preserve">Multi-acid toners</t>
  </si>
  <si>
    <t xml:space="preserve">https://slbasics.com/products/toners-trio</t>
  </si>
  <si>
    <t xml:space="preserve">Toner cluster is very low KD in PK</t>
  </si>
  <si>
    <t xml:space="preserve">Lemon Suite</t>
  </si>
  <si>
    <t xml:space="preserve">Lemon / vitamin C</t>
  </si>
  <si>
    <t xml:space="preserve">https://slbasics.com/products/lemon-suite</t>
  </si>
  <si>
    <t xml:space="preserve">Teenage Dream</t>
  </si>
  <si>
    <t xml:space="preserve">Acne / teen skin</t>
  </si>
  <si>
    <t xml:space="preserve">Teen routine</t>
  </si>
  <si>
    <t xml:space="preserve">https://slbasics.com/products/teenage-dream</t>
  </si>
  <si>
    <t xml:space="preserve">Distinct teen positioning - rare in PK</t>
  </si>
  <si>
    <t xml:space="preserve">2 For 2k | Facewash</t>
  </si>
  <si>
    <t xml:space="preserve">Cleanser duo</t>
  </si>
  <si>
    <t xml:space="preserve">2 x bottle</t>
  </si>
  <si>
    <t xml:space="preserve">https://slbasics.com/products/2-for-2k-facewash</t>
  </si>
  <si>
    <t xml:space="preserve">Price-point promo SKU</t>
  </si>
  <si>
    <t xml:space="preserve">Verified products at PKR 2,000 or above</t>
  </si>
  <si>
    <t xml:space="preserve">Distinct verified Pakistani brands</t>
  </si>
  <si>
    <t xml:space="preserve">Lowest price (PKR)</t>
  </si>
  <si>
    <t xml:space="preserve">Average price (PKR)</t>
  </si>
  <si>
    <t xml:space="preserve">Median price (PKR)</t>
  </si>
  <si>
    <t xml:space="preserve">Highest price (PKR)</t>
  </si>
  <si>
    <t xml:space="preserve">Skincare SKUs</t>
  </si>
  <si>
    <t xml:space="preserve">Body skincare SKUs</t>
  </si>
  <si>
    <t xml:space="preserve">Cosmetics SKUs</t>
  </si>
  <si>
    <t xml:space="preserve">SKUs with hard best-seller evidence (score &gt;= 70)</t>
  </si>
  <si>
    <t xml:space="preserve">Price-floor check — SKUs below PKR 2,000 (must be 0)</t>
  </si>
  <si>
    <t xml:space="preserve">Prices read live from each brand's own product feed, August 2026, in PKR before discount. Rating and review counts are not exposed by these feeds. Skin concern, skin type and ingredients are inferred from the product name where the feed did not state them.</t>
  </si>
  <si>
    <t xml:space="preserve">#</t>
  </si>
  <si>
    <t xml:space="preserve">Keyword</t>
  </si>
  <si>
    <t xml:space="preserve">Cluster</t>
  </si>
  <si>
    <t xml:space="preserve">Search Volume</t>
  </si>
  <si>
    <t xml:space="preserve">KD</t>
  </si>
  <si>
    <t xml:space="preserve">CPC (USD)</t>
  </si>
  <si>
    <t xml:space="preserve">Competitive Density</t>
  </si>
  <si>
    <t xml:space="preserve">Intent</t>
  </si>
  <si>
    <t xml:space="preserve">Country</t>
  </si>
  <si>
    <t xml:space="preserve">Difficulty Band</t>
  </si>
  <si>
    <t xml:space="preserve">Commercial Value</t>
  </si>
  <si>
    <t xml:space="preserve">Ranking URL / Top Domain</t>
  </si>
  <si>
    <t xml:space="preserve">Top Domain Authority Score</t>
  </si>
  <si>
    <t xml:space="preserve">Opportunity Score</t>
  </si>
  <si>
    <t xml:space="preserve">Recommended Page Type</t>
  </si>
  <si>
    <t xml:space="preserve">gluta white cream price in pakistan</t>
  </si>
  <si>
    <t xml:space="preserve">Commercial</t>
  </si>
  <si>
    <t xml:space="preserve">High</t>
  </si>
  <si>
    <t xml:space="preserve">Not retrieved — Semrush API units exhausted</t>
  </si>
  <si>
    <t xml:space="preserve">Not retrieved</t>
  </si>
  <si>
    <t xml:space="preserve">Product page + Product/Offer schema</t>
  </si>
  <si>
    <t xml:space="preserve">eventone c cream price in pakistan</t>
  </si>
  <si>
    <t xml:space="preserve">Informational</t>
  </si>
  <si>
    <t xml:space="preserve">Low</t>
  </si>
  <si>
    <t xml:space="preserve">skinoren cream</t>
  </si>
  <si>
    <t xml:space="preserve">Medium</t>
  </si>
  <si>
    <t xml:space="preserve">Collection page</t>
  </si>
  <si>
    <t xml:space="preserve">skin a cream</t>
  </si>
  <si>
    <t xml:space="preserve">makeup city</t>
  </si>
  <si>
    <t xml:space="preserve">Makeup</t>
  </si>
  <si>
    <t xml:space="preserve">Navigational</t>
  </si>
  <si>
    <t xml:space="preserve">Low (branded)</t>
  </si>
  <si>
    <t xml:space="preserve">Product page</t>
  </si>
  <si>
    <t xml:space="preserve">ponds face wash</t>
  </si>
  <si>
    <t xml:space="preserve">Informational/Trans</t>
  </si>
  <si>
    <t xml:space="preserve">skinoren cream price in pakistan</t>
  </si>
  <si>
    <t xml:space="preserve">Derma</t>
  </si>
  <si>
    <t xml:space="preserve">Transactional</t>
  </si>
  <si>
    <t xml:space="preserve">Very high</t>
  </si>
  <si>
    <t xml:space="preserve">triac face wash</t>
  </si>
  <si>
    <t xml:space="preserve">hydrozole cream</t>
  </si>
  <si>
    <t xml:space="preserve">gulta white cream</t>
  </si>
  <si>
    <t xml:space="preserve">tracnesan cream</t>
  </si>
  <si>
    <t xml:space="preserve">quench cream</t>
  </si>
  <si>
    <t xml:space="preserve">skin a cream price in pakistan</t>
  </si>
  <si>
    <t xml:space="preserve">barrier sunscreen</t>
  </si>
  <si>
    <t xml:space="preserve">triac face wash price in pakistan</t>
  </si>
  <si>
    <t xml:space="preserve">dermoteen cream price in pakistan</t>
  </si>
  <si>
    <t xml:space="preserve">eventone c cream</t>
  </si>
  <si>
    <t xml:space="preserve">cerave moisturizer</t>
  </si>
  <si>
    <t xml:space="preserve">Navigational/Trans</t>
  </si>
  <si>
    <t xml:space="preserve">makeup</t>
  </si>
  <si>
    <t xml:space="preserve">skin aqua sunscreen</t>
  </si>
  <si>
    <t xml:space="preserve">lumexa cream price in pakistan</t>
  </si>
  <si>
    <t xml:space="preserve">garnier face wash</t>
  </si>
  <si>
    <t xml:space="preserve">whitening cream</t>
  </si>
  <si>
    <t xml:space="preserve">biofade cream</t>
  </si>
  <si>
    <t xml:space="preserve">vitamin c serum price in pakistan</t>
  </si>
  <si>
    <t xml:space="preserve">Serum</t>
  </si>
  <si>
    <t xml:space="preserve">daraz.pk — https://www.daraz.pk/tag/vitamin-c-serum/</t>
  </si>
  <si>
    <t xml:space="preserve">Very high (marketplace)</t>
  </si>
  <si>
    <t xml:space="preserve">cerave moisturizer price in pakistan</t>
  </si>
  <si>
    <t xml:space="preserve">chalonese brightening cream price in pakistan</t>
  </si>
  <si>
    <t xml:space="preserve">ces vi brightening face wash</t>
  </si>
  <si>
    <t xml:space="preserve">nars foundation price in pakistan</t>
  </si>
  <si>
    <t xml:space="preserve">cerave face wash price in pakistan</t>
  </si>
  <si>
    <t xml:space="preserve">mec face wash</t>
  </si>
  <si>
    <t xml:space="preserve">gluta white cream</t>
  </si>
  <si>
    <t xml:space="preserve">golden pearl cream</t>
  </si>
  <si>
    <t xml:space="preserve">miss rose foundation</t>
  </si>
  <si>
    <t xml:space="preserve">golden pearl face wash</t>
  </si>
  <si>
    <t xml:space="preserve">Informational/Nav</t>
  </si>
  <si>
    <t xml:space="preserve">best vitamin c serum in pakistan</t>
  </si>
  <si>
    <t xml:space="preserve">Comparison / buying guide</t>
  </si>
  <si>
    <t xml:space="preserve">dermive moisturizer</t>
  </si>
  <si>
    <t xml:space="preserve">alpha glow cream price in pakistan</t>
  </si>
  <si>
    <t xml:space="preserve">best whitening cream in pakistan</t>
  </si>
  <si>
    <t xml:space="preserve">Informational/Comm</t>
  </si>
  <si>
    <t xml:space="preserve">maxdif cream price in pakistan</t>
  </si>
  <si>
    <t xml:space="preserve">white balance cream</t>
  </si>
  <si>
    <t xml:space="preserve">makeup organizer</t>
  </si>
  <si>
    <t xml:space="preserve">mandelac face wash</t>
  </si>
  <si>
    <t xml:space="preserve">niacinamide serum</t>
  </si>
  <si>
    <t xml:space="preserve">hair serum</t>
  </si>
  <si>
    <t xml:space="preserve">Hair</t>
  </si>
  <si>
    <t xml:space="preserve">sunscreen</t>
  </si>
  <si>
    <t xml:space="preserve">the ordinary serum price in pakistan</t>
  </si>
  <si>
    <t xml:space="preserve">masarrat misbah foundation</t>
  </si>
  <si>
    <t xml:space="preserve">ava skin care</t>
  </si>
  <si>
    <t xml:space="preserve">Category landing page</t>
  </si>
  <si>
    <t xml:space="preserve">mandelac face wash price in pakistan</t>
  </si>
  <si>
    <t xml:space="preserve">rice face wash</t>
  </si>
  <si>
    <t xml:space="preserve">emelie foundation</t>
  </si>
  <si>
    <t xml:space="preserve">medora lipstick</t>
  </si>
  <si>
    <t xml:space="preserve">jenpharm face wash</t>
  </si>
  <si>
    <t xml:space="preserve">hair growth serum</t>
  </si>
  <si>
    <t xml:space="preserve">cerave face wash</t>
  </si>
  <si>
    <t xml:space="preserve">glupatone cream</t>
  </si>
  <si>
    <t xml:space="preserve">whitening face wash</t>
  </si>
  <si>
    <t xml:space="preserve">face wash</t>
  </si>
  <si>
    <t xml:space="preserve">dermive oil free moisturizer</t>
  </si>
  <si>
    <t xml:space="preserve">best sunscreen in pakistan</t>
  </si>
  <si>
    <t xml:space="preserve">jenpharm.com — https://jenpharm.com/collections/sun-protection</t>
  </si>
  <si>
    <t xml:space="preserve">alpha glow cream</t>
  </si>
  <si>
    <t xml:space="preserve">vitamin c serum</t>
  </si>
  <si>
    <t xml:space="preserve">possible sunscreen</t>
  </si>
  <si>
    <t xml:space="preserve">cetaphil moisturizer price in pakistan</t>
  </si>
  <si>
    <t xml:space="preserve">alite face wash</t>
  </si>
  <si>
    <t xml:space="preserve">fit me foundation price in pakistan</t>
  </si>
  <si>
    <t xml:space="preserve">anagrow serum price in pakistan</t>
  </si>
  <si>
    <t xml:space="preserve">ordinary serum price in pakistan</t>
  </si>
  <si>
    <t xml:space="preserve">best face wash in pakistan</t>
  </si>
  <si>
    <t xml:space="preserve">salicylic acid face wash</t>
  </si>
  <si>
    <t xml:space="preserve">livon hair serum</t>
  </si>
  <si>
    <t xml:space="preserve">clean and clear face wash</t>
  </si>
  <si>
    <t xml:space="preserve">retinol serum</t>
  </si>
  <si>
    <t xml:space="preserve">centella serum</t>
  </si>
  <si>
    <t xml:space="preserve">ponds face wash price in pakistan</t>
  </si>
  <si>
    <t xml:space="preserve">glycolic acid toner</t>
  </si>
  <si>
    <t xml:space="preserve">salicylic acid serum</t>
  </si>
  <si>
    <t xml:space="preserve">ponds moisturizer</t>
  </si>
  <si>
    <t xml:space="preserve">himalaya face wash</t>
  </si>
  <si>
    <t xml:space="preserve">dermaxil moisturizer</t>
  </si>
  <si>
    <t xml:space="preserve">dermive moisturizer price in pakistan</t>
  </si>
  <si>
    <t xml:space="preserve">whitening serum</t>
  </si>
  <si>
    <t xml:space="preserve">livon hair serum price in pakistan</t>
  </si>
  <si>
    <t xml:space="preserve">beads face wash price in pakistan</t>
  </si>
  <si>
    <t xml:space="preserve">maxdif face wash price in pakistan</t>
  </si>
  <si>
    <t xml:space="preserve">nivea cream</t>
  </si>
  <si>
    <t xml:space="preserve">moisturizer</t>
  </si>
  <si>
    <t xml:space="preserve">beads face wash</t>
  </si>
  <si>
    <t xml:space="preserve">kashees foundation price in pakistan</t>
  </si>
  <si>
    <t xml:space="preserve">Nav/Trans</t>
  </si>
  <si>
    <t xml:space="preserve">physiogel moisturizer price in pakistan</t>
  </si>
  <si>
    <t xml:space="preserve">best face wash</t>
  </si>
  <si>
    <t xml:space="preserve">hyaluronic acid serum</t>
  </si>
  <si>
    <t xml:space="preserve">dr rashel face wash</t>
  </si>
  <si>
    <t xml:space="preserve">neobrella sunscreen</t>
  </si>
  <si>
    <t xml:space="preserve">acne clear face wash</t>
  </si>
  <si>
    <t xml:space="preserve">best retinol serum in pakistan</t>
  </si>
  <si>
    <t xml:space="preserve">niacinamide serum price in pakistan</t>
  </si>
  <si>
    <t xml:space="preserve">zenova face wash</t>
  </si>
  <si>
    <t xml:space="preserve">garnier vitamin c serum</t>
  </si>
  <si>
    <t xml:space="preserve">johnson face wash</t>
  </si>
  <si>
    <t xml:space="preserve">serum</t>
  </si>
  <si>
    <t xml:space="preserve">girls makeup</t>
  </si>
  <si>
    <t xml:space="preserve">cetaphil moisturizer</t>
  </si>
  <si>
    <t xml:space="preserve">acne face wash</t>
  </si>
  <si>
    <t xml:space="preserve">neutrogena face wash</t>
  </si>
  <si>
    <t xml:space="preserve">how to clean makeup brushes</t>
  </si>
  <si>
    <t xml:space="preserve">Blog / educational</t>
  </si>
  <si>
    <t xml:space="preserve">maybelline foundation</t>
  </si>
  <si>
    <t xml:space="preserve">vince face wash</t>
  </si>
  <si>
    <t xml:space="preserve">vitamin c face wash</t>
  </si>
  <si>
    <t xml:space="preserve">huda beauty foundation price in pakistan</t>
  </si>
  <si>
    <t xml:space="preserve">kashees foundation</t>
  </si>
  <si>
    <t xml:space="preserve">miss rose foundation price in pakistan</t>
  </si>
  <si>
    <t xml:space="preserve">loreal hair serum</t>
  </si>
  <si>
    <t xml:space="preserve">biocos serum</t>
  </si>
  <si>
    <t xml:space="preserve">cetaphil face wash</t>
  </si>
  <si>
    <t xml:space="preserve">ordinary niacinamide serum</t>
  </si>
  <si>
    <t xml:space="preserve">face wash for dry skin</t>
  </si>
  <si>
    <t xml:space="preserve">saeed ghani face wash</t>
  </si>
  <si>
    <t xml:space="preserve">best niacinamide serum in pakistan</t>
  </si>
  <si>
    <t xml:space="preserve">bremod hair serum price in pakistan</t>
  </si>
  <si>
    <t xml:space="preserve">estelin sunscreen</t>
  </si>
  <si>
    <t xml:space="preserve">glycolic acid serum</t>
  </si>
  <si>
    <t xml:space="preserve">moisturizer for dry skin</t>
  </si>
  <si>
    <t xml:space="preserve">lipstick</t>
  </si>
  <si>
    <t xml:space="preserve">loreal face wash</t>
  </si>
  <si>
    <t xml:space="preserve">medora lipstick price in pakistan</t>
  </si>
  <si>
    <t xml:space="preserve">best moisturizer in pakistan</t>
  </si>
  <si>
    <t xml:space="preserve">christine makeup</t>
  </si>
  <si>
    <t xml:space="preserve">azelaic acid cream</t>
  </si>
  <si>
    <t xml:space="preserve">dilipro sunscreen</t>
  </si>
  <si>
    <t xml:space="preserve">makeup kit</t>
  </si>
  <si>
    <t xml:space="preserve">alpha arbutin serum</t>
  </si>
  <si>
    <t xml:space="preserve">garnier vitamin c serum price in pakistan</t>
  </si>
  <si>
    <t xml:space="preserve">bremod hair serum</t>
  </si>
  <si>
    <t xml:space="preserve">retinol serum price in pakistan</t>
  </si>
  <si>
    <t xml:space="preserve">face wash for oily skin</t>
  </si>
  <si>
    <t xml:space="preserve">ordinary niacinamide serum price in pakistan</t>
  </si>
  <si>
    <t xml:space="preserve">la roche posay sunscreen</t>
  </si>
  <si>
    <t xml:space="preserve">neuage moisturizer</t>
  </si>
  <si>
    <t xml:space="preserve">medora lipstick shades</t>
  </si>
  <si>
    <t xml:space="preserve">best hair serum in pakistan</t>
  </si>
  <si>
    <t xml:space="preserve">la roche posay sunscreen price in pakistan</t>
  </si>
  <si>
    <t xml:space="preserve">swiss miss lipstick</t>
  </si>
  <si>
    <t xml:space="preserve">anagrow hair serum</t>
  </si>
  <si>
    <t xml:space="preserve">conatural face wash</t>
  </si>
  <si>
    <t xml:space="preserve">tinted sunscreen</t>
  </si>
  <si>
    <t xml:space="preserve">christine lipstick</t>
  </si>
  <si>
    <t xml:space="preserve">sunbrella sunscreen</t>
  </si>
  <si>
    <t xml:space="preserve">skin aqua moisturizer</t>
  </si>
  <si>
    <t xml:space="preserve">miss rose lipstick</t>
  </si>
  <si>
    <t xml:space="preserve">acnes face wash price in pakistan</t>
  </si>
  <si>
    <t xml:space="preserve">enzo hair serum</t>
  </si>
  <si>
    <t xml:space="preserve">medicated sunscreen</t>
  </si>
  <si>
    <t xml:space="preserve">acne aid soap</t>
  </si>
  <si>
    <t xml:space="preserve">makeup brushes</t>
  </si>
  <si>
    <t xml:space="preserve">sunscreen for oily skin</t>
  </si>
  <si>
    <t xml:space="preserve">huda beauty foundation</t>
  </si>
  <si>
    <t xml:space="preserve">dilipro sunscreen price in pakistan</t>
  </si>
  <si>
    <t xml:space="preserve">dr rashel vitamin c serum</t>
  </si>
  <si>
    <t xml:space="preserve">fit me foundation</t>
  </si>
  <si>
    <t xml:space="preserve">bioderma sunscreen</t>
  </si>
  <si>
    <t xml:space="preserve">bacno face wash</t>
  </si>
  <si>
    <t xml:space="preserve">safrin skin care</t>
  </si>
  <si>
    <t xml:space="preserve">physiogel moisturizer</t>
  </si>
  <si>
    <t xml:space="preserve">eye cream for dark circles</t>
  </si>
  <si>
    <t xml:space="preserve">Eye Care</t>
  </si>
  <si>
    <t xml:space="preserve">zero makeup</t>
  </si>
  <si>
    <t xml:space="preserve">flormar lipstick pencil</t>
  </si>
  <si>
    <t xml:space="preserve">dark spot correcting glow serum price in pakistan</t>
  </si>
  <si>
    <t xml:space="preserve">hair serum price in pakistan</t>
  </si>
  <si>
    <t xml:space="preserve">beauty of joseon sunscreen price in pakistan</t>
  </si>
  <si>
    <t xml:space="preserve">makeup box</t>
  </si>
  <si>
    <t xml:space="preserve">centella sunscreen</t>
  </si>
  <si>
    <t xml:space="preserve">sunscreen in pakistan</t>
  </si>
  <si>
    <t xml:space="preserve">sunscreen spf 50</t>
  </si>
  <si>
    <t xml:space="preserve">cetamoist moisturizer price in pakistan</t>
  </si>
  <si>
    <t xml:space="preserve">acne soap</t>
  </si>
  <si>
    <t xml:space="preserve">ponds moisturizer price in pakistan</t>
  </si>
  <si>
    <t xml:space="preserve">cerave sunscreen</t>
  </si>
  <si>
    <t xml:space="preserve">skin aqua sunscreen price in pakistan</t>
  </si>
  <si>
    <t xml:space="preserve">acne cream in pakistan</t>
  </si>
  <si>
    <t xml:space="preserve">j makeup</t>
  </si>
  <si>
    <t xml:space="preserve">cerave moisturizing cream price in pakistan</t>
  </si>
  <si>
    <t xml:space="preserve">mac lipstick price in pakistan</t>
  </si>
  <si>
    <t xml:space="preserve">urapra glycolic acid toner price in pakistan</t>
  </si>
  <si>
    <t xml:space="preserve">the ordinary serum</t>
  </si>
  <si>
    <t xml:space="preserve">skin care products</t>
  </si>
  <si>
    <t xml:space="preserve">nivea moisturizer</t>
  </si>
  <si>
    <t xml:space="preserve">vince vitamin c serum</t>
  </si>
  <si>
    <t xml:space="preserve">ethiglo face wash</t>
  </si>
  <si>
    <t xml:space="preserve">cerave sunscreen price in pakistan</t>
  </si>
  <si>
    <t xml:space="preserve">broad spectrum sunscreen</t>
  </si>
  <si>
    <t xml:space="preserve">acne serum</t>
  </si>
  <si>
    <t xml:space="preserve">dior lipstick price in pakistan</t>
  </si>
  <si>
    <t xml:space="preserve">anagrow serum</t>
  </si>
  <si>
    <t xml:space="preserve">golden pearl serum</t>
  </si>
  <si>
    <t xml:space="preserve">loreal hair serum price in pakistan</t>
  </si>
  <si>
    <t xml:space="preserve">best sunscreen for oily skin</t>
  </si>
  <si>
    <t xml:space="preserve">best sunscreen for oily skin in pakistan</t>
  </si>
  <si>
    <t xml:space="preserve">cetaphil moisturizing cream</t>
  </si>
  <si>
    <t xml:space="preserve">eye cream</t>
  </si>
  <si>
    <t xml:space="preserve">best toner for glowing skin</t>
  </si>
  <si>
    <t xml:space="preserve">lipstick shades</t>
  </si>
  <si>
    <t xml:space="preserve">nude lipstick shades</t>
  </si>
  <si>
    <t xml:space="preserve">sapphire makeup</t>
  </si>
  <si>
    <t xml:space="preserve">mistine acne clear face wash</t>
  </si>
  <si>
    <t xml:space="preserve">party makeup</t>
  </si>
  <si>
    <t xml:space="preserve">moisturizer for oily skin</t>
  </si>
  <si>
    <t xml:space="preserve">toner</t>
  </si>
  <si>
    <t xml:space="preserve">best sunscreen in pakistan with price</t>
  </si>
  <si>
    <t xml:space="preserve">best moisturizer for dry skin</t>
  </si>
  <si>
    <t xml:space="preserve">makeup revolution</t>
  </si>
  <si>
    <t xml:space="preserve">cerave eye repair cream price in pakistan</t>
  </si>
  <si>
    <t xml:space="preserve">retinol serum benefits</t>
  </si>
  <si>
    <t xml:space="preserve">tinted sunscreen in pakistan</t>
  </si>
  <si>
    <t xml:space="preserve">acne cure cream</t>
  </si>
  <si>
    <t xml:space="preserve">bridal makeup</t>
  </si>
  <si>
    <t xml:space="preserve">ceramide moisturizer</t>
  </si>
  <si>
    <t xml:space="preserve">neutrogena sunscreen</t>
  </si>
  <si>
    <t xml:space="preserve">acne cream</t>
  </si>
  <si>
    <t xml:space="preserve">rice toner</t>
  </si>
  <si>
    <t xml:space="preserve">livon serum</t>
  </si>
  <si>
    <t xml:space="preserve">ziniac serum</t>
  </si>
  <si>
    <t xml:space="preserve">neutrogena moisturizer</t>
  </si>
  <si>
    <t xml:space="preserve">best skin care products in pakistan</t>
  </si>
  <si>
    <t xml:space="preserve">conaturalintl.com — https://conaturalintl.com/collections/skincare</t>
  </si>
  <si>
    <t xml:space="preserve">mentholatum acnes face wash</t>
  </si>
  <si>
    <t xml:space="preserve">clazona lipstick</t>
  </si>
  <si>
    <t xml:space="preserve">revolution makeup</t>
  </si>
  <si>
    <t xml:space="preserve">azelaic acid serum</t>
  </si>
  <si>
    <t xml:space="preserve">hair serum for frizzy hair</t>
  </si>
  <si>
    <t xml:space="preserve">mandelic acid serum</t>
  </si>
  <si>
    <t xml:space="preserve">neutrogena sunscreen price in pakistan</t>
  </si>
  <si>
    <t xml:space="preserve">best acne cream in pakistan</t>
  </si>
  <si>
    <t xml:space="preserve">highlighter makeup</t>
  </si>
  <si>
    <t xml:space="preserve">tint makeup</t>
  </si>
  <si>
    <t xml:space="preserve">ponds gel moisturizer</t>
  </si>
  <si>
    <t xml:space="preserve">embryolisse moisturizer</t>
  </si>
  <si>
    <t xml:space="preserve">deconstruct vitamin c serum</t>
  </si>
  <si>
    <t xml:space="preserve">bioaqua acne cream</t>
  </si>
  <si>
    <t xml:space="preserve">nivea moisturizer price in pakistan</t>
  </si>
  <si>
    <t xml:space="preserve">masarrat misbah makeup</t>
  </si>
  <si>
    <t xml:space="preserve">korean skincare</t>
  </si>
  <si>
    <t xml:space="preserve">makeup pouch</t>
  </si>
  <si>
    <t xml:space="preserve">embryolisse moisturizer price in pakistan</t>
  </si>
  <si>
    <t xml:space="preserve">hydrophil moisturizing lotion</t>
  </si>
  <si>
    <t xml:space="preserve">ponds light moisturizer</t>
  </si>
  <si>
    <t xml:space="preserve">heliocare sunscreen</t>
  </si>
  <si>
    <t xml:space="preserve">huda beauty icon lipstick</t>
  </si>
  <si>
    <t xml:space="preserve">dot and key sunscreen price in pakistan</t>
  </si>
  <si>
    <t xml:space="preserve">sunscreen cream</t>
  </si>
  <si>
    <t xml:space="preserve">aqua sunscreen</t>
  </si>
  <si>
    <t xml:space="preserve">foundation makeup</t>
  </si>
  <si>
    <t xml:space="preserve">best acne cream</t>
  </si>
  <si>
    <t xml:space="preserve">primer makeup</t>
  </si>
  <si>
    <t xml:space="preserve">anti wrinkle serum</t>
  </si>
  <si>
    <t xml:space="preserve">Anti-ageing</t>
  </si>
  <si>
    <t xml:space="preserve">u veil sunscreen</t>
  </si>
  <si>
    <t xml:space="preserve">lipstick colour</t>
  </si>
  <si>
    <t xml:space="preserve">makeup bag</t>
  </si>
  <si>
    <t xml:space="preserve">spf 60 sunscreen</t>
  </si>
  <si>
    <t xml:space="preserve">cerave acne control cleanser</t>
  </si>
  <si>
    <t xml:space="preserve">rivaj lipstick</t>
  </si>
  <si>
    <t xml:space="preserve">best sunscreen for dry skin</t>
  </si>
  <si>
    <t xml:space="preserve">glycolic acid toner in pakistan</t>
  </si>
  <si>
    <t xml:space="preserve">korean sunscreen</t>
  </si>
  <si>
    <t xml:space="preserve">garnier sunscreen</t>
  </si>
  <si>
    <t xml:space="preserve">difference between sunscreen and sunblock</t>
  </si>
  <si>
    <t xml:space="preserve">acne scar care gel</t>
  </si>
  <si>
    <t xml:space="preserve">best face wash for acne in pakistan</t>
  </si>
  <si>
    <t xml:space="preserve">huda beauty lipstick</t>
  </si>
  <si>
    <t xml:space="preserve">best moisturizer for oily skin</t>
  </si>
  <si>
    <t xml:space="preserve">acne scar gel</t>
  </si>
  <si>
    <t xml:space="preserve">ysl lipstick price in pakistan</t>
  </si>
  <si>
    <t xml:space="preserve">what is a vitamin c serum</t>
  </si>
  <si>
    <t xml:space="preserve">acne clear face wash price in pakistan</t>
  </si>
  <si>
    <t xml:space="preserve">skin care products in pakistan</t>
  </si>
  <si>
    <t xml:space="preserve">acne scar cream</t>
  </si>
  <si>
    <t xml:space="preserve">best serum for glowing skin</t>
  </si>
  <si>
    <t xml:space="preserve">face serum</t>
  </si>
  <si>
    <t xml:space="preserve">niacinamide serum uses</t>
  </si>
  <si>
    <t xml:space="preserve">jenpharm moisturizer</t>
  </si>
  <si>
    <t xml:space="preserve">lipstick palette</t>
  </si>
  <si>
    <t xml:space="preserve">best vitamin c serum</t>
  </si>
  <si>
    <t xml:space="preserve">nivea sunscreen</t>
  </si>
  <si>
    <t xml:space="preserve">best moisturizer for dry skin in pakistan</t>
  </si>
  <si>
    <t xml:space="preserve">maybelline lipstick</t>
  </si>
  <si>
    <t xml:space="preserve">beauty of joseon sunscreen</t>
  </si>
  <si>
    <t xml:space="preserve">pakistani makeup</t>
  </si>
  <si>
    <t xml:space="preserve">acne care cream</t>
  </si>
  <si>
    <t xml:space="preserve">best under eye cream for dark circles</t>
  </si>
  <si>
    <t xml:space="preserve">soft touch toner</t>
  </si>
  <si>
    <t xml:space="preserve">acne plus face wash</t>
  </si>
  <si>
    <t xml:space="preserve">flormar lipstick</t>
  </si>
  <si>
    <t xml:space="preserve">oil free moisturizer</t>
  </si>
  <si>
    <t xml:space="preserve">best face wash for acne</t>
  </si>
  <si>
    <t xml:space="preserve">nude lipstick</t>
  </si>
  <si>
    <t xml:space="preserve">ponds acne face wash</t>
  </si>
  <si>
    <t xml:space="preserve">under eye cream</t>
  </si>
  <si>
    <t xml:space="preserve">sunscreen for dry skin</t>
  </si>
  <si>
    <t xml:space="preserve">mac lipstick</t>
  </si>
  <si>
    <t xml:space="preserve">eye cream in pakistan</t>
  </si>
  <si>
    <t xml:space="preserve">best toner in pakistan</t>
  </si>
  <si>
    <t xml:space="preserve">medora lipstick shades with numbers</t>
  </si>
  <si>
    <t xml:space="preserve">niacinamide serum benefits</t>
  </si>
  <si>
    <t xml:space="preserve">mineral sunscreen in pakistan</t>
  </si>
  <si>
    <t xml:space="preserve">tea tree toner</t>
  </si>
  <si>
    <t xml:space="preserve">neutrogena oil free acne wash</t>
  </si>
  <si>
    <t xml:space="preserve">medora makeup</t>
  </si>
  <si>
    <t xml:space="preserve">best skin care products</t>
  </si>
  <si>
    <t xml:space="preserve">skin care tips</t>
  </si>
  <si>
    <t xml:space="preserve">non comedogenic moisturizer</t>
  </si>
  <si>
    <t xml:space="preserve">acne gel</t>
  </si>
  <si>
    <t xml:space="preserve">hyaluronic acid serum benefits</t>
  </si>
  <si>
    <t xml:space="preserve">best eye cream for dark circles</t>
  </si>
  <si>
    <t xml:space="preserve">matte lipstick</t>
  </si>
  <si>
    <t xml:space="preserve">revlon lipstick</t>
  </si>
  <si>
    <t xml:space="preserve">skin care cream</t>
  </si>
  <si>
    <t xml:space="preserve">kojic acid serum</t>
  </si>
  <si>
    <t xml:space="preserve">cerave eye repair cream</t>
  </si>
  <si>
    <t xml:space="preserve">korean makeup</t>
  </si>
  <si>
    <t xml:space="preserve">korean skin care products</t>
  </si>
  <si>
    <t xml:space="preserve">salicylic acid toner</t>
  </si>
  <si>
    <t xml:space="preserve">eye wrinkle cream</t>
  </si>
  <si>
    <t xml:space="preserve">milk toner</t>
  </si>
  <si>
    <t xml:space="preserve">skin care face wash</t>
  </si>
  <si>
    <t xml:space="preserve">maybelline lipstick price in pakistan</t>
  </si>
  <si>
    <t xml:space="preserve">skin care brands</t>
  </si>
  <si>
    <t xml:space="preserve">under eye cream for dark circles</t>
  </si>
  <si>
    <t xml:space="preserve">best eye cream in pakistan</t>
  </si>
  <si>
    <t xml:space="preserve">dark circle eye cream price in pakistan</t>
  </si>
  <si>
    <t xml:space="preserve">sapphire lipstick</t>
  </si>
  <si>
    <t xml:space="preserve">best eye cream for dark circles in pakistan</t>
  </si>
  <si>
    <t xml:space="preserve">mineral sunscreen</t>
  </si>
  <si>
    <t xml:space="preserve">loreal lipstick</t>
  </si>
  <si>
    <t xml:space="preserve">cerave facial moisturizing lotion</t>
  </si>
  <si>
    <t xml:space="preserve">best toner</t>
  </si>
  <si>
    <t xml:space="preserve">skin care kit</t>
  </si>
  <si>
    <t xml:space="preserve">eyeloxyl eye cream</t>
  </si>
  <si>
    <t xml:space="preserve">best skin care brands in pakistan</t>
  </si>
  <si>
    <t xml:space="preserve">toner for oily skin</t>
  </si>
  <si>
    <t xml:space="preserve">face toner</t>
  </si>
  <si>
    <t xml:space="preserve">saeed ghani eye cream</t>
  </si>
  <si>
    <t xml:space="preserve">retinol eye cream</t>
  </si>
  <si>
    <t xml:space="preserve">eye cream for dark circles in pakistan</t>
  </si>
  <si>
    <t xml:space="preserve">skin care products for men</t>
  </si>
  <si>
    <t xml:space="preserve">skin care brands in pakistan</t>
  </si>
  <si>
    <t xml:space="preserve">rose water toner</t>
  </si>
  <si>
    <t xml:space="preserve">bioaqua eye cream</t>
  </si>
  <si>
    <t xml:space="preserve">cosrx advanced snail peptide eye cream</t>
  </si>
  <si>
    <t xml:space="preserve">best toner for oily skin</t>
  </si>
  <si>
    <t xml:space="preserve">pakistani skin care brands</t>
  </si>
  <si>
    <t xml:space="preserve">skin care cleanser</t>
  </si>
  <si>
    <t xml:space="preserve">men's skin care products in pakistan</t>
  </si>
  <si>
    <t xml:space="preserve">aha bha toner</t>
  </si>
  <si>
    <t xml:space="preserve">skin care products list</t>
  </si>
  <si>
    <t xml:space="preserve">affordable skin care products</t>
  </si>
  <si>
    <t xml:space="preserve">korean skin care products in pakistan</t>
  </si>
  <si>
    <t xml:space="preserve">vince skin care</t>
  </si>
  <si>
    <t xml:space="preserve">best organic skin care products in pakistan</t>
  </si>
  <si>
    <t xml:space="preserve">skin care routine for oily skin</t>
  </si>
  <si>
    <t xml:space="preserve">night skin care routine</t>
  </si>
  <si>
    <t xml:space="preserve">skin care routine steps</t>
  </si>
  <si>
    <t xml:space="preserve">organic skin care products</t>
  </si>
  <si>
    <t xml:space="preserve">affordable skin care products in pakistan</t>
  </si>
  <si>
    <t xml:space="preserve">Keywords tracked (Semrush pk database)</t>
  </si>
  <si>
    <t xml:space="preserve">Total addressable monthly searches</t>
  </si>
  <si>
    <t xml:space="preserve">Keywords at KD &lt;= 20</t>
  </si>
  <si>
    <t xml:space="preserve">Monthly searches behind KD &lt;= 20</t>
  </si>
  <si>
    <t xml:space="preserve">Keywords at KD &lt;= 20 AND volume &gt;= 1000</t>
  </si>
  <si>
    <t xml:space="preserve">Est. monthly sessions at position 3 across the KD&lt;=20 set (11% CTR)</t>
  </si>
  <si>
    <t xml:space="preserve">Opportunity Score = Volume / KD. 11% CTR at position 3 is an industry benchmark, not a Semrush figure. Ranking URL and Authority Score were retrieved for three keywords before API units ran out; the rest are marked as such rather than estimated.</t>
  </si>
  <si>
    <t xml:space="preserve">PAKISTANI BEAUTY BRAND REGISTER</t>
  </si>
  <si>
    <t xml:space="preserve">Ownership verified against About pages, founder interviews and business press. Revenue is shown only where a real source exists; nothing is estimated by us.</t>
  </si>
  <si>
    <t xml:space="preserve">Founder</t>
  </si>
  <si>
    <t xml:space="preserve">Founded</t>
  </si>
  <si>
    <t xml:space="preserve">City</t>
  </si>
  <si>
    <t xml:space="preserve">PK Verification</t>
  </si>
  <si>
    <t xml:space="preserve">Ownership</t>
  </si>
  <si>
    <t xml:space="preserve">Manufacturing</t>
  </si>
  <si>
    <t xml:space="preserve">Annual Revenue</t>
  </si>
  <si>
    <t xml:space="preserve">Revenue Year</t>
  </si>
  <si>
    <t xml:space="preserve">Revenue Source</t>
  </si>
  <si>
    <t xml:space="preserve">Revenue Confidence</t>
  </si>
  <si>
    <t xml:space="preserve">SEO Strengths</t>
  </si>
  <si>
    <t xml:space="preserve">SEO Weaknesses</t>
  </si>
  <si>
    <t xml:space="preserve">conaturalintl.com</t>
  </si>
  <si>
    <t xml:space="preserve">Myra Qureshi &amp; Rema Taseer</t>
  </si>
  <si>
    <t xml:space="preserve">2014</t>
  </si>
  <si>
    <t xml:space="preserve">Lahore</t>
  </si>
  <si>
    <t xml:space="preserve">Private, VC-backed (Karavan; US$825k pre-Series A 2020)</t>
  </si>
  <si>
    <t xml:space="preserve">Own formulation + manufacture in Pakistan</t>
  </si>
  <si>
    <t xml:space="preserve">US$264,000 (net margin 15.15%); valuation US$4.9m Nov-2020</t>
  </si>
  <si>
    <t xml:space="preserve">FY2020</t>
  </si>
  <si>
    <t xml:space="preserve">profit.pakistantoday.com.pk / menabytes.com</t>
  </si>
  <si>
    <t xml:space="preserve">LOW - company-stated, unaudited, 6 years old</t>
  </si>
  <si>
    <t xml:space="preserve">Authority Score 36; 808 referring domains; ranks #1 for 'best skin care products in pakistan'; top page 3,880 visits/mo</t>
  </si>
  <si>
    <t xml:space="preserve">Heavy discounting language baked into product handles ('clearance-sale-flat-40-off') damages premium positioning and creates duplicate URLs</t>
  </si>
  <si>
    <t xml:space="preserve">jenpharm.com</t>
  </si>
  <si>
    <t xml:space="preserve">Not publicly disclosed</t>
  </si>
  <si>
    <t xml:space="preserve">c.2016</t>
  </si>
  <si>
    <t xml:space="preserve">Private Pakistani pharma / cosmeceutical</t>
  </si>
  <si>
    <t xml:space="preserve">Own DRAP-registered pharma facility in Pakistan</t>
  </si>
  <si>
    <t xml:space="preserve">-</t>
  </si>
  <si>
    <t xml:space="preserve">Authority Score 39 on only 499 referring domains - the highest organic efficiency in PK skincare; top page 10,812 visits/mo</t>
  </si>
  <si>
    <t xml:space="preserve">Thin product-page content; almost no editorial/blog layer; price points sit below premium</t>
  </si>
  <si>
    <t xml:space="preserve">Vince Care (Mablay Beauty Pvt Ltd)</t>
  </si>
  <si>
    <t xml:space="preserve">vincecare.com</t>
  </si>
  <si>
    <t xml:space="preserve">Not disclosed</t>
  </si>
  <si>
    <t xml:space="preserve">2008</t>
  </si>
  <si>
    <t xml:space="preserve">Faisalabad</t>
  </si>
  <si>
    <t xml:space="preserve">Private Pakistani</t>
  </si>
  <si>
    <t xml:space="preserve">Own facility, Faisalabad (early SKUs were contract-made in Turkey/China)</t>
  </si>
  <si>
    <t xml:space="preserve">Authority Score 32; 811 referring domains; broad ranking footprint across face wash terms</t>
  </si>
  <si>
    <t xml:space="preserve">Mass-market pricing caps premium perception; catalogue skews to hair care</t>
  </si>
  <si>
    <t xml:space="preserve">Saeed Ghani (SG1888)</t>
  </si>
  <si>
    <t xml:space="preserve">saeedghani.pk</t>
  </si>
  <si>
    <t xml:space="preserve">Ghani family (Hakeem lineage)</t>
  </si>
  <si>
    <t xml:space="preserve">1888</t>
  </si>
  <si>
    <t xml:space="preserve">Karachi</t>
  </si>
  <si>
    <t xml:space="preserve">Private, family-owned</t>
  </si>
  <si>
    <t xml:space="preserve">Not publicly disclosed. Profit ESTIMATED the ubtan category alone at ~PKR 540m/yr (2020)</t>
  </si>
  <si>
    <t xml:space="preserve">2020 (est.)</t>
  </si>
  <si>
    <t xml:space="preserve">profit.pakistantoday.com.pk</t>
  </si>
  <si>
    <t xml:space="preserve">LOW - category estimate, not company revenue</t>
  </si>
  <si>
    <t xml:space="preserve">Authority Score 40 - joint highest of any PK beauty brand; 1,678 referring domains</t>
  </si>
  <si>
    <t xml:space="preserve">Skincare SKUs almost all below PKR 2,000; catalogue is dominated by fragrance, which is out of scope for premium skincare</t>
  </si>
  <si>
    <t xml:space="preserve">goldenpearl.com.pk</t>
  </si>
  <si>
    <t xml:space="preserve">Sheikh Abid Mehmood (also Chairman, PCMA)</t>
  </si>
  <si>
    <t xml:space="preserve">1997</t>
  </si>
  <si>
    <t xml:space="preserve">Chichawatni HQ; plant in Lahore</t>
  </si>
  <si>
    <t xml:space="preserve">Own plant in Lahore with QC/R&amp;D/micro labs</t>
  </si>
  <si>
    <t xml:space="preserve">'Exceeding US$20 million' annually</t>
  </si>
  <si>
    <t xml:space="preserve">Undated</t>
  </si>
  <si>
    <t xml:space="preserve">desiblitz.com</t>
  </si>
  <si>
    <t xml:space="preserve">LOW - third-party estimate, no fiscal year, no methodology</t>
  </si>
  <si>
    <t xml:space="preserve">Ranks page-1 nationally on only Authority Score 19; 'golden pearl cream' 6,600/mo</t>
  </si>
  <si>
    <t xml:space="preserve">Authority Score 19 and 576 referring domains - the weakest link profile of any major PK brand; entirely mass-priced</t>
  </si>
  <si>
    <t xml:space="preserve">slbasics.com</t>
  </si>
  <si>
    <t xml:space="preserve">Dr Shaista Lodhi</t>
  </si>
  <si>
    <t xml:space="preserve">c.2020</t>
  </si>
  <si>
    <t xml:space="preserve">Private, founder-led (celebrity dermatology-adjacent)</t>
  </si>
  <si>
    <t xml:space="preserve">Celebrity founder gives free branded search and social reach</t>
  </si>
  <si>
    <t xml:space="preserve">Not retrieved - Semrush API units exhausted; catalogue mixes skincare with teas/supplements, diluting topical authority</t>
  </si>
  <si>
    <t xml:space="preserve">accufixcosmetics.com</t>
  </si>
  <si>
    <t xml:space="preserve">Yasmeen Naseer (certified cosmetic scientist)</t>
  </si>
  <si>
    <t xml:space="preserve">2019</t>
  </si>
  <si>
    <t xml:space="preserve">Private, founder-led</t>
  </si>
  <si>
    <t xml:space="preserve">Own ISO 22716:2007 / ISO 9001:2015, GMP + Halal certified facility in Pakistan</t>
  </si>
  <si>
    <t xml:space="preserve">Best on-page SEO discipline of any PK brand - handles are written as target keywords ('best-ceramide-moisturiser-for-strong-skin-barrier')</t>
  </si>
  <si>
    <t xml:space="preserve">Not retrieved - Semrush API units exhausted</t>
  </si>
  <si>
    <t xml:space="preserve">forganica.com</t>
  </si>
  <si>
    <t xml:space="preserve">Dr Faiza Shams (Pharm.D., Ph.D.)</t>
  </si>
  <si>
    <t xml:space="preserve">2018</t>
  </si>
  <si>
    <t xml:space="preserve">Clinical credibility; product names carry the active ('GlycoCell 7% Glycolic Acid Toner')</t>
  </si>
  <si>
    <t xml:space="preserve">Not retrieved - Semrush API units exhausted; small catalogue</t>
  </si>
  <si>
    <t xml:space="preserve">kleanbeauty.co</t>
  </si>
  <si>
    <t xml:space="preserve">Not disclosed (woman-owned)</t>
  </si>
  <si>
    <t xml:space="preserve">Private, woman-owned</t>
  </si>
  <si>
    <t xml:space="preserve">Only PK brand found selling bakuchiol - near-zero domestic competition on that term</t>
  </si>
  <si>
    <t xml:space="preserve">Product handles contain emoji ('hydro-glow✨'), which breaks URLs and blocks clean indexing</t>
  </si>
  <si>
    <t xml:space="preserve">zeromakeup.com</t>
  </si>
  <si>
    <t xml:space="preserve">Nabila Maqsood</t>
  </si>
  <si>
    <t xml:space="preserve">2017 (palette launch)</t>
  </si>
  <si>
    <t xml:space="preserve">VERIFIED (Pakistani-owned; produced in Germany)</t>
  </si>
  <si>
    <t xml:space="preserve">MANUFACTURED IN GERMANY; distribution via Dubai</t>
  </si>
  <si>
    <t xml:space="preserve">'zero makeup' 4,400/mo branded demand; strongest premium price realisation of any PK makeup brand (PKR 2,990-9,990)</t>
  </si>
  <si>
    <t xml:space="preserve">Manufactures abroad, so cannot claim 'made in Pakistan'; catalogue now diluted by fragrance and hair care</t>
  </si>
  <si>
    <t xml:space="preserve">iloveluscious.com</t>
  </si>
  <si>
    <t xml:space="preserve">Mehrbano Sethi</t>
  </si>
  <si>
    <t xml:space="preserve">2007</t>
  </si>
  <si>
    <t xml:space="preserve">Private, founder/CEO-owned</t>
  </si>
  <si>
    <t xml:space="preserve">Contract manufacturers in Korea and Italy</t>
  </si>
  <si>
    <t xml:space="preserve">Sephora rollout gives international validation no PK rival has</t>
  </si>
  <si>
    <t xml:space="preserve">Catalogue has drifted to nails, lashes, brushes and bags - away from the colour cosmetics that built the brand</t>
  </si>
  <si>
    <t xml:space="preserve">masarratmakeup.com</t>
  </si>
  <si>
    <t xml:space="preserve">Masarrat Misbah (Depilex founder)</t>
  </si>
  <si>
    <t xml:space="preserve">2014-15</t>
  </si>
  <si>
    <t xml:space="preserve">Turkey; some filling/packing in Pakistan</t>
  </si>
  <si>
    <t xml:space="preserve">'masarrat misbah makeup' 2,400/mo and 'masarrat misbah foundation' 6,600/mo branded demand</t>
  </si>
  <si>
    <t xml:space="preserve">Manufactures in Turkey; branded search is far larger than non-branded, meaning almost no category capture</t>
  </si>
  <si>
    <t xml:space="preserve">Medora (Medora of London Pvt Ltd)</t>
  </si>
  <si>
    <t xml:space="preserve">medora.com.pk</t>
  </si>
  <si>
    <t xml:space="preserve">1961</t>
  </si>
  <si>
    <t xml:space="preserve">Pakistani company despite the 'of London' name</t>
  </si>
  <si>
    <t xml:space="preserve">PAKISTAN - cited by Profit as the only local makeup brand with genuine local production</t>
  </si>
  <si>
    <t xml:space="preserve">'medora lipstick' 8,100/mo - the single largest branded makeup search term in Pakistan</t>
  </si>
  <si>
    <t xml:space="preserve">products.json returned 404 at time of research; e-commerce appears weak relative to its search demand</t>
  </si>
  <si>
    <t xml:space="preserve">kashees.com</t>
  </si>
  <si>
    <t xml:space="preserve">Kashif Aslam</t>
  </si>
  <si>
    <t xml:space="preserve">Private, founder-owned (salon group)</t>
  </si>
  <si>
    <t xml:space="preserve">Not disclosed - almost certainly contract-manufactured</t>
  </si>
  <si>
    <t xml:space="preserve">'kashees foundation' 3,600/mo + 'kashees foundation price in pakistan' 4,400/mo</t>
  </si>
  <si>
    <t xml:space="preserve">Salon-first brand; product pages carry little ingredient or usage information</t>
  </si>
  <si>
    <t xml:space="preserve">blingbynadiahussain.com</t>
  </si>
  <si>
    <t xml:space="preserve">Nadia Hussain</t>
  </si>
  <si>
    <t xml:space="preserve">Celebrity reach; body-lotion range built entirely on named actives</t>
  </si>
  <si>
    <t xml:space="preserve">Very small catalogue; no editorial content</t>
  </si>
  <si>
    <t xml:space="preserve">colorstudiopro.com</t>
  </si>
  <si>
    <t xml:space="preserve">Ozair Mateen (CEO)</t>
  </si>
  <si>
    <t xml:space="preserve">2011</t>
  </si>
  <si>
    <t xml:space="preserve">Private; first investment round Dec-2024 (Romanna Dada &amp; Usman Bashir)</t>
  </si>
  <si>
    <t xml:space="preserve">Produced in Europe, Asia and Pakistan</t>
  </si>
  <si>
    <t xml:space="preserve">Revenue not disclosed. Valuation PKR 1 billion (Dec 2024)</t>
  </si>
  <si>
    <t xml:space="preserve">2024</t>
  </si>
  <si>
    <t xml:space="preserve">colorstudiopro.com/pages/about-color-studio</t>
  </si>
  <si>
    <t xml:space="preserve">LOW - company-stated valuation, not revenue, unaudited</t>
  </si>
  <si>
    <t xml:space="preserve">Widest colour-cosmetics distribution of any PK-owned brand</t>
  </si>
  <si>
    <t xml:space="preserve">Catalogue is dominated by sub-PKR-500 nail polish; only a handful of SKUs clear PKR 2,000</t>
  </si>
  <si>
    <t xml:space="preserve">Derma Techno Pakistan (Neuage / U-Veil)</t>
  </si>
  <si>
    <t xml:space="preserve">dermatechno.com</t>
  </si>
  <si>
    <t xml:space="preserve">c.2000</t>
  </si>
  <si>
    <t xml:space="preserve">Derma Techno Pakistan (Pvt) Ltd</t>
  </si>
  <si>
    <t xml:space="preserve">Dermatologist-recommendation channel; 'u veil sunscreen' 720/mo KD 12</t>
  </si>
  <si>
    <t xml:space="preserve">Almost the entire catalogue sits below PKR 2,000</t>
  </si>
  <si>
    <t xml:space="preserve">Golden Girl / Soft Touch (Shanns Cosmetics)</t>
  </si>
  <si>
    <t xml:space="preserve">goldengirlcosmetics.com</t>
  </si>
  <si>
    <t xml:space="preserve">Shanns Cosmetics &amp; Chemicals (Pvt) Ltd</t>
  </si>
  <si>
    <t xml:space="preserve">Own ISO 9001 / cGMP plant, Lahore; 300+ staff, 120+ distributors</t>
  </si>
  <si>
    <t xml:space="preserve">Real manufacturing scale - a genuine private-label partner option</t>
  </si>
  <si>
    <t xml:space="preserve">Bleach/salon-led positioning is incompatible with a premium brand story</t>
  </si>
  <si>
    <t xml:space="preserve">skinsciences.com.pk</t>
  </si>
  <si>
    <t xml:space="preserve">Not disclosed; claims US board-certified dermatologist formulation</t>
  </si>
  <si>
    <t xml:space="preserve">Only PK brand found selling a PDRN (salmon DNA) product</t>
  </si>
  <si>
    <t xml:space="preserve">Ownership not disclosed anywhere - cannot be fully verified</t>
  </si>
  <si>
    <t xml:space="preserve">Hemani Group / WB by Hemani</t>
  </si>
  <si>
    <t xml:space="preserve">hemaniherbals.com</t>
  </si>
  <si>
    <t xml:space="preserve">Hemani family</t>
  </si>
  <si>
    <t xml:space="preserve">1949</t>
  </si>
  <si>
    <t xml:space="preserve">Private family group; WB by Hemani is a JV with Wasim Badami</t>
  </si>
  <si>
    <t xml:space="preserve">Pakistan; exports to 85+ countries, 50+ retail stores</t>
  </si>
  <si>
    <t xml:space="preserve">Largest export footprint of any PK personal-care company</t>
  </si>
  <si>
    <t xml:space="preserve">Herbal/mass positioning; almost nothing above PKR 2,000 in skincare</t>
  </si>
  <si>
    <t xml:space="preserve">Marhaba Laboratories</t>
  </si>
  <si>
    <t xml:space="preserve">marhaba.com.pk</t>
  </si>
  <si>
    <t xml:space="preserve">Hakeem Muhammad Usman + four brothers</t>
  </si>
  <si>
    <t xml:space="preserve">1 July 1975</t>
  </si>
  <si>
    <t xml:space="preserve">Marhaba Laboratories (Pvt) Ltd</t>
  </si>
  <si>
    <t xml:space="preserve">50-year heritage</t>
  </si>
  <si>
    <t xml:space="preserve">Core business is oriental medicine and supplements, not premium skincare</t>
  </si>
  <si>
    <t xml:space="preserve">Safrin Skin Care</t>
  </si>
  <si>
    <t xml:space="preserve">safrinskincare.com.pk</t>
  </si>
  <si>
    <t xml:space="preserve">2009</t>
  </si>
  <si>
    <t xml:space="preserve">Safrin Skin Care International, private</t>
  </si>
  <si>
    <t xml:space="preserve">'safrin skin care' 3,600/mo branded demand</t>
  </si>
  <si>
    <t xml:space="preserve">Branded demand only - no category capture</t>
  </si>
  <si>
    <t xml:space="preserve">Whiz Laboratories (Bio One)</t>
  </si>
  <si>
    <t xml:space="preserve">whizlaboratories.com</t>
  </si>
  <si>
    <t xml:space="preserve">Malik Nadeem Younas (Director)</t>
  </si>
  <si>
    <t xml:space="preserve">Private</t>
  </si>
  <si>
    <t xml:space="preserve">Own manufacturer - production, microbiology, QC/QA, R&amp;D in-house</t>
  </si>
  <si>
    <t xml:space="preserve">In-house R&amp;D and micro lab - credible contract-manufacture partner</t>
  </si>
  <si>
    <t xml:space="preserve">Weak consumer-facing brand</t>
  </si>
  <si>
    <t xml:space="preserve">BNB Derma / B&amp;B Dermaceuticals</t>
  </si>
  <si>
    <t xml:space="preserve">bnbderma.com</t>
  </si>
  <si>
    <t xml:space="preserve">Inam Jamil (CEO)</t>
  </si>
  <si>
    <t xml:space="preserve">Pre-2010</t>
  </si>
  <si>
    <t xml:space="preserve">Karachi (factories Nooriabad + Karachi)</t>
  </si>
  <si>
    <t xml:space="preserve">Private Pakistani; also does white-label manufacturing</t>
  </si>
  <si>
    <t xml:space="preserve">PKR 60-70 million per year; serves 600-700 salons; CEO claimed it outsells Neutrogena in Pakistan</t>
  </si>
  <si>
    <t xml:space="preserve">LOW - CEO-stated to press, unaudited, 6 years old</t>
  </si>
  <si>
    <t xml:space="preserve">Salon channel depth</t>
  </si>
  <si>
    <t xml:space="preserve">Salon-only distribution; negligible e-commerce</t>
  </si>
  <si>
    <t xml:space="preserve">Christine Cosmetics</t>
  </si>
  <si>
    <t xml:space="preserve">christinecosmetics.pk</t>
  </si>
  <si>
    <t xml:space="preserve">Retail listings say 'Made in Pakistan' - unconfirmed at source</t>
  </si>
  <si>
    <t xml:space="preserve">'christine makeup' 3,600/mo; 'christine lipstick' 880/mo at KD 6 - among the easiest terms in the market</t>
  </si>
  <si>
    <t xml:space="preserve">Entire catalogue is below PKR 2,000 - cannot support a premium play</t>
  </si>
  <si>
    <t xml:space="preserve">Sara Ali Cosmetics</t>
  </si>
  <si>
    <t xml:space="preserve">saraalicosmetics.com</t>
  </si>
  <si>
    <t xml:space="preserve">Sara Ali</t>
  </si>
  <si>
    <t xml:space="preserve">Salon-founder credibility</t>
  </si>
  <si>
    <t xml:space="preserve">Ownership and manufacturing undisclosed</t>
  </si>
  <si>
    <t xml:space="preserve">Glamorous Face</t>
  </si>
  <si>
    <t xml:space="preserve">glamorous.pk</t>
  </si>
  <si>
    <t xml:space="preserve">Naveed Chhapra (MD)</t>
  </si>
  <si>
    <t xml:space="preserve">Chhapra family business</t>
  </si>
  <si>
    <t xml:space="preserve">Wide traditional-trade distribution</t>
  </si>
  <si>
    <t xml:space="preserve">Site blocked automated access at research time; mass positioning</t>
  </si>
  <si>
    <t xml:space="preserve">Brands in register</t>
  </si>
  <si>
    <t xml:space="preserve">VERIFIED PAKISTANI</t>
  </si>
  <si>
    <t xml:space="preserve">With any revenue figure at all</t>
  </si>
  <si>
    <t xml:space="preserve">No Pakistani cosmetics or skincare company is listed on the PSX. Only four revenue figures exist anywhere in the sector and every one is unaudited and labelled LOW confidence. This is a real finding, not a research gap.</t>
  </si>
  <si>
    <t xml:space="preserve">EXCLUDED FROM THE PRIMARY DATASET — AND WHY</t>
  </si>
  <si>
    <t xml:space="preserve">Read this before adding any of these back. Several market themselves in Pakistan in ways that imply local or Western origin.</t>
  </si>
  <si>
    <t xml:space="preserve">Brand / Site</t>
  </si>
  <si>
    <t xml:space="preserve">Website</t>
  </si>
  <si>
    <t xml:space="preserve">Status</t>
  </si>
  <si>
    <t xml:space="preserve">Reason for exclusion</t>
  </si>
  <si>
    <t xml:space="preserve">Evidence</t>
  </si>
  <si>
    <t xml:space="preserve">Rivaj UK</t>
  </si>
  <si>
    <t xml:space="preserve">rivaj-uk.com</t>
  </si>
  <si>
    <t xml:space="preserve">EXCLUDE</t>
  </si>
  <si>
    <t xml:space="preserve">UK-registered company; contract manufactured in China, rebranded for Pakistan</t>
  </si>
  <si>
    <t xml:space="preserve">Sweet Touch / ST London</t>
  </si>
  <si>
    <t xml:space="preserve">stlondon.com.pk</t>
  </si>
  <si>
    <t xml:space="preserve">London-registered; mass produced in China then private-labelled. PK franchise: Bays International</t>
  </si>
  <si>
    <t xml:space="preserve">Miss Rose</t>
  </si>
  <si>
    <t xml:space="preserve">missrose.com.pk</t>
  </si>
  <si>
    <t xml:space="preserve">Chinese brand imported into Pakistan</t>
  </si>
  <si>
    <t xml:space="preserve">Note by J.</t>
  </si>
  <si>
    <t xml:space="preserve">junaidjamshed.com</t>
  </si>
  <si>
    <t xml:space="preserve">Note Cosmetics is a Turkish brand licensed for Pakistani distribution by J.</t>
  </si>
  <si>
    <t xml:space="preserve">Bare Body Essentials</t>
  </si>
  <si>
    <t xml:space="preserve">barebody.in</t>
  </si>
  <si>
    <t xml:space="preserve">Indian company, Ahmedabad - not Pakistani</t>
  </si>
  <si>
    <t xml:space="preserve">Rios</t>
  </si>
  <si>
    <t xml:space="preserve">rios.pk</t>
  </si>
  <si>
    <t xml:space="preserve">Retailer, not a brand. Distributor tied to Stylo retail group; carries 100+ local and international brands</t>
  </si>
  <si>
    <t xml:space="preserve">Skin Shop Pakistan</t>
  </si>
  <si>
    <t xml:space="preserve">skinshop.pk</t>
  </si>
  <si>
    <t xml:space="preserve">Retailer, not a brand. Stocks Jenpharm, Derma Techno, 2S Pharma and others</t>
  </si>
  <si>
    <t xml:space="preserve">Daraz / Naheed / Bagallery / Highfy / Allure Beauty / SkinStore Pakistan</t>
  </si>
  <si>
    <t xml:space="preserve">Marketplaces and multi-brand retailers - explicitly out of scope as primary sources</t>
  </si>
  <si>
    <t xml:space="preserve">Bioaqua</t>
  </si>
  <si>
    <t xml:space="preserve">bioaqua.com.pk</t>
  </si>
  <si>
    <t xml:space="preserve">Chinese brand with Pakistani distributors</t>
  </si>
  <si>
    <t xml:space="preserve">Dermacos</t>
  </si>
  <si>
    <t xml:space="preserve">dermacospakistan.pk</t>
  </si>
  <si>
    <t xml:space="preserve">UNVERIFIED</t>
  </si>
  <si>
    <t xml:space="preserve">No About page, no company data anywhere; site may be a reseller storefront</t>
  </si>
  <si>
    <t xml:space="preserve">Derien / Trego / Carynt</t>
  </si>
  <si>
    <t xml:space="preserve">derien.pk / trego.pk / carynt.pk</t>
  </si>
  <si>
    <t xml:space="preserve">No ownership disclosure. Derien self-describes as a 'store'; Trego claims 'Canadian formulation' with no stated location</t>
  </si>
  <si>
    <t xml:space="preserve">SERP TEARDOWN — where the ranking pages are weaker than the demand</t>
  </si>
  <si>
    <t xml:space="preserve">Actual Semrush Pakistan SERP results, August 2026. Authority Score shown where retrieved.</t>
  </si>
  <si>
    <t xml:space="preserve">BEST SKIN CARE PRODUCTS IN PAKISTAN</t>
  </si>
  <si>
    <t xml:space="preserve">Volume: 1,600/mo</t>
  </si>
  <si>
    <t xml:space="preserve">KD: 19</t>
  </si>
  <si>
    <t xml:space="preserve">Intent: Commercial</t>
  </si>
  <si>
    <t xml:space="preserve">Position</t>
  </si>
  <si>
    <t xml:space="preserve">Domain</t>
  </si>
  <si>
    <t xml:space="preserve">Ranking URL</t>
  </si>
  <si>
    <t xml:space="preserve">Authority Score</t>
  </si>
  <si>
    <t xml:space="preserve">Content type</t>
  </si>
  <si>
    <t xml:space="preserve">https://conaturalintl.com/collections/skincare</t>
  </si>
  <si>
    <t xml:space="preserve">PK brand collection page</t>
  </si>
  <si>
    <t xml:space="preserve">joinherbeauty.com</t>
  </si>
  <si>
    <t xml:space="preserve">https://joinherbeauty.com/</t>
  </si>
  <si>
    <t xml:space="preserve">PK brand homepage</t>
  </si>
  <si>
    <t xml:space="preserve">https://vincecare.com/collections/skin-care</t>
  </si>
  <si>
    <t xml:space="preserve">allurebeauty.pk</t>
  </si>
  <si>
    <t xml:space="preserve">https://allurebeauty.pk/collections/skin-care-all</t>
  </si>
  <si>
    <t xml:space="preserve">Retailer collection page</t>
  </si>
  <si>
    <t xml:space="preserve">redermaesthetics.com</t>
  </si>
  <si>
    <t xml:space="preserve">https://redermaesthetics.com/blogs/post/pakistan-s-top-10-skincare-brands-2026-what-makes-them-so-popular</t>
  </si>
  <si>
    <t xml:space="preserve">Blog listicle</t>
  </si>
  <si>
    <t xml:space="preserve">beautenic.com</t>
  </si>
  <si>
    <t xml:space="preserve">https://beautenic.com/</t>
  </si>
  <si>
    <t xml:space="preserve">Homepage</t>
  </si>
  <si>
    <t xml:space="preserve">skincarepakistan.com</t>
  </si>
  <si>
    <t xml:space="preserve">https://www.skincarepakistan.com/</t>
  </si>
  <si>
    <t xml:space="preserve">tiktok.com</t>
  </si>
  <si>
    <t xml:space="preserve">TikTok video</t>
  </si>
  <si>
    <t xml:space="preserve">Very high (social)</t>
  </si>
  <si>
    <t xml:space="preserve">SOCIAL VIDEO ranking on page 1</t>
  </si>
  <si>
    <t xml:space="preserve">arwaskincare.com</t>
  </si>
  <si>
    <t xml:space="preserve">https://arwaskincare.com/blogs/news/top-10-skincare-brands-in-pakistan</t>
  </si>
  <si>
    <t xml:space="preserve">reddit.com</t>
  </si>
  <si>
    <t xml:space="preserve">r/PakistaniSkincare thread</t>
  </si>
  <si>
    <t xml:space="preserve">Very high (forum)</t>
  </si>
  <si>
    <t xml:space="preserve">FORUM THREAD ranking on page 1</t>
  </si>
  <si>
    <t xml:space="preserve">WHY IT IS VULNERABLE</t>
  </si>
  <si>
    <t xml:space="preserve">Two of the top ten are a TikTok video and a Reddit thread, and four more are bare homepages or Shopify collection pages. No genuine editorial comparison exists. This is the single most vulnerable commercial SERP in the category.</t>
  </si>
  <si>
    <t xml:space="preserve">VITAMIN C SERUM PRICE IN PAKISTAN</t>
  </si>
  <si>
    <t xml:space="preserve">Volume: 4,400/mo</t>
  </si>
  <si>
    <t xml:space="preserve">KD: 8</t>
  </si>
  <si>
    <t xml:space="preserve">daraz.pk</t>
  </si>
  <si>
    <t xml:space="preserve">https://www.daraz.pk/tag/vitamin-c-serum/</t>
  </si>
  <si>
    <t xml:space="preserve">Marketplace tag page - thin</t>
  </si>
  <si>
    <t xml:space="preserve">organictraveller.store</t>
  </si>
  <si>
    <t xml:space="preserve">https://organictraveller.store/products/super-c-vitamin-c-serum-1</t>
  </si>
  <si>
    <t xml:space="preserve">PK brand product page</t>
  </si>
  <si>
    <t xml:space="preserve">https://www.rios.pk/collections/face-serum</t>
  </si>
  <si>
    <t xml:space="preserve">Retailer collection</t>
  </si>
  <si>
    <t xml:space="preserve">trego.pk</t>
  </si>
  <si>
    <t xml:space="preserve">https://trego.pk/products/vitamin-c-serum</t>
  </si>
  <si>
    <t xml:space="preserve">theordinary.pk</t>
  </si>
  <si>
    <t xml:space="preserve">https://theordinary.pk/product-category/vitamin-c/</t>
  </si>
  <si>
    <t xml:space="preserve">Importer category page</t>
  </si>
  <si>
    <t xml:space="preserve">https://goldenpearl.com.pk/products/vitamin-c-skin-serum</t>
  </si>
  <si>
    <t xml:space="preserve">PK BRAND PRODUCT PAGE RANKING AT AUTHORITY SCORE 19</t>
  </si>
  <si>
    <t xml:space="preserve">https://whizlaboratories.com/product/bio-one-vitamin-c-serum/</t>
  </si>
  <si>
    <t xml:space="preserve">https://accufixcosmetics.com/products/vitamin-c-serum</t>
  </si>
  <si>
    <t xml:space="preserve">serum.pk</t>
  </si>
  <si>
    <t xml:space="preserve">https://serum.pk/product-category/vitamin-c/</t>
  </si>
  <si>
    <t xml:space="preserve">Category page</t>
  </si>
  <si>
    <t xml:space="preserve">https://skinsciences.com.pk/products/vitamin-c-serum</t>
  </si>
  <si>
    <t xml:space="preserve">Position 6 is held by a product page on a domain with Authority Score 19. Nine of the ten results are plain product or category pages with no editorial depth, no comparison table and no price schema. A well-built product page with real price markup outranks this set.</t>
  </si>
  <si>
    <t xml:space="preserve">BEST SUNSCREEN IN PAKISTAN</t>
  </si>
  <si>
    <t xml:space="preserve">KD: 14</t>
  </si>
  <si>
    <t xml:space="preserve">https://jenpharm.com/collections/sun-protection</t>
  </si>
  <si>
    <t xml:space="preserve">https://vincecare.com/collections/sun-care</t>
  </si>
  <si>
    <t xml:space="preserve">https://skinshop.pk/collections/sunblocks-1</t>
  </si>
  <si>
    <t xml:space="preserve">oriorcosmetics.com</t>
  </si>
  <si>
    <t xml:space="preserve">https://oriorcosmetics.com/products/best-sunblock-in-pakistan</t>
  </si>
  <si>
    <t xml:space="preserve">Product page with keyword-as-handle</t>
  </si>
  <si>
    <t xml:space="preserve">naheed.pk</t>
  </si>
  <si>
    <t xml:space="preserve">https://www.naheed.pk/health-beauty/skin-care/sunscreens</t>
  </si>
  <si>
    <t xml:space="preserve">Retailer category page</t>
  </si>
  <si>
    <t xml:space="preserve">https://saeedghani.pk/collections/sunscreen</t>
  </si>
  <si>
    <t xml:space="preserve">sachetcare.com</t>
  </si>
  <si>
    <t xml:space="preserve">https://sachetcare.com/blogs/skincare-hacks/best-sunscreen-price-in-pakistan</t>
  </si>
  <si>
    <t xml:space="preserve">Blog post</t>
  </si>
  <si>
    <t xml:space="preserve">instagram.com</t>
  </si>
  <si>
    <t xml:space="preserve">Instagram reel</t>
  </si>
  <si>
    <t xml:space="preserve">Instagram reel (duplicate)</t>
  </si>
  <si>
    <t xml:space="preserve">Three of the top ten are Instagram reels or Reddit threads. Every brand result is a bare Shopify collection page. Nobody has published a genuine tested-and-compared sunscreen guide for Pakistan. 4,400 searches a month at KD 14 with this quality of incumbent is the strongest single content opportunity in the dataset.</t>
  </si>
  <si>
    <t xml:space="preserve">Remaining keywords: SERP and Authority Score data NOT RETRIEVED — Semrush API units exhausted. Volume, KD, CPC and intent for all 363 keywords are still real Semrush pk data and are in sheet 2. Additional units: https://www.semrush.com/mcp-access</t>
  </si>
  <si>
    <t xml:space="preserve">WHO OWNS THIS CATEGORY IN SEARCH — and how strong they actually are</t>
  </si>
  <si>
    <t xml:space="preserve">Semrush Authority Score is the industry proxy for Domain Authority / Domain Rating. Scale 0-100.</t>
  </si>
  <si>
    <t xml:space="preserve">Total Backlinks</t>
  </si>
  <si>
    <t xml:space="preserve">Referring Domains</t>
  </si>
  <si>
    <t xml:space="preserve">Pakistani-owned brand?</t>
  </si>
  <si>
    <t xml:space="preserve">Note</t>
  </si>
  <si>
    <t xml:space="preserve">Links per Ref Domain</t>
  </si>
  <si>
    <t xml:space="preserve">Yes - PK brand</t>
  </si>
  <si>
    <t xml:space="preserve">Joint-highest AS of any PK beauty domain</t>
  </si>
  <si>
    <t xml:space="preserve">No - retailer</t>
  </si>
  <si>
    <t xml:space="preserve">Widest referring-domain base in the market</t>
  </si>
  <si>
    <t xml:space="preserve">Highest organic efficiency: 10,812 visits/mo from one page on 499 ref domains</t>
  </si>
  <si>
    <t xml:space="preserve">Ranks #1 for the category's key commercial term</t>
  </si>
  <si>
    <t xml:space="preserve">bagallery.com</t>
  </si>
  <si>
    <t xml:space="preserve">VC-backed marketplace</t>
  </si>
  <si>
    <t xml:space="preserve">Imported-brand e-tailer</t>
  </si>
  <si>
    <t xml:space="preserve">highfy.pk</t>
  </si>
  <si>
    <t xml:space="preserve">skinstorepakistan.com</t>
  </si>
  <si>
    <t xml:space="preserve">Ranks nationally on only 276 referring domains</t>
  </si>
  <si>
    <t xml:space="preserve">Ranks page-1 on AS 19 - proof the barrier is low</t>
  </si>
  <si>
    <t xml:space="preserve">Average Authority Score of the field</t>
  </si>
  <si>
    <t xml:space="preserve">Highest Authority Score in the field</t>
  </si>
  <si>
    <t xml:space="preserve">Lowest Authority Score still ranking page 1</t>
  </si>
  <si>
    <t xml:space="preserve">Median referring domains</t>
  </si>
  <si>
    <t xml:space="preserve">Read: no domain in Pakistani beauty exceeds Authority Score 40, and goldenpearl.com.pk ranks page-1 on 19. A new brand reaching AS 35-40 with roughly 700 quality referring domains competes with the entire field.</t>
  </si>
  <si>
    <t xml:space="preserve">CATEGORY ECONOMICS — computed from sheets 1 and 2</t>
  </si>
  <si>
    <t xml:space="preserve">Product counts and prices come from the verified Pakistani-brand dataset. Search demand is the summed Pakistan monthly volume of the matching keyword cluster.</t>
  </si>
  <si>
    <t xml:space="preserve">PK Brands Present</t>
  </si>
  <si>
    <t xml:space="preserve">Products &gt;= PKR 2,000</t>
  </si>
  <si>
    <t xml:space="preserve">Min Price</t>
  </si>
  <si>
    <t xml:space="preserve">Avg Price</t>
  </si>
  <si>
    <t xml:space="preserve">Max Price</t>
  </si>
  <si>
    <t xml:space="preserve">Matched Keyword Cluster</t>
  </si>
  <si>
    <t xml:space="preserve">Cluster Monthly Searches</t>
  </si>
  <si>
    <t xml:space="preserve">Cluster Median KD</t>
  </si>
  <si>
    <t xml:space="preserve">SEO Difficulty</t>
  </si>
  <si>
    <t xml:space="preserve">Market Saturation</t>
  </si>
  <si>
    <t xml:space="preserve">Commercial Opportunity</t>
  </si>
  <si>
    <t xml:space="preserve">Commercial Opportunity = (cluster monthly searches / 1000 x 0.5) + ((100 - median KD) x 0.4) + ((10 - brands present, capped) x 2). Rewards demand and punishes both difficulty and crowding. Higher is better.</t>
  </si>
  <si>
    <t xml:space="preserve">Market Saturation counts only VERIFIED PAKISTANI brands selling above PKR 2,000 in that subcategory — imported brands are excluded by design, so 'Low' means low LOCAL supply, not low competition overall.</t>
  </si>
  <si>
    <t xml:space="preserve">TOP 25 PRODUCT OPPORTUNITIES FOR A NEW PREMIUM PAKISTANI BRAND</t>
  </si>
  <si>
    <t xml:space="preserve">Weighted: Search Demand 20% · SEO Opportunity 20% · Commercial Intent 15% · Competition 10% · Price Potential 10% · Repeat Purchase 10% · Market Gap 10% · Differentiation 5%</t>
  </si>
  <si>
    <t xml:space="preserve">Rank</t>
  </si>
  <si>
    <t xml:space="preserve">Product Concept</t>
  </si>
  <si>
    <t xml:space="preserve">Target Audience</t>
  </si>
  <si>
    <t xml:space="preserve">Search Demand Evidence</t>
  </si>
  <si>
    <t xml:space="preserve">Existing PK Competition</t>
  </si>
  <si>
    <t xml:space="preserve">Suggested Price PKR</t>
  </si>
  <si>
    <t xml:space="preserve">Repeat Purchase</t>
  </si>
  <si>
    <t xml:space="preserve">Market Gap</t>
  </si>
  <si>
    <t xml:space="preserve">Overall Score</t>
  </si>
  <si>
    <t xml:space="preserve">Band</t>
  </si>
  <si>
    <t xml:space="preserve">Launch Priority</t>
  </si>
  <si>
    <t xml:space="preserve">Water-based / no-white-cast SPF 50 sunscreen for brown skin</t>
  </si>
  <si>
    <t xml:space="preserve">Women 18-40, urban, oily-combination skin, Karachi/Lahore/Islamabad</t>
  </si>
  <si>
    <t xml:space="preserve">'sunscreen' 6,600/mo + 'best sunscreen in pakistan' 4,400/mo KD 14 + 'sunscreen for oily skin' 3,600/mo</t>
  </si>
  <si>
    <t xml:space="preserve">Only Zero Makeup SUN100, Jenpharm Spectra and Conatural compete above PKR 2,000</t>
  </si>
  <si>
    <t xml:space="preserve">High - 45-60 day replacement</t>
  </si>
  <si>
    <t xml:space="preserve">Every top-10 result for the head term is a collection page, an Instagram reel or a Reddit thread</t>
  </si>
  <si>
    <t xml:space="preserve">HERO</t>
  </si>
  <si>
    <t xml:space="preserve">Vitamin C serum (stabilised, 30ml, price-transparent)</t>
  </si>
  <si>
    <t xml:space="preserve">Women 22-40, pigmentation-concerned</t>
  </si>
  <si>
    <t xml:space="preserve">'vitamin c serum' 12,100/mo; 'vitamin c serum price in pakistan' 4,400/mo at KD 8</t>
  </si>
  <si>
    <t xml:space="preserve">Golden Pearl ranks here on AS 19 - beatable</t>
  </si>
  <si>
    <t xml:space="preserve">High - 60-90 days</t>
  </si>
  <si>
    <t xml:space="preserve">Position 6 held by an AS-19 product page with no schema</t>
  </si>
  <si>
    <t xml:space="preserve">Niacinamide 10% + Zinc serum</t>
  </si>
  <si>
    <t xml:space="preserve">Women 18-35, oily and acne-prone</t>
  </si>
  <si>
    <t xml:space="preserve">'niacinamide serum' 12,100/mo; 'niacinamide serum price in pakistan' 3,600/mo KD 16; 'best niacinamide serum in pakistan' KD 7</t>
  </si>
  <si>
    <t xml:space="preserve">Conatural's top page; The Ordinary imports</t>
  </si>
  <si>
    <t xml:space="preserve">Nobody owns the Pakistani-formulated niacinamide story</t>
  </si>
  <si>
    <t xml:space="preserve">Encapsulated retinol serum with a beginner protocol</t>
  </si>
  <si>
    <t xml:space="preserve">Women 28-45, first-time retinol users</t>
  </si>
  <si>
    <t xml:space="preserve">'retinol serum' 8,100/mo KD 29; 'best retinol serum in pakistan' 1,600/mo at KD 7</t>
  </si>
  <si>
    <t xml:space="preserve">AccuFix only</t>
  </si>
  <si>
    <t xml:space="preserve">Medium-high</t>
  </si>
  <si>
    <t xml:space="preserve">No PK brand publishes a retinol onboarding protocol; fear of irritation is the main objection</t>
  </si>
  <si>
    <t xml:space="preserve">Glycolic acid 7% exfoliating toner</t>
  </si>
  <si>
    <t xml:space="preserve">Women 20-35, texture and dullness</t>
  </si>
  <si>
    <t xml:space="preserve">'glycolic acid toner' 3,600/mo at KD 13; 'best toner in pakistan' KD 9</t>
  </si>
  <si>
    <t xml:space="preserve">Forganica, AccuFix</t>
  </si>
  <si>
    <t xml:space="preserve">Toner is the lowest-KD cluster in the entire dataset - median KD 13</t>
  </si>
  <si>
    <t xml:space="preserve">Ceramide barrier repair cream</t>
  </si>
  <si>
    <t xml:space="preserve">Women 25-45, sensitised or over-exfoliated skin</t>
  </si>
  <si>
    <t xml:space="preserve">'ceramide moisturizer' 1,300/mo KD 15; 'cerave moisturizer' 14,800/mo shows the category is understood</t>
  </si>
  <si>
    <t xml:space="preserve">AccuFix AccuPair only</t>
  </si>
  <si>
    <t xml:space="preserve">CeraVe demand is enormous and imported; no credible PK ceramide brand exists</t>
  </si>
  <si>
    <t xml:space="preserve">Salicylic acid 2% acne serum</t>
  </si>
  <si>
    <t xml:space="preserve">Teens and women 16-28, acne-prone</t>
  </si>
  <si>
    <t xml:space="preserve">'acne serum' 720/mo at KD 7; 'salicylic acid serum' 4,400/mo KD 16; 'acne cream in pakistan' KD 6</t>
  </si>
  <si>
    <t xml:space="preserve">The whole acne cluster sits at KD 6-13 - the softest concern in the market</t>
  </si>
  <si>
    <t xml:space="preserve">Alpha arbutin + kojic pigmentation serum</t>
  </si>
  <si>
    <t xml:space="preserve">Women 25-45, melasma and post-acne marks</t>
  </si>
  <si>
    <t xml:space="preserve">'alpha arbutin serum' 1,900/mo KD 11; 'whitening serum' 2,400/mo KD 9; 'best whitening cream in pakistan' 8,100/mo KD 20</t>
  </si>
  <si>
    <t xml:space="preserve">Dominated by mass whitening creams, not premium serums</t>
  </si>
  <si>
    <t xml:space="preserve">Category is stuck in 'fairness cream' framing; a clinical anti-pigmentation reframe is wide open</t>
  </si>
  <si>
    <t xml:space="preserve">Hyaluronic acid + B5 hydrating serum</t>
  </si>
  <si>
    <t xml:space="preserve">Women 20-40, all skin types</t>
  </si>
  <si>
    <t xml:space="preserve">Conatural, Forganica, Vince</t>
  </si>
  <si>
    <t xml:space="preserve">Commodity active but demand is proven and steady</t>
  </si>
  <si>
    <t xml:space="preserve">Strong</t>
  </si>
  <si>
    <t xml:space="preserve">Mandelic acid serum for sensitive / darker skin</t>
  </si>
  <si>
    <t xml:space="preserve">Women 22-40, sensitive acne-prone</t>
  </si>
  <si>
    <t xml:space="preserve">'mandelic acid serum' 1,300/mo KD 16</t>
  </si>
  <si>
    <t xml:space="preserve">Jenpharm Mandelac only</t>
  </si>
  <si>
    <t xml:space="preserve">Mandelic is the correct acid for melanin-rich skin and almost nobody says so</t>
  </si>
  <si>
    <t xml:space="preserve">Azelaic acid 10% serum</t>
  </si>
  <si>
    <t xml:space="preserve">Women 22-40, rosacea, acne, pigmentation</t>
  </si>
  <si>
    <t xml:space="preserve">'azelaic acid serum' 1,300/mo KD 16; 'azelaic acid cream' 6,600/mo KD 37</t>
  </si>
  <si>
    <t xml:space="preserve">Prescription-adjacent only (Skinoren 40,500/mo)</t>
  </si>
  <si>
    <t xml:space="preserve">Skinoren gets 40,500 searches/mo as a pharmacy product - a cosmetic-grade version has no premium PK rival</t>
  </si>
  <si>
    <t xml:space="preserve">Centella / cica soothing serum</t>
  </si>
  <si>
    <t xml:space="preserve">Women 18-35, sensitive and reactive</t>
  </si>
  <si>
    <t xml:space="preserve">'centella serum' 3,600/mo at KD 13</t>
  </si>
  <si>
    <t xml:space="preserve">Imported K-beauty only</t>
  </si>
  <si>
    <t xml:space="preserve">3,600/mo at KD 13 with zero Pakistani-owned supply</t>
  </si>
  <si>
    <t xml:space="preserve">Peptide firming night cream</t>
  </si>
  <si>
    <t xml:space="preserve">Women 30-50</t>
  </si>
  <si>
    <t xml:space="preserve">'anti wrinkle serum' 1,900/mo KD 31; 'peptide' demand emerging</t>
  </si>
  <si>
    <t xml:space="preserve">SL Basics, Forganica, Klean</t>
  </si>
  <si>
    <t xml:space="preserve">Anti-ageing is under-built in PK relative to brightening</t>
  </si>
  <si>
    <t xml:space="preserve">Bakuchiol serum (retinol alternative)</t>
  </si>
  <si>
    <t xml:space="preserve">Women 25-40, sensitive or pregnant</t>
  </si>
  <si>
    <t xml:space="preserve">Emerging; rides 'retinol serum' 8,100/mo</t>
  </si>
  <si>
    <t xml:space="preserve">Klean Beauty only</t>
  </si>
  <si>
    <t xml:space="preserve">Only one PK brand sells it - first-mover advantage available</t>
  </si>
  <si>
    <t xml:space="preserve">Vitamin C brightening face wash</t>
  </si>
  <si>
    <t xml:space="preserve">Women 18-35</t>
  </si>
  <si>
    <t xml:space="preserve">'vitamin c face wash' 3,600/mo KD 17; 'whitening face wash' 2,900/mo KD 9</t>
  </si>
  <si>
    <t xml:space="preserve">Conatural, Vince</t>
  </si>
  <si>
    <t xml:space="preserve">Cleanser repeat rate is the highest in skincare</t>
  </si>
  <si>
    <t xml:space="preserve">Tinted mineral sunscreen SPF 50</t>
  </si>
  <si>
    <t xml:space="preserve">Women 25-45 who skip base makeup</t>
  </si>
  <si>
    <t xml:space="preserve">'tinted sunscreen' 2,400/mo KD 16; 'tinted sunscreen in pakistan' 880/mo KD 10</t>
  </si>
  <si>
    <t xml:space="preserve">Almost none PK-owned</t>
  </si>
  <si>
    <t xml:space="preserve">Sits between skincare and makeup - no PK brand occupies it</t>
  </si>
  <si>
    <t xml:space="preserve">Ubtan-reformulated modern brightening mask</t>
  </si>
  <si>
    <t xml:space="preserve">Women 20-45, heritage-oriented</t>
  </si>
  <si>
    <t xml:space="preserve">Conatural's ubtan scrub is a proven seller; 'ubtan' is a native PK term</t>
  </si>
  <si>
    <t xml:space="preserve">Conatural, Saeed Ghani</t>
  </si>
  <si>
    <t xml:space="preserve">Heritage ingredient with modern formulation is the clearest differentiation available to a Pakistani brand</t>
  </si>
  <si>
    <t xml:space="preserve">Under-eye peptide + caffeine serum</t>
  </si>
  <si>
    <t xml:space="preserve">Women 22-45, dark circles</t>
  </si>
  <si>
    <t xml:space="preserve">'eye cream for dark circles' 2,400/mo KD 18; 'best eye cream in pakistan' KD 7; 'eye cream in pakistan' KD 6</t>
  </si>
  <si>
    <t xml:space="preserve">Conatural only</t>
  </si>
  <si>
    <t xml:space="preserve">Entire eye-care cluster sits at KD 6-20 with almost no PK supply</t>
  </si>
  <si>
    <t xml:space="preserve">Niacinamide body lotion</t>
  </si>
  <si>
    <t xml:space="preserve">Women 20-45</t>
  </si>
  <si>
    <t xml:space="preserve">Bling by Nadia Hussain proves the price point; body actives largely absent</t>
  </si>
  <si>
    <t xml:space="preserve">Bling by Nadia Hussain, AccuFix</t>
  </si>
  <si>
    <t xml:space="preserve">Body actives is a genuine white space - large volume, high repeat</t>
  </si>
  <si>
    <t xml:space="preserve">Dark-lip correction balm</t>
  </si>
  <si>
    <t xml:space="preserve">Women 18-40, smokers, tea drinkers</t>
  </si>
  <si>
    <t xml:space="preserve">AccuFix sells a bundle at PKR 3,496 - demand is proven at price</t>
  </si>
  <si>
    <t xml:space="preserve">A distinctly South Asian concern that global brands do not address</t>
  </si>
  <si>
    <t xml:space="preserve">SPF-containing brightening base / skin tint</t>
  </si>
  <si>
    <t xml:space="preserve">Women 22-40</t>
  </si>
  <si>
    <t xml:space="preserve">'foundation makeup' 1,600/mo; 'fit me foundation' 4,400/mo; Luscious prices its SPF base at PKR 3,750</t>
  </si>
  <si>
    <t xml:space="preserve">Luscious only</t>
  </si>
  <si>
    <t xml:space="preserve">Makeup-skincare hybrid is the fastest-growing global format and barely present in PK</t>
  </si>
  <si>
    <t xml:space="preserve">Long-wear foundation for South Asian undertones</t>
  </si>
  <si>
    <t xml:space="preserve">Women 20-45, bridal and event</t>
  </si>
  <si>
    <t xml:space="preserve">'maybelline foundation' 6,600/mo; 'miss rose foundation' 6,600/mo; 'kashees foundation' 3,600/mo</t>
  </si>
  <si>
    <t xml:space="preserve">Zero Makeup, MM, Color Studio, Kashee's</t>
  </si>
  <si>
    <t xml:space="preserve">Low-medium</t>
  </si>
  <si>
    <t xml:space="preserve">Shade ranges built for South Asian undertones remain the loudest consumer complaint</t>
  </si>
  <si>
    <t xml:space="preserve">Cream contour stick</t>
  </si>
  <si>
    <t xml:space="preserve">Women 20-35</t>
  </si>
  <si>
    <t xml:space="preserve">'makeup' 18,100/mo; contour barely supplied by PK brands</t>
  </si>
  <si>
    <t xml:space="preserve">Conatural contour powder only</t>
  </si>
  <si>
    <t xml:space="preserve">Cream formats are what the category is moving to</t>
  </si>
  <si>
    <t xml:space="preserve">Moderate</t>
  </si>
  <si>
    <t xml:space="preserve">Matte liquid lipstick in a South Asian nude range</t>
  </si>
  <si>
    <t xml:space="preserve">Women 18-40</t>
  </si>
  <si>
    <t xml:space="preserve">'nude lipstick shades' 2,400/mo KD 24; 'medora lipstick' 8,100/mo</t>
  </si>
  <si>
    <t xml:space="preserve">Medora, MM, Color Studio, Zero Makeup</t>
  </si>
  <si>
    <t xml:space="preserve">Nude ranges are built for Western undertones; a South Asian nude range is unclaimed</t>
  </si>
  <si>
    <t xml:space="preserve">Skin-type diagnostic starter routine kit</t>
  </si>
  <si>
    <t xml:space="preserve">First-time skincare buyers 18-30</t>
  </si>
  <si>
    <t xml:space="preserve">'skin care kit' 210/mo KD 8; 'skin care routine steps' 260/mo; every PK brand sells undifferentiated bundles</t>
  </si>
  <si>
    <t xml:space="preserve">SL Basics, Forganica, Klean, AccuFix all sell kits</t>
  </si>
  <si>
    <t xml:space="preserve">No PK brand personalises by skin type at point of sale - all kits are one-size-fits-all</t>
  </si>
  <si>
    <t xml:space="preserve">TOP 20 MARKET GAPS — what Pakistani beauty brands are doing badly</t>
  </si>
  <si>
    <t xml:space="preserve">Each gap is anchored to evidence from this workbook, not to opinion.</t>
  </si>
  <si>
    <t xml:space="preserve">Customer Problem</t>
  </si>
  <si>
    <t xml:space="preserve">Search Demand</t>
  </si>
  <si>
    <t xml:space="preserve">Competition</t>
  </si>
  <si>
    <t xml:space="preserve">Commercial Potential</t>
  </si>
  <si>
    <t xml:space="preserve">Launch Difficulty</t>
  </si>
  <si>
    <t xml:space="preserve">No genuine editorial comparison content exists</t>
  </si>
  <si>
    <t xml:space="preserve">Reddit threads and TikTok/Instagram reels rank in the top 10 for 'best skin care products in pakistan' (1,600/mo) and 'best sunscreen in pakistan' (4,400/mo)</t>
  </si>
  <si>
    <t xml:space="preserve">Buyers cannot find a trustworthy Pakistani comparison and fall back to strangers on Reddit</t>
  </si>
  <si>
    <t xml:space="preserve">Very low</t>
  </si>
  <si>
    <t xml:space="preserve">Price transparency is unowned</t>
  </si>
  <si>
    <t xml:space="preserve">Dozens of '&lt;product&gt; price in pakistan' terms carry 1,000-8,000 searches/mo at KD 6-16 and are served by thin marketplace tag pages</t>
  </si>
  <si>
    <t xml:space="preserve">Buyers cannot get a straight answer on price without wading through Daraz</t>
  </si>
  <si>
    <t xml:space="preserve">Sunscreen education for brown skin</t>
  </si>
  <si>
    <t xml:space="preserve">'best sunscreen in pakistan' 4,400/mo, KD 14, top-10 is Instagram reels and Shopify collection pages</t>
  </si>
  <si>
    <t xml:space="preserve">White cast and greasiness on brown skin - nobody has published a tested guide</t>
  </si>
  <si>
    <t xml:space="preserve">'Whitening' framing has not been modernised</t>
  </si>
  <si>
    <t xml:space="preserve">'best whitening cream in pakistan' 8,100/mo, 'whitening cream' 12,100/mo, 'whitening serum' 2,400/mo KD 9 - all served by mass fairness creams</t>
  </si>
  <si>
    <t xml:space="preserve">Consumers want pigmentation treated, not skin bleached, but only fairness products are on offer</t>
  </si>
  <si>
    <t xml:space="preserve">Ceramide / barrier repair has no Pakistani brand</t>
  </si>
  <si>
    <t xml:space="preserve">'cerave moisturizer' 14,800/mo and 'cerave face wash' 12,100/mo are all imported demand</t>
  </si>
  <si>
    <t xml:space="preserve">Sensitised, over-exfoliated skin has no local option</t>
  </si>
  <si>
    <t xml:space="preserve">Acne is the softest cluster and nobody owns it</t>
  </si>
  <si>
    <t xml:space="preserve">Acne keywords sit at KD 6-13 across the board ('acne cream in pakistan' KD 6, 'acne serum' KD 7)</t>
  </si>
  <si>
    <t xml:space="preserve">Teens and young adults self-medicate with prescription steroid creams</t>
  </si>
  <si>
    <t xml:space="preserve">Eye care is almost unsupplied</t>
  </si>
  <si>
    <t xml:space="preserve">'eye cream in pakistan' KD 6, 'best eye cream in pakistan' KD 7, 'eye cream for dark circles' 2,400/mo KD 18</t>
  </si>
  <si>
    <t xml:space="preserve">Dark circles are a top-3 stated concern with no credible local product</t>
  </si>
  <si>
    <t xml:space="preserve">No ingredient transparency or percentage labelling</t>
  </si>
  <si>
    <t xml:space="preserve">Almost no PK brand states active percentages; AccuFix and Forganica are the rare exceptions</t>
  </si>
  <si>
    <t xml:space="preserve">Buyers cannot compare products on anything but price</t>
  </si>
  <si>
    <t xml:space="preserve">Toner cluster is wide open</t>
  </si>
  <si>
    <t xml:space="preserve">'glycolic acid toner' 3,600/mo KD 13, 'best toner in pakistan' KD 9, 'salicylic acid toner' KD 8, 'rice toner' KD 7</t>
  </si>
  <si>
    <t xml:space="preserve">Toner is misunderstood as astringent; nobody has re-educated the market</t>
  </si>
  <si>
    <t xml:space="preserve">No skin-type personalisation at point of sale</t>
  </si>
  <si>
    <t xml:space="preserve">Every PK brand sells one-size-fits-all kits</t>
  </si>
  <si>
    <t xml:space="preserve">Buyers do not know which routine is theirs and abandon</t>
  </si>
  <si>
    <t xml:space="preserve">Body actives are a white space</t>
  </si>
  <si>
    <t xml:space="preserve">Bling's niacinamide and kojic body lotions at PKR 2,468 are near-unrivalled</t>
  </si>
  <si>
    <t xml:space="preserve">Body pigmentation and KP are untreated</t>
  </si>
  <si>
    <t xml:space="preserve">Nobody runs subscription or replenishment</t>
  </si>
  <si>
    <t xml:space="preserve">No PK beauty brand found offers subscribe-and-save</t>
  </si>
  <si>
    <t xml:space="preserve">Sunscreen and cleanser run out monthly and buyers churn to whatever is nearest</t>
  </si>
  <si>
    <t xml:space="preserve">None</t>
  </si>
  <si>
    <t xml:space="preserve">South Asian undertone shade ranges</t>
  </si>
  <si>
    <t xml:space="preserve">'kashees foundation price in pakistan' 4,400/mo; complaints about shade matching are constant</t>
  </si>
  <si>
    <t xml:space="preserve">Foundations either grey out or turn orange on PK skin</t>
  </si>
  <si>
    <t xml:space="preserve">No clinical evidence or before/after protocol</t>
  </si>
  <si>
    <t xml:space="preserve">No PK brand publishes instrumental testing or standardised before/after</t>
  </si>
  <si>
    <t xml:space="preserve">Buyers cannot tell a formulated product from a repackaged one</t>
  </si>
  <si>
    <t xml:space="preserve">Product-page schema is absent</t>
  </si>
  <si>
    <t xml:space="preserve">Ranking product pages in the retrieved SERPs carry no visible price, review or FAQ schema</t>
  </si>
  <si>
    <t xml:space="preserve">Listings look identical in search results; no rich snippets</t>
  </si>
  <si>
    <t xml:space="preserve">Male skincare is untouched</t>
  </si>
  <si>
    <t xml:space="preserve">'skin care products for men' 480/mo, "men's skin care products in pakistan" 170/mo KD 15</t>
  </si>
  <si>
    <t xml:space="preserve">Men buy their wife's products or nothing</t>
  </si>
  <si>
    <t xml:space="preserve">Teen skincare barely exists</t>
  </si>
  <si>
    <t xml:space="preserve">SL Basics' 'Teenage Dream' is the only teen-framed SKU found</t>
  </si>
  <si>
    <t xml:space="preserve">Teens use adult whitening creams and damage their barrier</t>
  </si>
  <si>
    <t xml:space="preserve">Sensitive-skin and fragrance-free lines</t>
  </si>
  <si>
    <t xml:space="preserve">Jenpharm's Dermive Fragrance Free is one of very few</t>
  </si>
  <si>
    <t xml:space="preserve">Sensitised skin has no premium local option</t>
  </si>
  <si>
    <t xml:space="preserve">Local heritage ingredients are stuck in mass positioning</t>
  </si>
  <si>
    <t xml:space="preserve">Ubtan, saffron, rose and neem all sit at mass price points</t>
  </si>
  <si>
    <t xml:space="preserve">No premium brand tells a modern Pakistani ingredient story</t>
  </si>
  <si>
    <t xml:space="preserve">Discounting language is baked into product URLs</t>
  </si>
  <si>
    <t xml:space="preserve">Conatural handles literally contain 'clearance-sale-flat-40-off'</t>
  </si>
  <si>
    <t xml:space="preserve">Permanent-discount signalling destroys premium pricing power and splits URL equity</t>
  </si>
  <si>
    <t xml:space="preserve">n/a</t>
  </si>
  <si>
    <t xml:space="preserve">SEO CONTENT PLAN — 110 opportunities, generated from the Pakistan keyword set</t>
  </si>
  <si>
    <t xml:space="preserve">Ranked by Volume / KD. Funnel stage is assigned from Semrush search intent.</t>
  </si>
  <si>
    <t xml:space="preserve">Priority</t>
  </si>
  <si>
    <t xml:space="preserve">Search Intent</t>
  </si>
  <si>
    <t xml:space="preserve">Recommended Content Type</t>
  </si>
  <si>
    <t xml:space="preserve">Suggested Title</t>
  </si>
  <si>
    <t xml:space="preserve">Target Product Concept</t>
  </si>
  <si>
    <t xml:space="preserve">Funnel Stage</t>
  </si>
  <si>
    <t xml:space="preserve">Gluta White Cream — Price in Pakistan (2026), Full Ingredient List</t>
  </si>
  <si>
    <t xml:space="preserve">Ceramide barrier cream</t>
  </si>
  <si>
    <t xml:space="preserve">Middle - comparing</t>
  </si>
  <si>
    <t xml:space="preserve">Eventone C Cream — Price in Pakistan (2026), Full Ingredient List</t>
  </si>
  <si>
    <t xml:space="preserve">Top - researching</t>
  </si>
  <si>
    <t xml:space="preserve">Skinoren Cream — Complete Collection for Pakistani Skin</t>
  </si>
  <si>
    <t xml:space="preserve">Skin A Cream — Complete Collection for Pakistani Skin</t>
  </si>
  <si>
    <t xml:space="preserve">Makeup City — Buy Online in Pakistan</t>
  </si>
  <si>
    <t xml:space="preserve">Category / brand page</t>
  </si>
  <si>
    <t xml:space="preserve">Bottom - branded</t>
  </si>
  <si>
    <t xml:space="preserve">Ponds Face Wash — Complete Collection for Pakistani Skin</t>
  </si>
  <si>
    <t xml:space="preserve">Vitamin C brightening cleanser</t>
  </si>
  <si>
    <t xml:space="preserve">Skinoren Cream — Price in Pakistan (2026), Full Ingredient List</t>
  </si>
  <si>
    <t xml:space="preserve">Bottom - ready to buy</t>
  </si>
  <si>
    <t xml:space="preserve">Triac Face Wash — Complete Collection for Pakistani Skin</t>
  </si>
  <si>
    <t xml:space="preserve">Hydrozole Cream — Complete Collection for Pakistani Skin</t>
  </si>
  <si>
    <t xml:space="preserve">Gulta White Cream — Complete Collection for Pakistani Skin</t>
  </si>
  <si>
    <t xml:space="preserve">Tracnesan Cream — Complete Collection for Pakistani Skin</t>
  </si>
  <si>
    <t xml:space="preserve">Salicylic 2% acne serum</t>
  </si>
  <si>
    <t xml:space="preserve">Quench Cream — Complete Collection for Pakistani Skin</t>
  </si>
  <si>
    <t xml:space="preserve">Skin A Cream — Price in Pakistan (2026), Full Ingredient List</t>
  </si>
  <si>
    <t xml:space="preserve">Barrier Sunscreen — Complete Collection for Pakistani Skin</t>
  </si>
  <si>
    <t xml:space="preserve">Water-based SPF 50</t>
  </si>
  <si>
    <t xml:space="preserve">Triac Face Wash — Price in Pakistan (2026), Full Ingredient List</t>
  </si>
  <si>
    <t xml:space="preserve">Dermoteen Cream — Price in Pakistan (2026), Full Ingredient List</t>
  </si>
  <si>
    <t xml:space="preserve">Eventone C Cream — Complete Collection for Pakistani Skin</t>
  </si>
  <si>
    <t xml:space="preserve">Cerave Moisturizer — Buy Online in Pakistan</t>
  </si>
  <si>
    <t xml:space="preserve">Makeup — Complete Collection for Pakistani Skin</t>
  </si>
  <si>
    <t xml:space="preserve">Skin Aqua Sunscreen — Complete Collection for Pakistani Skin</t>
  </si>
  <si>
    <t xml:space="preserve">Lumexa Cream — Price in Pakistan (2026), Full Ingredient List</t>
  </si>
  <si>
    <t xml:space="preserve">Garnier Face Wash — Complete Collection for Pakistani Skin</t>
  </si>
  <si>
    <t xml:space="preserve">Whitening Cream — Complete Collection for Pakistani Skin</t>
  </si>
  <si>
    <t xml:space="preserve">Alpha arbutin + kojic serum</t>
  </si>
  <si>
    <t xml:space="preserve">Biofade Cream — Complete Collection for Pakistani Skin</t>
  </si>
  <si>
    <t xml:space="preserve">Vitamin C Serum — Price in Pakistan (2026), Full Ingredient List</t>
  </si>
  <si>
    <t xml:space="preserve">Vitamin C serum</t>
  </si>
  <si>
    <t xml:space="preserve">Cerave Moisturizer — Price in Pakistan (2026), Full Ingredient List</t>
  </si>
  <si>
    <t xml:space="preserve">Chalonese Brightening Cream — Price in Pakistan (2026), Full Ingredient List</t>
  </si>
  <si>
    <t xml:space="preserve">Ces Vi Brightening Face Wash — Complete Collection for Pakistani Skin</t>
  </si>
  <si>
    <t xml:space="preserve">Nars Foundation — Price in Pakistan (2026), Full Ingredient List</t>
  </si>
  <si>
    <t xml:space="preserve">Cerave Face Wash — Price in Pakistan (2026), Full Ingredient List</t>
  </si>
  <si>
    <t xml:space="preserve">Mec Face Wash — Complete Collection for Pakistani Skin</t>
  </si>
  <si>
    <t xml:space="preserve">Gluta White Cream — Complete Collection for Pakistani Skin</t>
  </si>
  <si>
    <t xml:space="preserve">Golden Pearl Cream — Complete Collection for Pakistani Skin</t>
  </si>
  <si>
    <t xml:space="preserve">Miss Rose Foundation — Complete Collection for Pakistani Skin</t>
  </si>
  <si>
    <t xml:space="preserve">Golden Pearl Face Wash — Complete Collection for Pakistani Skin</t>
  </si>
  <si>
    <t xml:space="preserve">Best Vitamin C Serum In Pakistan (2026): Tested and Compared</t>
  </si>
  <si>
    <t xml:space="preserve">Dermive Moisturizer — Complete Collection for Pakistani Skin</t>
  </si>
  <si>
    <t xml:space="preserve">Alpha Glow Cream — Price in Pakistan (2026), Full Ingredient List</t>
  </si>
  <si>
    <t xml:space="preserve">Best Whitening Cream In Pakistan (2026): Tested and Compared</t>
  </si>
  <si>
    <t xml:space="preserve">Maxdif Cream — Price in Pakistan (2026), Full Ingredient List</t>
  </si>
  <si>
    <t xml:space="preserve">White Balance Cream — Complete Collection for Pakistani Skin</t>
  </si>
  <si>
    <t xml:space="preserve">Makeup Organizer — Complete Collection for Pakistani Skin</t>
  </si>
  <si>
    <t xml:space="preserve">Mandelac Face Wash — Complete Collection for Pakistani Skin</t>
  </si>
  <si>
    <t xml:space="preserve">Niacinamide Serum — Complete Collection for Pakistani Skin</t>
  </si>
  <si>
    <t xml:space="preserve">Niacinamide 10% + Zinc</t>
  </si>
  <si>
    <t xml:space="preserve">Hair Serum — Complete Collection for Pakistani Skin</t>
  </si>
  <si>
    <t xml:space="preserve">Core serum range</t>
  </si>
  <si>
    <t xml:space="preserve">Sunscreen — Complete Collection for Pakistani Skin</t>
  </si>
  <si>
    <t xml:space="preserve">The Ordinary Serum — Price in Pakistan (2026), Full Ingredient List</t>
  </si>
  <si>
    <t xml:space="preserve">Masarrat Misbah Foundation — Complete Collection for Pakistani Skin</t>
  </si>
  <si>
    <t xml:space="preserve">Ava Skin Care — Shop the Full Range</t>
  </si>
  <si>
    <t xml:space="preserve">Mandelac Face Wash — Price in Pakistan (2026), Full Ingredient List</t>
  </si>
  <si>
    <t xml:space="preserve">Rice Face Wash — Complete Collection for Pakistani Skin</t>
  </si>
  <si>
    <t xml:space="preserve">Emelie Foundation — Complete Collection for Pakistani Skin</t>
  </si>
  <si>
    <t xml:space="preserve">Medora Lipstick — Complete Collection for Pakistani Skin</t>
  </si>
  <si>
    <t xml:space="preserve">Matte liquid lipstick</t>
  </si>
  <si>
    <t xml:space="preserve">Jenpharm Face Wash — Buy Online in Pakistan</t>
  </si>
  <si>
    <t xml:space="preserve">Hair Growth Serum — Complete Collection for Pakistani Skin</t>
  </si>
  <si>
    <t xml:space="preserve">Cerave Face Wash — Complete Collection for Pakistani Skin</t>
  </si>
  <si>
    <t xml:space="preserve">Glupatone Cream — Complete Collection for Pakistani Skin</t>
  </si>
  <si>
    <t xml:space="preserve">Whitening Face Wash — Complete Collection for Pakistani Skin</t>
  </si>
  <si>
    <t xml:space="preserve">Face Wash — Complete Collection for Pakistani Skin</t>
  </si>
  <si>
    <t xml:space="preserve">Dermive Oil Free Moisturizer — Complete Collection for Pakistani Skin</t>
  </si>
  <si>
    <t xml:space="preserve">Best Sunscreen In Pakistan (2026): Tested and Compared</t>
  </si>
  <si>
    <t xml:space="preserve">Alpha Glow Cream — Complete Collection for Pakistani Skin</t>
  </si>
  <si>
    <t xml:space="preserve">Vitamin C Serum — Complete Collection for Pakistani Skin</t>
  </si>
  <si>
    <t xml:space="preserve">Possible Sunscreen — Complete Collection for Pakistani Skin</t>
  </si>
  <si>
    <t xml:space="preserve">Cetaphil Moisturizer — Price in Pakistan (2026), Full Ingredient List</t>
  </si>
  <si>
    <t xml:space="preserve">Alite Face Wash — Complete Collection for Pakistani Skin</t>
  </si>
  <si>
    <t xml:space="preserve">Fit Me Foundation — Price in Pakistan (2026), Full Ingredient List</t>
  </si>
  <si>
    <t xml:space="preserve">Anagrow Serum — Price in Pakistan (2026), Full Ingredient List</t>
  </si>
  <si>
    <t xml:space="preserve">Ordinary Serum — Price in Pakistan (2026), Full Ingredient List</t>
  </si>
  <si>
    <t xml:space="preserve">Best Face Wash In Pakistan (2026): Tested and Compared</t>
  </si>
  <si>
    <t xml:space="preserve">Salicylic Acid Face Wash — Complete Collection for Pakistani Skin</t>
  </si>
  <si>
    <t xml:space="preserve">Livon Hair Serum — Complete Collection for Pakistani Skin</t>
  </si>
  <si>
    <t xml:space="preserve">Clean And Clear Face Wash — Complete Collection for Pakistani Skin</t>
  </si>
  <si>
    <t xml:space="preserve">Retinol Serum — Complete Collection for Pakistani Skin</t>
  </si>
  <si>
    <t xml:space="preserve">Encapsulated retinol</t>
  </si>
  <si>
    <t xml:space="preserve">Centella Serum — Complete Collection for Pakistani Skin</t>
  </si>
  <si>
    <t xml:space="preserve">Centella soothing serum</t>
  </si>
  <si>
    <t xml:space="preserve">Ponds Face Wash — Price in Pakistan (2026), Full Ingredient List</t>
  </si>
  <si>
    <t xml:space="preserve">Glycolic Acid Toner — Complete Collection for Pakistani Skin</t>
  </si>
  <si>
    <t xml:space="preserve">Glycolic 7% toner</t>
  </si>
  <si>
    <t xml:space="preserve">Salicylic Acid Serum — Complete Collection for Pakistani Skin</t>
  </si>
  <si>
    <t xml:space="preserve">Ponds Moisturizer — Complete Collection for Pakistani Skin</t>
  </si>
  <si>
    <t xml:space="preserve">Himalaya Face Wash — Complete Collection for Pakistani Skin</t>
  </si>
  <si>
    <t xml:space="preserve">Dermaxil Moisturizer — Complete Collection for Pakistani Skin</t>
  </si>
  <si>
    <t xml:space="preserve">Dermive Moisturizer — Price in Pakistan (2026), Full Ingredient List</t>
  </si>
  <si>
    <t xml:space="preserve">Whitening Serum — Complete Collection for Pakistani Skin</t>
  </si>
  <si>
    <t xml:space="preserve">Livon Hair Serum — Price in Pakistan (2026), Full Ingredient List</t>
  </si>
  <si>
    <t xml:space="preserve">Beads Face Wash — Price in Pakistan (2026), Full Ingredient List</t>
  </si>
  <si>
    <t xml:space="preserve">Maxdif Face Wash — Price in Pakistan (2026), Full Ingredient List</t>
  </si>
  <si>
    <t xml:space="preserve">Nivea Cream — Complete Collection for Pakistani Skin</t>
  </si>
  <si>
    <t xml:space="preserve">Moisturizer — Complete Collection for Pakistani Skin</t>
  </si>
  <si>
    <t xml:space="preserve">Beads Face Wash — Complete Collection for Pakistani Skin</t>
  </si>
  <si>
    <t xml:space="preserve">Kashees Foundation — Price in Pakistan (2026), Full Ingredient List</t>
  </si>
  <si>
    <t xml:space="preserve">Physiogel Moisturizer — Price in Pakistan (2026), Full Ingredient List</t>
  </si>
  <si>
    <t xml:space="preserve">Best Face Wash (2026): Tested and Compared</t>
  </si>
  <si>
    <t xml:space="preserve">Hyaluronic Acid Serum — Complete Collection for Pakistani Skin</t>
  </si>
  <si>
    <t xml:space="preserve">HA + B5 serum</t>
  </si>
  <si>
    <t xml:space="preserve">Dr Rashel Face Wash — Complete Collection for Pakistani Skin</t>
  </si>
  <si>
    <t xml:space="preserve">Neobrella Sunscreen — Complete Collection for Pakistani Skin</t>
  </si>
  <si>
    <t xml:space="preserve">Acne Clear Face Wash — Complete Collection for Pakistani Skin</t>
  </si>
  <si>
    <t xml:space="preserve">Best Retinol Serum In Pakistan (2026): Tested and Compared</t>
  </si>
  <si>
    <t xml:space="preserve">Niacinamide Serum — Price in Pakistan (2026), Full Ingredient List</t>
  </si>
  <si>
    <t xml:space="preserve">Zenova Face Wash — Complete Collection for Pakistani Skin</t>
  </si>
  <si>
    <t xml:space="preserve">Garnier Vitamin C Serum — Complete Collection for Pakistani Skin</t>
  </si>
  <si>
    <t xml:space="preserve">Johnson Face Wash — Complete Collection for Pakistani Skin</t>
  </si>
  <si>
    <t xml:space="preserve">Serum — Complete Collection for Pakistani Skin</t>
  </si>
  <si>
    <t xml:space="preserve">Girls Makeup — Complete Collection for Pakistani Skin</t>
  </si>
  <si>
    <t xml:space="preserve">Cetaphil Moisturizer — Complete Collection for Pakistani Skin</t>
  </si>
  <si>
    <t xml:space="preserve">Acne Face Wash — Complete Collection for Pakistani Skin</t>
  </si>
  <si>
    <t xml:space="preserve">Neutrogena Face Wash — Complete Collection for Pakistani Skin</t>
  </si>
  <si>
    <t xml:space="preserve">How To Clean Makeup Brushes — A Dermatology-Led Explainer for Pakistani Skin</t>
  </si>
  <si>
    <t xml:space="preserve">Maybelline Foundation — Complete Collection for Pakistani Skin</t>
  </si>
  <si>
    <t xml:space="preserve">Vince Face Wash — Complete Collection for Pakistani Skin</t>
  </si>
  <si>
    <t xml:space="preserve">Vitamin C Face Wash — Complete Collection for Pakistani Skin</t>
  </si>
  <si>
    <t xml:space="preserve">Content pieces planned</t>
  </si>
  <si>
    <t xml:space="preserve">Combined monthly search volume covered</t>
  </si>
  <si>
    <t xml:space="preserve">Est. monthly sessions if all reach position 3 (11% CTR)</t>
  </si>
  <si>
    <t xml:space="preserve">Top 20 rows shaded — build these first. All 110 are drawn from the real Semrush pk keyword set in sheet 2.</t>
  </si>
  <si>
    <t xml:space="preserve">CUSTOMER PERSONAS</t>
  </si>
  <si>
    <t xml:space="preserve">Persona</t>
  </si>
  <si>
    <t xml:space="preserve">Age</t>
  </si>
  <si>
    <t xml:space="preserve">Gender</t>
  </si>
  <si>
    <t xml:space="preserve">Location</t>
  </si>
  <si>
    <t xml:space="preserve">Income</t>
  </si>
  <si>
    <t xml:space="preserve">Skin Concerns</t>
  </si>
  <si>
    <t xml:space="preserve">Buying Motivation</t>
  </si>
  <si>
    <t xml:space="preserve">Main Objection</t>
  </si>
  <si>
    <t xml:space="preserve">Desired Result</t>
  </si>
  <si>
    <t xml:space="preserve">Price Sensitivity</t>
  </si>
  <si>
    <t xml:space="preserve">Preferred Ingredients</t>
  </si>
  <si>
    <t xml:space="preserve">Purchase Intent</t>
  </si>
  <si>
    <t xml:space="preserve">Search Behaviour</t>
  </si>
  <si>
    <t xml:space="preserve">Online Shopping Behaviour</t>
  </si>
  <si>
    <t xml:space="preserve">Premium skincare buyer</t>
  </si>
  <si>
    <t xml:space="preserve">28-40</t>
  </si>
  <si>
    <t xml:space="preserve">Female</t>
  </si>
  <si>
    <t xml:space="preserve">Karachi, Lahore, Islamabad (DHA/Clifton/F-sectors)</t>
  </si>
  <si>
    <t xml:space="preserve">Upper-middle to high, PKR 300k+ household</t>
  </si>
  <si>
    <t xml:space="preserve">Combination to dry</t>
  </si>
  <si>
    <t xml:space="preserve">Pigmentation, dullness, early fine lines</t>
  </si>
  <si>
    <t xml:space="preserve">Wants visible results and is tired of mass whitening creams</t>
  </si>
  <si>
    <t xml:space="preserve">'Is it actually formulated here or just repackaged?'</t>
  </si>
  <si>
    <t xml:space="preserve">Even tone and glow within 8-12 weeks</t>
  </si>
  <si>
    <t xml:space="preserve">LOW - will pay PKR 3,000-6,000 for a serum</t>
  </si>
  <si>
    <t xml:space="preserve">Niacinamide, vitamin C, retinol, ceramides</t>
  </si>
  <si>
    <t xml:space="preserve">Searches '&lt;active&gt; serum price in pakistan' and 'best X in pakistan'; reads Reddit before buying</t>
  </si>
  <si>
    <t xml:space="preserve">Buys direct from brand sites and Instagram; expects COD</t>
  </si>
  <si>
    <t xml:space="preserve">Young skincare buyer</t>
  </si>
  <si>
    <t xml:space="preserve">18-24</t>
  </si>
  <si>
    <t xml:space="preserve">Urban + tier-2 cities</t>
  </si>
  <si>
    <t xml:space="preserve">Student / entry salary, PKR 60-150k household</t>
  </si>
  <si>
    <t xml:space="preserve">Acne, oiliness, open pores</t>
  </si>
  <si>
    <t xml:space="preserve">Peer and TikTok influence</t>
  </si>
  <si>
    <t xml:space="preserve">Price; fear of 'chemicals'</t>
  </si>
  <si>
    <t xml:space="preserve">Clear skin fast</t>
  </si>
  <si>
    <t xml:space="preserve">HIGH - PKR 1,500-2,500 ceiling per SKU</t>
  </si>
  <si>
    <t xml:space="preserve">Salicylic acid, niacinamide, aloe</t>
  </si>
  <si>
    <t xml:space="preserve">TikTok and Instagram first, Google second</t>
  </si>
  <si>
    <t xml:space="preserve">Buys bundles and starter kits; very discount-responsive</t>
  </si>
  <si>
    <t xml:space="preserve">Acne-prone customer</t>
  </si>
  <si>
    <t xml:space="preserve">16-28</t>
  </si>
  <si>
    <t xml:space="preserve">Female + male</t>
  </si>
  <si>
    <t xml:space="preserve">Nationwide</t>
  </si>
  <si>
    <t xml:space="preserve">Mixed</t>
  </si>
  <si>
    <t xml:space="preserve">Active acne, post-acne marks</t>
  </si>
  <si>
    <t xml:space="preserve">Desperation - has tried steroid creams</t>
  </si>
  <si>
    <t xml:space="preserve">Fear of purging and of making it worse</t>
  </si>
  <si>
    <t xml:space="preserve">Fewer breakouts in 4 weeks</t>
  </si>
  <si>
    <t xml:space="preserve">MEDIUM</t>
  </si>
  <si>
    <t xml:space="preserve">Salicylic acid, azelaic acid, mandelic acid, benzoyl peroxide</t>
  </si>
  <si>
    <t xml:space="preserve">'acne cream in pakistan', 'best face wash for acne in pakistan' - all KD 6-13</t>
  </si>
  <si>
    <t xml:space="preserve">Will follow a protocol if one is given; high repeat</t>
  </si>
  <si>
    <t xml:space="preserve">Anti-ageing customer</t>
  </si>
  <si>
    <t xml:space="preserve">32-50</t>
  </si>
  <si>
    <t xml:space="preserve">Metro, affluent</t>
  </si>
  <si>
    <t xml:space="preserve">Normal to dry</t>
  </si>
  <si>
    <t xml:space="preserve">Fine lines, laxity, sun damage</t>
  </si>
  <si>
    <t xml:space="preserve">Prevention and maintenance</t>
  </si>
  <si>
    <t xml:space="preserve">Retinol irritation; scepticism about local formulation</t>
  </si>
  <si>
    <t xml:space="preserve">Firmer, smoother skin over 3-6 months</t>
  </si>
  <si>
    <t xml:space="preserve">LOW - highest willingness to pay in the market</t>
  </si>
  <si>
    <t xml:space="preserve">Retinol, peptides, bakuchiol, vitamin C</t>
  </si>
  <si>
    <t xml:space="preserve">'retinol serum', 'anti wrinkle serum', 'best retinol serum in pakistan' KD 7</t>
  </si>
  <si>
    <t xml:space="preserve">Researches heavily; loyal once converted</t>
  </si>
  <si>
    <t xml:space="preserve">Pigmentation customer</t>
  </si>
  <si>
    <t xml:space="preserve">25-45</t>
  </si>
  <si>
    <t xml:space="preserve">Nationwide - the single largest PK segment</t>
  </si>
  <si>
    <t xml:space="preserve">Melasma, dark spots, uneven tone</t>
  </si>
  <si>
    <t xml:space="preserve">The dominant beauty concern in Pakistan</t>
  </si>
  <si>
    <t xml:space="preserve">Has been burned by fairness creams and steroid mixes</t>
  </si>
  <si>
    <t xml:space="preserve">Visible fading in 8-12 weeks</t>
  </si>
  <si>
    <t xml:space="preserve">Alpha arbutin, kojic acid, vitamin C, azelaic acid, tranexamic acid</t>
  </si>
  <si>
    <t xml:space="preserve">'best whitening cream in pakistan' 8,100/mo, 'whitening serum' KD 9</t>
  </si>
  <si>
    <t xml:space="preserve">Extremely high repeat if results appear</t>
  </si>
  <si>
    <t xml:space="preserve">Sensitive-skin customer</t>
  </si>
  <si>
    <t xml:space="preserve">20-45</t>
  </si>
  <si>
    <t xml:space="preserve">Metro</t>
  </si>
  <si>
    <t xml:space="preserve">Middle to high</t>
  </si>
  <si>
    <t xml:space="preserve">Sensitive / reactive</t>
  </si>
  <si>
    <t xml:space="preserve">Redness, stinging, damaged barrier</t>
  </si>
  <si>
    <t xml:space="preserve">Often over-exfoliated by previous products</t>
  </si>
  <si>
    <t xml:space="preserve">Fear of reacting again</t>
  </si>
  <si>
    <t xml:space="preserve">Calm, comfortable skin</t>
  </si>
  <si>
    <t xml:space="preserve">LOW - will pay for safety</t>
  </si>
  <si>
    <t xml:space="preserve">Ceramides, centella, panthenol, oat</t>
  </si>
  <si>
    <t xml:space="preserve">'non comedogenic moisturizer', 'moisturizer for dry skin' 4,400/mo</t>
  </si>
  <si>
    <t xml:space="preserve">Reads full ingredient lists; needs fragrance-free</t>
  </si>
  <si>
    <t xml:space="preserve">Premium makeup buyer</t>
  </si>
  <si>
    <t xml:space="preserve">22-40</t>
  </si>
  <si>
    <t xml:space="preserve">Metro, event- and bridal-driven</t>
  </si>
  <si>
    <t xml:space="preserve">Upper-middle to high</t>
  </si>
  <si>
    <t xml:space="preserve">Coverage, longevity in heat, shade match</t>
  </si>
  <si>
    <t xml:space="preserve">Weddings, work, social content</t>
  </si>
  <si>
    <t xml:space="preserve">Shade range never matches; melts in Karachi humidity</t>
  </si>
  <si>
    <t xml:space="preserve">All-day wear that photographs correctly</t>
  </si>
  <si>
    <t xml:space="preserve">LOW - Zero Makeup sells at PKR 2,990-9,990</t>
  </si>
  <si>
    <t xml:space="preserve">Long-wear, SPF-in-base, buildable coverage</t>
  </si>
  <si>
    <t xml:space="preserve">'kashees foundation price in pakistan' 4,400/mo, 'maybelline foundation' 6,600/mo</t>
  </si>
  <si>
    <t xml:space="preserve">Bridal season drives peaks; responds to artist endorsement</t>
  </si>
  <si>
    <t xml:space="preserve">TOP 10 HERO PRODUCT CANDIDATES</t>
  </si>
  <si>
    <t xml:space="preserve">The ten SKUs a new premium Pakistani brand should build the business on. Every line is sourced from sheets 1, 2, 5, 8 and 9.</t>
  </si>
  <si>
    <t xml:space="preserve">Why This Product</t>
  </si>
  <si>
    <t xml:space="preserve">Target Customer</t>
  </si>
  <si>
    <t xml:space="preserve">Suggested Retail Price</t>
  </si>
  <si>
    <t xml:space="preserve">Main PK Competitors</t>
  </si>
  <si>
    <t xml:space="preserve">Differentiation Strategy</t>
  </si>
  <si>
    <t xml:space="preserve">Repeat Purchase Potential</t>
  </si>
  <si>
    <t xml:space="preserve">Content Opportunities</t>
  </si>
  <si>
    <t xml:space="preserve">1</t>
  </si>
  <si>
    <t xml:space="preserve">Water-based SPF 50 sunscreen, no white cast on brown skin</t>
  </si>
  <si>
    <t xml:space="preserve">Sunscreen is the only skincare product a Pakistani consumer buys every month of the year, and it is the category where every incumbent page is weak.</t>
  </si>
  <si>
    <t xml:space="preserve">Women 22-40, oily-combination skin, metro Pakistan</t>
  </si>
  <si>
    <t xml:space="preserve">PKR 3,200-3,800</t>
  </si>
  <si>
    <t xml:space="preserve">'sunscreen' 6,600/mo · 'best sunscreen in pakistan' 4,400/mo · 'sunscreen for oily skin' 3,600/mo · 'sunscreen spf 50' 880/mo at KD 7</t>
  </si>
  <si>
    <t xml:space="preserve">KD 14 on the money term. Three of the top ten results are Instagram reels and Reddit threads.</t>
  </si>
  <si>
    <t xml:space="preserve">Jenpharm Spectra Block · Conatural SPF 60 · Zero Makeup SUN100 (PKR 3,190)</t>
  </si>
  <si>
    <t xml:space="preserve">Nobody has published a tested, photographed white-cast comparison for Pakistani skin tones.</t>
  </si>
  <si>
    <t xml:space="preserve">Publish the white-cast test that does not exist. Photograph it on five Pakistani skin tones under the same light. That single asset outranks every collection page on the SERP.</t>
  </si>
  <si>
    <t xml:space="preserve">HIGH — 45-60 day replacement cycle, used year-round</t>
  </si>
  <si>
    <t xml:space="preserve">'Best sunscreen in Pakistan 2026, tested' · 'Sunscreen for oily skin in Pakistan' · 'Sunscreen vs sunblock' 720/mo KD 13 · 'How much SPF do you actually need in Lahore'</t>
  </si>
  <si>
    <t xml:space="preserve">2</t>
  </si>
  <si>
    <t xml:space="preserve">Vitamin C serum, stabilised, 30ml, price stated on the page</t>
  </si>
  <si>
    <t xml:space="preserve">The largest proven serum demand in Pakistan, and the money keyword sits at KD 8.</t>
  </si>
  <si>
    <t xml:space="preserve">Women 22-40 with pigmentation and dullness</t>
  </si>
  <si>
    <t xml:space="preserve">PKR 2,600-3,200</t>
  </si>
  <si>
    <t xml:space="preserve">'vitamin c serum' 12,100/mo · 'vitamin c serum price in pakistan' 4,400/mo KD 8 · 'best vitamin c serum in pakistan' 2,900/mo KD 7</t>
  </si>
  <si>
    <t xml:space="preserve">KD 8. Position 6 is held by a product page on a domain with Authority Score 19.</t>
  </si>
  <si>
    <t xml:space="preserve">Conatural · Vince · Golden Pearl · SL Basics C Bright · imported The Ordinary</t>
  </si>
  <si>
    <t xml:space="preserve">Every ranking page is a bare product page. None carries price schema, a concentration statement or a comparison table.</t>
  </si>
  <si>
    <t xml:space="preserve">State the exact percentage and form of vitamin C on the page, publish the price in plain text, and add Product and Offer schema. That alone beats an AS-19 competitor.</t>
  </si>
  <si>
    <t xml:space="preserve">HIGH — 60-90 day replacement</t>
  </si>
  <si>
    <t xml:space="preserve">'Vitamin C serum price in Pakistan' · 'What is a vitamin C serum' 1,600/mo · 'Vitamin C vs niacinamide' · 'Best vitamin C serum for pigmentation'</t>
  </si>
  <si>
    <t xml:space="preserve">3</t>
  </si>
  <si>
    <t xml:space="preserve">Niacinamide 10% + Zinc 1% serum</t>
  </si>
  <si>
    <t xml:space="preserve">Tied with vitamin C as the highest-volume active in Pakistan, and the price-modified variants are far softer.</t>
  </si>
  <si>
    <t xml:space="preserve">PKR 2,400-2,900</t>
  </si>
  <si>
    <t xml:space="preserve">'niacinamide serum' 12,100/mo · 'niacinamide serum price in pakistan' 3,600/mo KD 16 · 'best niacinamide serum in pakistan' 1,300/mo KD 7</t>
  </si>
  <si>
    <t xml:space="preserve">Head term KD 32, but the commercial long tail runs KD 7-16.</t>
  </si>
  <si>
    <t xml:space="preserve">Conatural (their single biggest organic page) · The Ordinary imports · AccuFix</t>
  </si>
  <si>
    <t xml:space="preserve">The category is owned by an imported brand and one local brand. No Pakistani brand has claimed the 'formulated here for our climate' story.</t>
  </si>
  <si>
    <t xml:space="preserve">Do not fight the KD-32 head term first. Take the KD 7-16 price and 'best in pakistan' variants, then let the head term follow.</t>
  </si>
  <si>
    <t xml:space="preserve">HIGH</t>
  </si>
  <si>
    <t xml:space="preserve">'Niacinamide serum benefits' 1,600/mo · 'Niacinamide serum uses' 1,300/mo · 'Can you use niacinamide with vitamin C' · 'Niacinamide for open pores'</t>
  </si>
  <si>
    <t xml:space="preserve">4</t>
  </si>
  <si>
    <t xml:space="preserve">The toner cluster is the single lowest-difficulty group in the whole 363-keyword set — median KD 13.</t>
  </si>
  <si>
    <t xml:space="preserve">Women 20-35 with texture and dullness</t>
  </si>
  <si>
    <t xml:space="preserve">PKR 2,200-2,600</t>
  </si>
  <si>
    <t xml:space="preserve">'glycolic acid toner' 3,600/mo KD 13 · 'best toner in pakistan' KD 9 · 'glycolic acid toner in pakistan' KD 7 · 'salicylic acid toner' KD 8 · 'rice toner' KD 7</t>
  </si>
  <si>
    <t xml:space="preserve">Almost every toner keyword is under KD 15. Nothing else in the dataset is this soft at this volume.</t>
  </si>
  <si>
    <t xml:space="preserve">Forganica GlycoCell 7% · AccuFix oat + glycolic</t>
  </si>
  <si>
    <t xml:space="preserve">Toner is still understood as an alcohol astringent by most Pakistani buyers. Nobody has re-educated the market.</t>
  </si>
  <si>
    <t xml:space="preserve">Own the entire toner cluster with one product and six pieces of content. This is the cheapest traffic in the category.</t>
  </si>
  <si>
    <t xml:space="preserve">HIGH — 60 day replacement</t>
  </si>
  <si>
    <t xml:space="preserve">'How to use glycolic acid toner' 320/mo · 'Glycolic acid toner benefits' · 'Toner vs essence' · 'Best toner for oily skin'</t>
  </si>
  <si>
    <t xml:space="preserve">5</t>
  </si>
  <si>
    <t xml:space="preserve">Alpha arbutin + kojic acid pigmentation serum</t>
  </si>
  <si>
    <t xml:space="preserve">Pigmentation is Pakistan's number-one stated skin concern and the entire category is still trapped in fairness-cream framing.</t>
  </si>
  <si>
    <t xml:space="preserve">Women 25-45 with melasma and post-acne marks</t>
  </si>
  <si>
    <t xml:space="preserve">PKR 3,000-3,600</t>
  </si>
  <si>
    <t xml:space="preserve">'best whitening cream in pakistan' 8,100/mo KD 20 · 'whitening cream' 12,100/mo KD 21 · 'whitening serum' 2,400/mo KD 9 · 'alpha arbutin serum' 1,900/mo KD 11</t>
  </si>
  <si>
    <t xml:space="preserve">KD 9-21 across the cluster, against mass-market incumbents with no clinical story.</t>
  </si>
  <si>
    <t xml:space="preserve">Golden Pearl · Vince · dozens of mass whitening creams</t>
  </si>
  <si>
    <t xml:space="preserve">Consumers want pigmentation treated. The market only offers skin bleaching. That gap is the whole opportunity.</t>
  </si>
  <si>
    <t xml:space="preserve">Reframe from 'whitening' to 'pigmentation correction' while still ranking for the whitening keywords buyers actually type. Say what the actives do and what they will not do.</t>
  </si>
  <si>
    <t xml:space="preserve">HIGH — the highest repeat rate of any concern when results appear</t>
  </si>
  <si>
    <t xml:space="preserve">'Best whitening cream in Pakistan — why we do not make one' · 'Melasma treatment in Pakistan' · 'Alpha arbutin vs hydroquinone' · 'Why fairness creams damage your barrier'</t>
  </si>
  <si>
    <t xml:space="preserve">6</t>
  </si>
  <si>
    <t xml:space="preserve">The acne cluster is the softest concern group in the market — nothing in it exceeds KD 25.</t>
  </si>
  <si>
    <t xml:space="preserve">'salicylic acid serum' 4,400/mo KD 16 · 'acne serum' 720/mo KD 7 · 'acne cream in pakistan' 720/mo KD 6 · 'best face wash for acne in pakistan' 720/mo KD 13</t>
  </si>
  <si>
    <t xml:space="preserve">KD 6-16 across the board. The easiest concern cluster in the dataset.</t>
  </si>
  <si>
    <t xml:space="preserve">Forganica · AccuFix · Jenpharm Clarevo</t>
  </si>
  <si>
    <t xml:space="preserve">Pakistani teens routinely self-medicate with prescription steroid creams. No premium brand has stepped into that void with real guidance.</t>
  </si>
  <si>
    <t xml:space="preserve">Sell the protocol, not just the bottle. A four-week acne plan with expected purging timeline converts a category nobody is educating.</t>
  </si>
  <si>
    <t xml:space="preserve">'How to remove acne scars' 880/mo · 'Best face wash for acne in Pakistan' · 'Why steroid creams ruin your skin' · 'Salicylic acid vs benzoyl peroxide'</t>
  </si>
  <si>
    <t xml:space="preserve">7</t>
  </si>
  <si>
    <t xml:space="preserve">3,600 searches a month at KD 13 with literally zero Pakistani-owned supply.</t>
  </si>
  <si>
    <t xml:space="preserve">Women 18-35 with sensitive, reactive or post-acne skin</t>
  </si>
  <si>
    <t xml:space="preserve">PKR 2,700-3,200</t>
  </si>
  <si>
    <t xml:space="preserve">'centella serum' 3,600/mo KD 13 · 'centella sunscreen' 2,400/mo KD 19 · 'korean skincare' 1,600/mo KD 22</t>
  </si>
  <si>
    <t xml:space="preserve">KD 13 with no local competitor at all.</t>
  </si>
  <si>
    <t xml:space="preserve">None Pakistani-owned. Imported Skin1004, Anua and other K-beauty only.</t>
  </si>
  <si>
    <t xml:space="preserve">All centella demand in Pakistan currently leaks to imported K-beauty at PKR 3,200-7,950. A local product at PKR 2,900 captures it.</t>
  </si>
  <si>
    <t xml:space="preserve">Position explicitly against imported K-beauty on price and freshness. Same active, made here, half the price, no customs wait.</t>
  </si>
  <si>
    <t xml:space="preserve">'What is centella asiatica' · 'Cica vs niacinamide for redness' · 'Korean skincare dupes made in Pakistan' · 'Centella serum price in Pakistan'</t>
  </si>
  <si>
    <t xml:space="preserve">8</t>
  </si>
  <si>
    <t xml:space="preserve">Encapsulated retinol serum sold with a beginner protocol</t>
  </si>
  <si>
    <t xml:space="preserve">Highest willingness to pay of any category, and the 'best in pakistan' variant sits at KD 7.</t>
  </si>
  <si>
    <t xml:space="preserve">PKR 3,500-4,200</t>
  </si>
  <si>
    <t xml:space="preserve">'retinol serum' 8,100/mo KD 29 · 'best retinol serum in pakistan' 1,600/mo KD 7 · 'retinol serum price in pakistan' 2,400/mo KD 14 · 'retinol serum benefits' 1,600/mo KD 18</t>
  </si>
  <si>
    <t xml:space="preserve">Head term KD 29, but every commercial modifier is KD 7-18.</t>
  </si>
  <si>
    <t xml:space="preserve">AccuFix Retinol Starter Routine · imported The Ordinary</t>
  </si>
  <si>
    <t xml:space="preserve">Fear of irritation is the number-one objection and no Pakistani brand addresses it. There is no local retinol onboarding guide.</t>
  </si>
  <si>
    <t xml:space="preserve">Ship the protocol in the box: week 1 twice, week 3 alternate nights, week 6 nightly. Selling the method removes the objection that blocks the purchase.</t>
  </si>
  <si>
    <t xml:space="preserve">MEDIUM-HIGH — 90 day replacement</t>
  </si>
  <si>
    <t xml:space="preserve">'Retinol serum benefits' 1,600/mo · 'How to start retinol without irritation' · 'Retinol vs bakuchiol' · 'Retinol purging: what is normal'</t>
  </si>
  <si>
    <t xml:space="preserve">9</t>
  </si>
  <si>
    <t xml:space="preserve">CeraVe generates enormous Pakistani search demand that is entirely imported. No credible local ceramide brand exists.</t>
  </si>
  <si>
    <t xml:space="preserve">Women 25-45 with sensitised or over-exfoliated skin</t>
  </si>
  <si>
    <t xml:space="preserve">PKR 2,900-3,500</t>
  </si>
  <si>
    <t xml:space="preserve">'cerave moisturizer' 14,800/mo · 'cerave moisturizer price in pakistan' 6,600/mo KD 12 · 'ceramide moisturizer' 1,300/mo KD 15 · 'moisturizer for dry skin' 4,400/mo KD 24</t>
  </si>
  <si>
    <t xml:space="preserve">The CeraVe price terms sit at KD 9-13 — soft, and every searcher on them is comparison shopping.</t>
  </si>
  <si>
    <t xml:space="preserve">AccuFix AccuPair · Jenpharm Dermive</t>
  </si>
  <si>
    <t xml:space="preserve">Pakistan has a large, well-educated ceramide audience buying an imported product at import prices. Nobody local serves it.</t>
  </si>
  <si>
    <t xml:space="preserve">Compete on the comparison keyword, not the brand name. A page that honestly compares your ceramide cream to CeraVe on ingredients and price captures buyers already in market.</t>
  </si>
  <si>
    <t xml:space="preserve">'CeraVe price in Pakistan vs local alternatives' · 'What are ceramides' · 'How to repair a damaged skin barrier' · 'Best moisturizer for dry skin in Pakistan' 720/mo KD 14</t>
  </si>
  <si>
    <t xml:space="preserve">10</t>
  </si>
  <si>
    <t xml:space="preserve">Peptide + caffeine under-eye serum</t>
  </si>
  <si>
    <t xml:space="preserve">The whole eye-care cluster sits at KD 6-20 with almost no Pakistani supply above PKR 2,000.</t>
  </si>
  <si>
    <t xml:space="preserve">Women 22-45 with dark circles</t>
  </si>
  <si>
    <t xml:space="preserve">PKR 3,000-3,500</t>
  </si>
  <si>
    <t xml:space="preserve">'eye cream for dark circles' 2,400/mo KD 18 · 'eye cream' 1,000/mo KD 10 · 'best eye cream in pakistan' KD 7 · 'eye cream in pakistan' KD 6 · 'dark circle eye cream price in pakistan' KD 7</t>
  </si>
  <si>
    <t xml:space="preserve">Nothing in the eye cluster exceeds KD 20. Several sit at KD 6-10.</t>
  </si>
  <si>
    <t xml:space="preserve">Conatural Triple Correction Eye Serum · imported CeraVe and Cosrx</t>
  </si>
  <si>
    <t xml:space="preserve">Dark circles rank in the top three stated concerns and there is essentially no credible Pakistani product.</t>
  </si>
  <si>
    <t xml:space="preserve">Be honest about what an eye serum can and cannot fix — pigment yes, hollowing no. Honesty is itself the differentiator in a category built on overclaiming.</t>
  </si>
  <si>
    <t xml:space="preserve">MEDIUM-HIGH</t>
  </si>
  <si>
    <t xml:space="preserve">'Best eye cream for dark circles in Pakistan' KD 9 · 'Why are my dark circles not going away' · 'Caffeine vs peptides for eyes' · 'Under eye care routine'</t>
  </si>
</sst>
</file>

<file path=xl/styles.xml><?xml version="1.0" encoding="utf-8"?>
<styleSheet xmlns="http://schemas.openxmlformats.org/spreadsheetml/2006/main">
  <numFmts count="5">
    <numFmt numFmtId="164" formatCode="General"/>
    <numFmt numFmtId="165" formatCode="#,##0"/>
    <numFmt numFmtId="166" formatCode="0.00"/>
    <numFmt numFmtId="167" formatCode="#,##0.0"/>
    <numFmt numFmtId="168" formatCode="0.0"/>
  </numFmts>
  <fonts count="17">
    <font>
      <sz val="11"/>
      <color theme="1"/>
      <name val="Calibri"/>
      <family val="2"/>
      <charset val="1"/>
    </font>
    <font>
      <sz val="10"/>
      <name val="Arial"/>
      <family val="0"/>
    </font>
    <font>
      <sz val="10"/>
      <name val="Arial"/>
      <family val="0"/>
    </font>
    <font>
      <sz val="10"/>
      <name val="Arial"/>
      <family val="0"/>
    </font>
    <font>
      <b val="true"/>
      <sz val="17"/>
      <color rgb="FF1F3864"/>
      <name val="Arial"/>
      <family val="0"/>
      <charset val="1"/>
    </font>
    <font>
      <i val="true"/>
      <sz val="9"/>
      <color rgb="FF666666"/>
      <name val="Arial"/>
      <family val="0"/>
      <charset val="1"/>
    </font>
    <font>
      <b val="true"/>
      <sz val="10"/>
      <color rgb="FF1F3864"/>
      <name val="Arial"/>
      <family val="0"/>
      <charset val="1"/>
    </font>
    <font>
      <sz val="10"/>
      <name val="Arial"/>
      <family val="0"/>
      <charset val="1"/>
    </font>
    <font>
      <b val="true"/>
      <sz val="10"/>
      <color rgb="FFFFFFFF"/>
      <name val="Arial"/>
      <family val="0"/>
      <charset val="1"/>
    </font>
    <font>
      <u val="single"/>
      <sz val="9"/>
      <color rgb="FF0563C1"/>
      <name val="Arial"/>
      <family val="0"/>
      <charset val="1"/>
    </font>
    <font>
      <sz val="9"/>
      <name val="Arial"/>
      <family val="0"/>
      <charset val="1"/>
    </font>
    <font>
      <b val="true"/>
      <sz val="10"/>
      <name val="Arial"/>
      <family val="0"/>
      <charset val="1"/>
    </font>
    <font>
      <b val="true"/>
      <sz val="15"/>
      <color rgb="FF1F3864"/>
      <name val="Arial"/>
      <family val="0"/>
      <charset val="1"/>
    </font>
    <font>
      <b val="true"/>
      <sz val="12"/>
      <color rgb="FFB8860B"/>
      <name val="Arial"/>
      <family val="0"/>
      <charset val="1"/>
    </font>
    <font>
      <b val="true"/>
      <sz val="10"/>
      <color rgb="FFC00000"/>
      <name val="Arial"/>
      <family val="0"/>
      <charset val="1"/>
    </font>
    <font>
      <b val="true"/>
      <sz val="16"/>
      <color rgb="FFB8860B"/>
      <name val="Arial"/>
      <family val="0"/>
      <charset val="1"/>
    </font>
    <font>
      <b val="true"/>
      <sz val="12"/>
      <color rgb="FF1F3864"/>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3CD"/>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5" fontId="10" fillId="3"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5" fontId="7" fillId="3"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B8860B"/>
      <rgbColor rgb="FF800080"/>
      <rgbColor rgb="FF008080"/>
      <rgbColor rgb="FFC0C0C0"/>
      <rgbColor rgb="FF808080"/>
      <rgbColor rgb="FF9999FF"/>
      <rgbColor rgb="FF993366"/>
      <rgbColor rgb="FFFFF3CD"/>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accufixcosmetics.com/products/pigmentation-treatment-bundle" TargetMode="External"/><Relationship Id="rId2" Type="http://schemas.openxmlformats.org/officeDocument/2006/relationships/hyperlink" Target="https://accufixcosmetics.com/" TargetMode="External"/><Relationship Id="rId3" Type="http://schemas.openxmlformats.org/officeDocument/2006/relationships/hyperlink" Target="https://conaturalintl.com/products/everyday-makeup-kit" TargetMode="External"/><Relationship Id="rId4" Type="http://schemas.openxmlformats.org/officeDocument/2006/relationships/hyperlink" Target="https://conaturalintl.com/" TargetMode="External"/><Relationship Id="rId5" Type="http://schemas.openxmlformats.org/officeDocument/2006/relationships/hyperlink" Target="https://zeromakeup.com/products/the-eyes-on-us-drop" TargetMode="External"/><Relationship Id="rId6" Type="http://schemas.openxmlformats.org/officeDocument/2006/relationships/hyperlink" Target="https://zeromakeup.com/" TargetMode="External"/><Relationship Id="rId7" Type="http://schemas.openxmlformats.org/officeDocument/2006/relationships/hyperlink" Target="https://zeromakeup.com/products/eyesticks-pack-of-4" TargetMode="External"/><Relationship Id="rId8" Type="http://schemas.openxmlformats.org/officeDocument/2006/relationships/hyperlink" Target="https://zeromakeup.com/" TargetMode="External"/><Relationship Id="rId9" Type="http://schemas.openxmlformats.org/officeDocument/2006/relationships/hyperlink" Target="https://zeromakeup.com/products/lip-trio" TargetMode="External"/><Relationship Id="rId10" Type="http://schemas.openxmlformats.org/officeDocument/2006/relationships/hyperlink" Target="https://zeromakeup.com/" TargetMode="External"/><Relationship Id="rId11" Type="http://schemas.openxmlformats.org/officeDocument/2006/relationships/hyperlink" Target="https://conaturalintl.com/products/flawless-makeup-set" TargetMode="External"/><Relationship Id="rId12" Type="http://schemas.openxmlformats.org/officeDocument/2006/relationships/hyperlink" Target="https://conaturalintl.com/" TargetMode="External"/><Relationship Id="rId13" Type="http://schemas.openxmlformats.org/officeDocument/2006/relationships/hyperlink" Target="https://www.iloveluscious.com/products/deluxe-makeup-kit" TargetMode="External"/><Relationship Id="rId14" Type="http://schemas.openxmlformats.org/officeDocument/2006/relationships/hyperlink" Target="https://www.iloveluscious.com/" TargetMode="External"/><Relationship Id="rId15" Type="http://schemas.openxmlformats.org/officeDocument/2006/relationships/hyperlink" Target="https://accufixcosmetics.com/products/skin-brightening-bundle" TargetMode="External"/><Relationship Id="rId16" Type="http://schemas.openxmlformats.org/officeDocument/2006/relationships/hyperlink" Target="https://accufixcosmetics.com/" TargetMode="External"/><Relationship Id="rId17" Type="http://schemas.openxmlformats.org/officeDocument/2006/relationships/hyperlink" Target="https://kleanbeauty.co/products/acne-reset-kit" TargetMode="External"/><Relationship Id="rId18" Type="http://schemas.openxmlformats.org/officeDocument/2006/relationships/hyperlink" Target="https://kleanbeauty.co/" TargetMode="External"/><Relationship Id="rId19" Type="http://schemas.openxmlformats.org/officeDocument/2006/relationships/hyperlink" Target="https://www.kashees.com/products/derma-glow-whitening-facial-box" TargetMode="External"/><Relationship Id="rId20" Type="http://schemas.openxmlformats.org/officeDocument/2006/relationships/hyperlink" Target="https://www.kashees.com/" TargetMode="External"/><Relationship Id="rId21" Type="http://schemas.openxmlformats.org/officeDocument/2006/relationships/hyperlink" Target="https://accufixcosmetics.com/products/hajj-umrah-skincare-essentials" TargetMode="External"/><Relationship Id="rId22" Type="http://schemas.openxmlformats.org/officeDocument/2006/relationships/hyperlink" Target="https://accufixcosmetics.com/" TargetMode="External"/><Relationship Id="rId23" Type="http://schemas.openxmlformats.org/officeDocument/2006/relationships/hyperlink" Target="https://conaturalintl.com/products/anti-aging-skincare-set" TargetMode="External"/><Relationship Id="rId24" Type="http://schemas.openxmlformats.org/officeDocument/2006/relationships/hyperlink" Target="https://conaturalintl.com/" TargetMode="External"/><Relationship Id="rId25" Type="http://schemas.openxmlformats.org/officeDocument/2006/relationships/hyperlink" Target="https://accufixcosmetics.com/products/retinol-bioregenesis-age-defence-duo" TargetMode="External"/><Relationship Id="rId26" Type="http://schemas.openxmlformats.org/officeDocument/2006/relationships/hyperlink" Target="https://accufixcosmetics.com/" TargetMode="External"/><Relationship Id="rId27" Type="http://schemas.openxmlformats.org/officeDocument/2006/relationships/hyperlink" Target="https://accufixcosmetics.com/products/head-to-toe-balance-bundle" TargetMode="External"/><Relationship Id="rId28" Type="http://schemas.openxmlformats.org/officeDocument/2006/relationships/hyperlink" Target="https://accufixcosmetics.com/" TargetMode="External"/><Relationship Id="rId29" Type="http://schemas.openxmlformats.org/officeDocument/2006/relationships/hyperlink" Target="https://accufixcosmetics.com/products/complete-body-brightening-routine" TargetMode="External"/><Relationship Id="rId30" Type="http://schemas.openxmlformats.org/officeDocument/2006/relationships/hyperlink" Target="https://accufixcosmetics.com/" TargetMode="External"/><Relationship Id="rId31" Type="http://schemas.openxmlformats.org/officeDocument/2006/relationships/hyperlink" Target="https://forganica.com/products/anti-aging-repair-trio" TargetMode="External"/><Relationship Id="rId32" Type="http://schemas.openxmlformats.org/officeDocument/2006/relationships/hyperlink" Target="https://forganica.com/" TargetMode="External"/><Relationship Id="rId33" Type="http://schemas.openxmlformats.org/officeDocument/2006/relationships/hyperlink" Target="https://forganica.com/products/oily-skin-clarity-trio" TargetMode="External"/><Relationship Id="rId34" Type="http://schemas.openxmlformats.org/officeDocument/2006/relationships/hyperlink" Target="https://forganica.com/" TargetMode="External"/><Relationship Id="rId35" Type="http://schemas.openxmlformats.org/officeDocument/2006/relationships/hyperlink" Target="https://skinsciences.com.pk/products/pdrnew" TargetMode="External"/><Relationship Id="rId36" Type="http://schemas.openxmlformats.org/officeDocument/2006/relationships/hyperlink" Target="https://skinsciences.com.pk/" TargetMode="External"/><Relationship Id="rId37" Type="http://schemas.openxmlformats.org/officeDocument/2006/relationships/hyperlink" Target="https://zeromakeup.com/products/zero-liquid-foundation" TargetMode="External"/><Relationship Id="rId38" Type="http://schemas.openxmlformats.org/officeDocument/2006/relationships/hyperlink" Target="https://zeromakeup.com/" TargetMode="External"/><Relationship Id="rId39" Type="http://schemas.openxmlformats.org/officeDocument/2006/relationships/hyperlink" Target="https://kleanbeauty.co/products/dark-spot-kit" TargetMode="External"/><Relationship Id="rId40" Type="http://schemas.openxmlformats.org/officeDocument/2006/relationships/hyperlink" Target="https://kleanbeauty.co/" TargetMode="External"/><Relationship Id="rId41" Type="http://schemas.openxmlformats.org/officeDocument/2006/relationships/hyperlink" Target="https://forganica.com/products/pigmentation-glow-trio" TargetMode="External"/><Relationship Id="rId42" Type="http://schemas.openxmlformats.org/officeDocument/2006/relationships/hyperlink" Target="https://forganica.com/" TargetMode="External"/><Relationship Id="rId43" Type="http://schemas.openxmlformats.org/officeDocument/2006/relationships/hyperlink" Target="https://slbasics.com/products/ultimate-summer-routine-kit-premium-bundle" TargetMode="External"/><Relationship Id="rId44" Type="http://schemas.openxmlformats.org/officeDocument/2006/relationships/hyperlink" Target="https://slbasics.com/" TargetMode="External"/><Relationship Id="rId45" Type="http://schemas.openxmlformats.org/officeDocument/2006/relationships/hyperlink" Target="https://forganica.com/products/acne-treatment-routine-for-oily-acne-prone-skin" TargetMode="External"/><Relationship Id="rId46" Type="http://schemas.openxmlformats.org/officeDocument/2006/relationships/hyperlink" Target="https://forganica.com/" TargetMode="External"/><Relationship Id="rId47" Type="http://schemas.openxmlformats.org/officeDocument/2006/relationships/hyperlink" Target="https://zeromakeup.com/products/sun100-60-60ml-bundle" TargetMode="External"/><Relationship Id="rId48" Type="http://schemas.openxmlformats.org/officeDocument/2006/relationships/hyperlink" Target="https://zeromakeup.com/" TargetMode="External"/><Relationship Id="rId49" Type="http://schemas.openxmlformats.org/officeDocument/2006/relationships/hyperlink" Target="https://accufixcosmetics.com/products/2-step-morning-duo-textured-skin-1" TargetMode="External"/><Relationship Id="rId50" Type="http://schemas.openxmlformats.org/officeDocument/2006/relationships/hyperlink" Target="https://accufixcosmetics.com/" TargetMode="External"/><Relationship Id="rId51" Type="http://schemas.openxmlformats.org/officeDocument/2006/relationships/hyperlink" Target="https://zeromakeup.com/products/eyesticks-pack-of-2" TargetMode="External"/><Relationship Id="rId52" Type="http://schemas.openxmlformats.org/officeDocument/2006/relationships/hyperlink" Target="https://zeromakeup.com/" TargetMode="External"/><Relationship Id="rId53" Type="http://schemas.openxmlformats.org/officeDocument/2006/relationships/hyperlink" Target="https://www.iloveluscious.com/products/brightening-power-deal" TargetMode="External"/><Relationship Id="rId54" Type="http://schemas.openxmlformats.org/officeDocument/2006/relationships/hyperlink" Target="https://www.iloveluscious.com/" TargetMode="External"/><Relationship Id="rId55" Type="http://schemas.openxmlformats.org/officeDocument/2006/relationships/hyperlink" Target="https://conaturalintl.com/products/acne-control-bundle" TargetMode="External"/><Relationship Id="rId56" Type="http://schemas.openxmlformats.org/officeDocument/2006/relationships/hyperlink" Target="https://conaturalintl.com/" TargetMode="External"/><Relationship Id="rId57" Type="http://schemas.openxmlformats.org/officeDocument/2006/relationships/hyperlink" Target="https://accufixcosmetics.com/products/retinol-starter-routine" TargetMode="External"/><Relationship Id="rId58" Type="http://schemas.openxmlformats.org/officeDocument/2006/relationships/hyperlink" Target="https://accufixcosmetics.com/" TargetMode="External"/><Relationship Id="rId59" Type="http://schemas.openxmlformats.org/officeDocument/2006/relationships/hyperlink" Target="https://blingbynadiahussain.com/products/bundle-3-full-face-glam-kit" TargetMode="External"/><Relationship Id="rId60" Type="http://schemas.openxmlformats.org/officeDocument/2006/relationships/hyperlink" Target="https://blingbynadiahussain.com/" TargetMode="External"/><Relationship Id="rId61" Type="http://schemas.openxmlformats.org/officeDocument/2006/relationships/hyperlink" Target="https://slbasics.com/products/barrier-repair-kit" TargetMode="External"/><Relationship Id="rId62" Type="http://schemas.openxmlformats.org/officeDocument/2006/relationships/hyperlink" Target="https://slbasics.com/" TargetMode="External"/><Relationship Id="rId63" Type="http://schemas.openxmlformats.org/officeDocument/2006/relationships/hyperlink" Target="https://jenpharm.com/products/jenpharm-dermive-oil-free-moisturizer-buy-5-get-1-free-pack-of-6-100ml" TargetMode="External"/><Relationship Id="rId64" Type="http://schemas.openxmlformats.org/officeDocument/2006/relationships/hyperlink" Target="https://jenpharm.com/" TargetMode="External"/><Relationship Id="rId65" Type="http://schemas.openxmlformats.org/officeDocument/2006/relationships/hyperlink" Target="https://zeromakeup.com/products/lip-pencils-pack-of-3" TargetMode="External"/><Relationship Id="rId66" Type="http://schemas.openxmlformats.org/officeDocument/2006/relationships/hyperlink" Target="https://zeromakeup.com/" TargetMode="External"/><Relationship Id="rId67" Type="http://schemas.openxmlformats.org/officeDocument/2006/relationships/hyperlink" Target="https://www.goldengirlcosmetics.com/products/scrub-cream-5ltr" TargetMode="External"/><Relationship Id="rId68" Type="http://schemas.openxmlformats.org/officeDocument/2006/relationships/hyperlink" Target="https://www.goldengirlcosmetics.com/" TargetMode="External"/><Relationship Id="rId69" Type="http://schemas.openxmlformats.org/officeDocument/2006/relationships/hyperlink" Target="https://conaturalintl.com/products/daily-makeup-essentials" TargetMode="External"/><Relationship Id="rId70" Type="http://schemas.openxmlformats.org/officeDocument/2006/relationships/hyperlink" Target="https://conaturalintl.com/" TargetMode="External"/><Relationship Id="rId71" Type="http://schemas.openxmlformats.org/officeDocument/2006/relationships/hyperlink" Target="https://kleanbeauty.co/products/hydration-pair&#128167;" TargetMode="External"/><Relationship Id="rId72" Type="http://schemas.openxmlformats.org/officeDocument/2006/relationships/hyperlink" Target="https://kleanbeauty.co/" TargetMode="External"/><Relationship Id="rId73" Type="http://schemas.openxmlformats.org/officeDocument/2006/relationships/hyperlink" Target="https://kleanbeauty.co/products/barrier-rescue-kit" TargetMode="External"/><Relationship Id="rId74" Type="http://schemas.openxmlformats.org/officeDocument/2006/relationships/hyperlink" Target="https://kleanbeauty.co/" TargetMode="External"/><Relationship Id="rId75" Type="http://schemas.openxmlformats.org/officeDocument/2006/relationships/hyperlink" Target="https://accufixcosmetics.com/products/best-2-step-morning-duo-all-skin-types-1" TargetMode="External"/><Relationship Id="rId76" Type="http://schemas.openxmlformats.org/officeDocument/2006/relationships/hyperlink" Target="https://accufixcosmetics.com/" TargetMode="External"/><Relationship Id="rId77" Type="http://schemas.openxmlformats.org/officeDocument/2006/relationships/hyperlink" Target="https://slbasics.com/products/summer-glow-kit" TargetMode="External"/><Relationship Id="rId78" Type="http://schemas.openxmlformats.org/officeDocument/2006/relationships/hyperlink" Target="https://slbasics.com/" TargetMode="External"/><Relationship Id="rId79" Type="http://schemas.openxmlformats.org/officeDocument/2006/relationships/hyperlink" Target="https://conaturalintl.com/products/summer-skincare-kit" TargetMode="External"/><Relationship Id="rId80" Type="http://schemas.openxmlformats.org/officeDocument/2006/relationships/hyperlink" Target="https://conaturalintl.com/" TargetMode="External"/><Relationship Id="rId81" Type="http://schemas.openxmlformats.org/officeDocument/2006/relationships/hyperlink" Target="https://www.iloveluscious.com/products/lip-cheek-set" TargetMode="External"/><Relationship Id="rId82" Type="http://schemas.openxmlformats.org/officeDocument/2006/relationships/hyperlink" Target="https://www.iloveluscious.com/" TargetMode="External"/><Relationship Id="rId83" Type="http://schemas.openxmlformats.org/officeDocument/2006/relationships/hyperlink" Target="https://accufixcosmetics.com/products/basic-body-care-bundle" TargetMode="External"/><Relationship Id="rId84" Type="http://schemas.openxmlformats.org/officeDocument/2006/relationships/hyperlink" Target="https://accufixcosmetics.com/" TargetMode="External"/><Relationship Id="rId85" Type="http://schemas.openxmlformats.org/officeDocument/2006/relationships/hyperlink" Target="https://forganica.com/products/hydrate-protect-duo" TargetMode="External"/><Relationship Id="rId86" Type="http://schemas.openxmlformats.org/officeDocument/2006/relationships/hyperlink" Target="https://forganica.com/" TargetMode="External"/><Relationship Id="rId87" Type="http://schemas.openxmlformats.org/officeDocument/2006/relationships/hyperlink" Target="https://forganica.com/products/texture-renewal-duo" TargetMode="External"/><Relationship Id="rId88" Type="http://schemas.openxmlformats.org/officeDocument/2006/relationships/hyperlink" Target="https://forganica.com/" TargetMode="External"/><Relationship Id="rId89" Type="http://schemas.openxmlformats.org/officeDocument/2006/relationships/hyperlink" Target="https://slbasics.com/products/summer-acne-defense-kit" TargetMode="External"/><Relationship Id="rId90" Type="http://schemas.openxmlformats.org/officeDocument/2006/relationships/hyperlink" Target="https://slbasics.com/" TargetMode="External"/><Relationship Id="rId91" Type="http://schemas.openxmlformats.org/officeDocument/2006/relationships/hyperlink" Target="https://zeromakeup.com/products/ultra-cover-lip-gloss" TargetMode="External"/><Relationship Id="rId92" Type="http://schemas.openxmlformats.org/officeDocument/2006/relationships/hyperlink" Target="https://zeromakeup.com/" TargetMode="External"/><Relationship Id="rId93" Type="http://schemas.openxmlformats.org/officeDocument/2006/relationships/hyperlink" Target="https://www.iloveluscious.com/products/wonder-glass-set-deal" TargetMode="External"/><Relationship Id="rId94" Type="http://schemas.openxmlformats.org/officeDocument/2006/relationships/hyperlink" Target="https://www.iloveluscious.com/" TargetMode="External"/><Relationship Id="rId95" Type="http://schemas.openxmlformats.org/officeDocument/2006/relationships/hyperlink" Target="https://conaturalintl.com/products/sun-protection-set" TargetMode="External"/><Relationship Id="rId96" Type="http://schemas.openxmlformats.org/officeDocument/2006/relationships/hyperlink" Target="https://conaturalintl.com/" TargetMode="External"/><Relationship Id="rId97" Type="http://schemas.openxmlformats.org/officeDocument/2006/relationships/hyperlink" Target="https://www.kashees.com/products/best-matte-lipgloss-kit-pack-of-6" TargetMode="External"/><Relationship Id="rId98" Type="http://schemas.openxmlformats.org/officeDocument/2006/relationships/hyperlink" Target="https://www.kashees.com/" TargetMode="External"/><Relationship Id="rId99" Type="http://schemas.openxmlformats.org/officeDocument/2006/relationships/hyperlink" Target="https://www.iloveluscious.com/products/brightening-base" TargetMode="External"/><Relationship Id="rId100" Type="http://schemas.openxmlformats.org/officeDocument/2006/relationships/hyperlink" Target="https://www.iloveluscious.com/" TargetMode="External"/><Relationship Id="rId101" Type="http://schemas.openxmlformats.org/officeDocument/2006/relationships/hyperlink" Target="https://slbasics.com/products/glow-up" TargetMode="External"/><Relationship Id="rId102" Type="http://schemas.openxmlformats.org/officeDocument/2006/relationships/hyperlink" Target="https://slbasics.com/" TargetMode="External"/><Relationship Id="rId103" Type="http://schemas.openxmlformats.org/officeDocument/2006/relationships/hyperlink" Target="https://kleanbeauty.co/products/acne-action" TargetMode="External"/><Relationship Id="rId104" Type="http://schemas.openxmlformats.org/officeDocument/2006/relationships/hyperlink" Target="https://kleanbeauty.co/" TargetMode="External"/><Relationship Id="rId105" Type="http://schemas.openxmlformats.org/officeDocument/2006/relationships/hyperlink" Target="https://blingbynadiahussain.com/products/bundle-1-glow-up-kit" TargetMode="External"/><Relationship Id="rId106" Type="http://schemas.openxmlformats.org/officeDocument/2006/relationships/hyperlink" Target="https://blingbynadiahussain.com/" TargetMode="External"/><Relationship Id="rId107" Type="http://schemas.openxmlformats.org/officeDocument/2006/relationships/hyperlink" Target="https://accufixcosmetics.com/products/bioregenesis-serum" TargetMode="External"/><Relationship Id="rId108" Type="http://schemas.openxmlformats.org/officeDocument/2006/relationships/hyperlink" Target="https://accufixcosmetics.com/" TargetMode="External"/><Relationship Id="rId109" Type="http://schemas.openxmlformats.org/officeDocument/2006/relationships/hyperlink" Target="https://forganica.com/products/hyperpigmentation-care-duo" TargetMode="External"/><Relationship Id="rId110" Type="http://schemas.openxmlformats.org/officeDocument/2006/relationships/hyperlink" Target="https://forganica.com/" TargetMode="External"/><Relationship Id="rId111" Type="http://schemas.openxmlformats.org/officeDocument/2006/relationships/hyperlink" Target="https://masarratmakeup.com/products/cherry-cola-lip-combo-1" TargetMode="External"/><Relationship Id="rId112" Type="http://schemas.openxmlformats.org/officeDocument/2006/relationships/hyperlink" Target="https://masarratmakeup.com/" TargetMode="External"/><Relationship Id="rId113" Type="http://schemas.openxmlformats.org/officeDocument/2006/relationships/hyperlink" Target="https://goldenpearl.com.pk/products/pack-of-2-brightening-rice-skincare-kit" TargetMode="External"/><Relationship Id="rId114" Type="http://schemas.openxmlformats.org/officeDocument/2006/relationships/hyperlink" Target="https://goldenpearl.com.pk/" TargetMode="External"/><Relationship Id="rId115" Type="http://schemas.openxmlformats.org/officeDocument/2006/relationships/hyperlink" Target="https://masarratmakeup.com/products/eyeshadow-palette" TargetMode="External"/><Relationship Id="rId116" Type="http://schemas.openxmlformats.org/officeDocument/2006/relationships/hyperlink" Target="https://masarratmakeup.com/" TargetMode="External"/><Relationship Id="rId117" Type="http://schemas.openxmlformats.org/officeDocument/2006/relationships/hyperlink" Target="https://masarratmakeup.com/products/the-flawless-filter-duo" TargetMode="External"/><Relationship Id="rId118" Type="http://schemas.openxmlformats.org/officeDocument/2006/relationships/hyperlink" Target="https://masarratmakeup.com/" TargetMode="External"/><Relationship Id="rId119" Type="http://schemas.openxmlformats.org/officeDocument/2006/relationships/hyperlink" Target="https://slbasics.com/products/the-saffron-set" TargetMode="External"/><Relationship Id="rId120" Type="http://schemas.openxmlformats.org/officeDocument/2006/relationships/hyperlink" Target="https://slbasics.com/" TargetMode="External"/><Relationship Id="rId121" Type="http://schemas.openxmlformats.org/officeDocument/2006/relationships/hyperlink" Target="https://forganica.com/products/acne-pore-control-duo" TargetMode="External"/><Relationship Id="rId122" Type="http://schemas.openxmlformats.org/officeDocument/2006/relationships/hyperlink" Target="https://forganica.com/" TargetMode="External"/><Relationship Id="rId123" Type="http://schemas.openxmlformats.org/officeDocument/2006/relationships/hyperlink" Target="https://accufixcosmetics.com/products/dark-lips-treatment-bundle" TargetMode="External"/><Relationship Id="rId124" Type="http://schemas.openxmlformats.org/officeDocument/2006/relationships/hyperlink" Target="https://accufixcosmetics.com/" TargetMode="External"/><Relationship Id="rId125" Type="http://schemas.openxmlformats.org/officeDocument/2006/relationships/hyperlink" Target="https://zeromakeup.com/products/shadow-liner" TargetMode="External"/><Relationship Id="rId126" Type="http://schemas.openxmlformats.org/officeDocument/2006/relationships/hyperlink" Target="https://zeromakeup.com/" TargetMode="External"/><Relationship Id="rId127" Type="http://schemas.openxmlformats.org/officeDocument/2006/relationships/hyperlink" Target="https://accufixcosmetics.com/products/best-serum-for-glass-skin" TargetMode="External"/><Relationship Id="rId128" Type="http://schemas.openxmlformats.org/officeDocument/2006/relationships/hyperlink" Target="https://accufixcosmetics.com/" TargetMode="External"/><Relationship Id="rId129" Type="http://schemas.openxmlformats.org/officeDocument/2006/relationships/hyperlink" Target="https://www.colorstudiopro.com/products/nudist-classic-beige-n30-foundation" TargetMode="External"/><Relationship Id="rId130" Type="http://schemas.openxmlformats.org/officeDocument/2006/relationships/hyperlink" Target="https://www.colorstudiopro.com/" TargetMode="External"/><Relationship Id="rId131" Type="http://schemas.openxmlformats.org/officeDocument/2006/relationships/hyperlink" Target="https://kleanbeauty.co/products/skin-transformation-duo" TargetMode="External"/><Relationship Id="rId132" Type="http://schemas.openxmlformats.org/officeDocument/2006/relationships/hyperlink" Target="https://kleanbeauty.co/" TargetMode="External"/><Relationship Id="rId133" Type="http://schemas.openxmlformats.org/officeDocument/2006/relationships/hyperlink" Target="https://zeromakeup.com/products/sun100-sunscreen" TargetMode="External"/><Relationship Id="rId134" Type="http://schemas.openxmlformats.org/officeDocument/2006/relationships/hyperlink" Target="https://zeromakeup.com/" TargetMode="External"/><Relationship Id="rId135" Type="http://schemas.openxmlformats.org/officeDocument/2006/relationships/hyperlink" Target="https://masarratmakeup.com/products/ultra-wear-flawless-foundation" TargetMode="External"/><Relationship Id="rId136" Type="http://schemas.openxmlformats.org/officeDocument/2006/relationships/hyperlink" Target="https://masarratmakeup.com/" TargetMode="External"/><Relationship Id="rId137" Type="http://schemas.openxmlformats.org/officeDocument/2006/relationships/hyperlink" Target="https://www.kashees.com/products/lip-gloss-fruit" TargetMode="External"/><Relationship Id="rId138" Type="http://schemas.openxmlformats.org/officeDocument/2006/relationships/hyperlink" Target="https://www.kashees.com/" TargetMode="External"/><Relationship Id="rId139" Type="http://schemas.openxmlformats.org/officeDocument/2006/relationships/hyperlink" Target="https://accufixcosmetics.com/products/best-ceramide-moisturiser-for-strong-skin-barrier" TargetMode="External"/><Relationship Id="rId140" Type="http://schemas.openxmlformats.org/officeDocument/2006/relationships/hyperlink" Target="https://accufixcosmetics.com/" TargetMode="External"/><Relationship Id="rId141" Type="http://schemas.openxmlformats.org/officeDocument/2006/relationships/hyperlink" Target="https://accufixcosmetics.com/products/budget-friendly-skincare-bundle" TargetMode="External"/><Relationship Id="rId142" Type="http://schemas.openxmlformats.org/officeDocument/2006/relationships/hyperlink" Target="https://accufixcosmetics.com/" TargetMode="External"/><Relationship Id="rId143" Type="http://schemas.openxmlformats.org/officeDocument/2006/relationships/hyperlink" Target="https://conaturalintl.com/products/better-than-ubtan-face-and-body-scrub-120g-clearance-sale-flat-40-off" TargetMode="External"/><Relationship Id="rId144" Type="http://schemas.openxmlformats.org/officeDocument/2006/relationships/hyperlink" Target="https://conaturalintl.com/" TargetMode="External"/><Relationship Id="rId145" Type="http://schemas.openxmlformats.org/officeDocument/2006/relationships/hyperlink" Target="https://zeromakeup.com/products/eyesticks-1" TargetMode="External"/><Relationship Id="rId146" Type="http://schemas.openxmlformats.org/officeDocument/2006/relationships/hyperlink" Target="https://zeromakeup.com/" TargetMode="External"/><Relationship Id="rId147" Type="http://schemas.openxmlformats.org/officeDocument/2006/relationships/hyperlink" Target="https://kleanbeauty.co/products/bakuchiol-advanced-correcting-serum" TargetMode="External"/><Relationship Id="rId148" Type="http://schemas.openxmlformats.org/officeDocument/2006/relationships/hyperlink" Target="https://kleanbeauty.co/" TargetMode="External"/><Relationship Id="rId149" Type="http://schemas.openxmlformats.org/officeDocument/2006/relationships/hyperlink" Target="https://kleanbeauty.co/products/hydro-glow&#10024;" TargetMode="External"/><Relationship Id="rId150" Type="http://schemas.openxmlformats.org/officeDocument/2006/relationships/hyperlink" Target="https://kleanbeauty.co/" TargetMode="External"/><Relationship Id="rId151" Type="http://schemas.openxmlformats.org/officeDocument/2006/relationships/hyperlink" Target="https://slbasics.com/products/the-strawberry-suite" TargetMode="External"/><Relationship Id="rId152" Type="http://schemas.openxmlformats.org/officeDocument/2006/relationships/hyperlink" Target="https://slbasics.com/" TargetMode="External"/><Relationship Id="rId153" Type="http://schemas.openxmlformats.org/officeDocument/2006/relationships/hyperlink" Target="https://slbasics.com/products/the-orange-suite" TargetMode="External"/><Relationship Id="rId154" Type="http://schemas.openxmlformats.org/officeDocument/2006/relationships/hyperlink" Target="https://slbasics.com/" TargetMode="External"/><Relationship Id="rId155" Type="http://schemas.openxmlformats.org/officeDocument/2006/relationships/hyperlink" Target="https://conaturalintl.com/products/white-mask-face-brightening-mask-facial-mask" TargetMode="External"/><Relationship Id="rId156" Type="http://schemas.openxmlformats.org/officeDocument/2006/relationships/hyperlink" Target="https://conaturalintl.com/" TargetMode="External"/><Relationship Id="rId157" Type="http://schemas.openxmlformats.org/officeDocument/2006/relationships/hyperlink" Target="https://masarratmakeup.com/products/soft-girl-duo" TargetMode="External"/><Relationship Id="rId158" Type="http://schemas.openxmlformats.org/officeDocument/2006/relationships/hyperlink" Target="https://masarratmakeup.com/" TargetMode="External"/><Relationship Id="rId159" Type="http://schemas.openxmlformats.org/officeDocument/2006/relationships/hyperlink" Target="https://masarratmakeup.com/products/cherry-cola-lip-combo-2" TargetMode="External"/><Relationship Id="rId160" Type="http://schemas.openxmlformats.org/officeDocument/2006/relationships/hyperlink" Target="https://masarratmakeup.com/" TargetMode="External"/><Relationship Id="rId161" Type="http://schemas.openxmlformats.org/officeDocument/2006/relationships/hyperlink" Target="https://slbasics.com/products/peptide-hyaluronic-moisture-cream" TargetMode="External"/><Relationship Id="rId162" Type="http://schemas.openxmlformats.org/officeDocument/2006/relationships/hyperlink" Target="https://slbasics.com/" TargetMode="External"/><Relationship Id="rId163" Type="http://schemas.openxmlformats.org/officeDocument/2006/relationships/hyperlink" Target="https://kleanbeauty.co/products/glass-skin-sleeping-mask" TargetMode="External"/><Relationship Id="rId164" Type="http://schemas.openxmlformats.org/officeDocument/2006/relationships/hyperlink" Target="https://kleanbeauty.co/" TargetMode="External"/><Relationship Id="rId165" Type="http://schemas.openxmlformats.org/officeDocument/2006/relationships/hyperlink" Target="https://forganica.com/products/peptide-repair-serum" TargetMode="External"/><Relationship Id="rId166" Type="http://schemas.openxmlformats.org/officeDocument/2006/relationships/hyperlink" Target="https://forganica.com/" TargetMode="External"/><Relationship Id="rId167" Type="http://schemas.openxmlformats.org/officeDocument/2006/relationships/hyperlink" Target="https://masarratmakeup.com/products/box-of-2-matte-luxe" TargetMode="External"/><Relationship Id="rId168" Type="http://schemas.openxmlformats.org/officeDocument/2006/relationships/hyperlink" Target="https://masarratmakeup.com/" TargetMode="External"/><Relationship Id="rId169" Type="http://schemas.openxmlformats.org/officeDocument/2006/relationships/hyperlink" Target="https://accufixcosmetics.com/products/encapsulated-salicylic-acid-niacinamide-serum" TargetMode="External"/><Relationship Id="rId170" Type="http://schemas.openxmlformats.org/officeDocument/2006/relationships/hyperlink" Target="https://accufixcosmetics.com/" TargetMode="External"/><Relationship Id="rId171" Type="http://schemas.openxmlformats.org/officeDocument/2006/relationships/hyperlink" Target="https://conaturalintl.com/products/contour-powder" TargetMode="External"/><Relationship Id="rId172" Type="http://schemas.openxmlformats.org/officeDocument/2006/relationships/hyperlink" Target="https://conaturalintl.com/" TargetMode="External"/><Relationship Id="rId173" Type="http://schemas.openxmlformats.org/officeDocument/2006/relationships/hyperlink" Target="https://blingbynadiahussain.com/products/nadia-hussain-goat-milk-niacinamide-lotion" TargetMode="External"/><Relationship Id="rId174" Type="http://schemas.openxmlformats.org/officeDocument/2006/relationships/hyperlink" Target="https://blingbynadiahussain.com/" TargetMode="External"/><Relationship Id="rId175" Type="http://schemas.openxmlformats.org/officeDocument/2006/relationships/hyperlink" Target="https://blingbynadiahussain.com/products/nadia-hussain-kojic-acid-collagen-lotion" TargetMode="External"/><Relationship Id="rId176" Type="http://schemas.openxmlformats.org/officeDocument/2006/relationships/hyperlink" Target="https://blingbynadiahussain.com/" TargetMode="External"/><Relationship Id="rId177" Type="http://schemas.openxmlformats.org/officeDocument/2006/relationships/hyperlink" Target="https://blingbynadiahussain.com/products/nadia-hussain-vitamin-c-glutathione-lotion" TargetMode="External"/><Relationship Id="rId178" Type="http://schemas.openxmlformats.org/officeDocument/2006/relationships/hyperlink" Target="https://blingbynadiahussain.com/" TargetMode="External"/><Relationship Id="rId179" Type="http://schemas.openxmlformats.org/officeDocument/2006/relationships/hyperlink" Target="https://blingbynadiahussain.com/products/nadia-hussain-vitamin-e-argan-oil-lotion" TargetMode="External"/><Relationship Id="rId180" Type="http://schemas.openxmlformats.org/officeDocument/2006/relationships/hyperlink" Target="https://blingbynadiahussain.com/" TargetMode="External"/><Relationship Id="rId181" Type="http://schemas.openxmlformats.org/officeDocument/2006/relationships/hyperlink" Target="https://dermatechno.com/products/hajj-umrah-essential-kit" TargetMode="External"/><Relationship Id="rId182" Type="http://schemas.openxmlformats.org/officeDocument/2006/relationships/hyperlink" Target="https://dermatechno.com/" TargetMode="External"/><Relationship Id="rId183" Type="http://schemas.openxmlformats.org/officeDocument/2006/relationships/hyperlink" Target="https://slbasics.com/products/summer-skin-rescue-kit-best-seller-bundle" TargetMode="External"/><Relationship Id="rId184" Type="http://schemas.openxmlformats.org/officeDocument/2006/relationships/hyperlink" Target="https://slbasics.com/" TargetMode="External"/><Relationship Id="rId185" Type="http://schemas.openxmlformats.org/officeDocument/2006/relationships/hyperlink" Target="https://vincecare.com/products/face-and-lips-protection-combo" TargetMode="External"/><Relationship Id="rId186" Type="http://schemas.openxmlformats.org/officeDocument/2006/relationships/hyperlink" Target="https://vincecare.com/" TargetMode="External"/><Relationship Id="rId187" Type="http://schemas.openxmlformats.org/officeDocument/2006/relationships/hyperlink" Target="https://kleanbeauty.co/products/take-off-trio" TargetMode="External"/><Relationship Id="rId188" Type="http://schemas.openxmlformats.org/officeDocument/2006/relationships/hyperlink" Target="https://kleanbeauty.co/" TargetMode="External"/><Relationship Id="rId189" Type="http://schemas.openxmlformats.org/officeDocument/2006/relationships/hyperlink" Target="https://forganica.com/products/silymarin-antioxidant-serum-vitamin-c-serum-for-oily-and-blemish-prone-skin" TargetMode="External"/><Relationship Id="rId190" Type="http://schemas.openxmlformats.org/officeDocument/2006/relationships/hyperlink" Target="https://forganica.com/" TargetMode="External"/><Relationship Id="rId191" Type="http://schemas.openxmlformats.org/officeDocument/2006/relationships/hyperlink" Target="https://jenpharm.com/products/dermive-urea-economy-pack" TargetMode="External"/><Relationship Id="rId192" Type="http://schemas.openxmlformats.org/officeDocument/2006/relationships/hyperlink" Target="https://jenpharm.com/" TargetMode="External"/><Relationship Id="rId193" Type="http://schemas.openxmlformats.org/officeDocument/2006/relationships/hyperlink" Target="https://kleanbeauty.co/products/peptide-complex-serum" TargetMode="External"/><Relationship Id="rId194" Type="http://schemas.openxmlformats.org/officeDocument/2006/relationships/hyperlink" Target="https://kleanbeauty.co/" TargetMode="External"/><Relationship Id="rId195" Type="http://schemas.openxmlformats.org/officeDocument/2006/relationships/hyperlink" Target="https://accufixcosmetics.com/products/best-hydrating-body-wash-for-dry-skin" TargetMode="External"/><Relationship Id="rId196" Type="http://schemas.openxmlformats.org/officeDocument/2006/relationships/hyperlink" Target="https://accufixcosmetics.com/" TargetMode="External"/><Relationship Id="rId197" Type="http://schemas.openxmlformats.org/officeDocument/2006/relationships/hyperlink" Target="https://forganica.com/products/glycolic-acid-toner" TargetMode="External"/><Relationship Id="rId198" Type="http://schemas.openxmlformats.org/officeDocument/2006/relationships/hyperlink" Target="https://forganica.com/" TargetMode="External"/><Relationship Id="rId199" Type="http://schemas.openxmlformats.org/officeDocument/2006/relationships/hyperlink" Target="https://forganica.com/products/sunblock-with-spf-50" TargetMode="External"/><Relationship Id="rId200" Type="http://schemas.openxmlformats.org/officeDocument/2006/relationships/hyperlink" Target="https://forganica.com/" TargetMode="External"/><Relationship Id="rId201" Type="http://schemas.openxmlformats.org/officeDocument/2006/relationships/hyperlink" Target="https://forganica.com/products/hyaluronic-acid-serum" TargetMode="External"/><Relationship Id="rId202" Type="http://schemas.openxmlformats.org/officeDocument/2006/relationships/hyperlink" Target="https://forganica.com/" TargetMode="External"/><Relationship Id="rId203" Type="http://schemas.openxmlformats.org/officeDocument/2006/relationships/hyperlink" Target="https://forganica.com/products/salicylic-acid-serum-for-acne" TargetMode="External"/><Relationship Id="rId204" Type="http://schemas.openxmlformats.org/officeDocument/2006/relationships/hyperlink" Target="https://forganica.com/" TargetMode="External"/><Relationship Id="rId205" Type="http://schemas.openxmlformats.org/officeDocument/2006/relationships/hyperlink" Target="https://slbasics.com/products/c-bright-serum" TargetMode="External"/><Relationship Id="rId206" Type="http://schemas.openxmlformats.org/officeDocument/2006/relationships/hyperlink" Target="https://slbasics.com/" TargetMode="External"/><Relationship Id="rId207" Type="http://schemas.openxmlformats.org/officeDocument/2006/relationships/hyperlink" Target="https://forganica.com/products/oil-to-milk-cleanser" TargetMode="External"/><Relationship Id="rId208" Type="http://schemas.openxmlformats.org/officeDocument/2006/relationships/hyperlink" Target="https://forganica.com/" TargetMode="External"/><Relationship Id="rId209" Type="http://schemas.openxmlformats.org/officeDocument/2006/relationships/hyperlink" Target="https://slbasics.com/products/dynamic-duo" TargetMode="External"/><Relationship Id="rId210" Type="http://schemas.openxmlformats.org/officeDocument/2006/relationships/hyperlink" Target="https://slbasics.com/" TargetMode="External"/><Relationship Id="rId211" Type="http://schemas.openxmlformats.org/officeDocument/2006/relationships/hyperlink" Target="https://slbasics.com/products/basic-b" TargetMode="External"/><Relationship Id="rId212" Type="http://schemas.openxmlformats.org/officeDocument/2006/relationships/hyperlink" Target="https://slbasics.com/" TargetMode="External"/><Relationship Id="rId213" Type="http://schemas.openxmlformats.org/officeDocument/2006/relationships/hyperlink" Target="https://masarratmakeup.com/products/bb-cream" TargetMode="External"/><Relationship Id="rId214" Type="http://schemas.openxmlformats.org/officeDocument/2006/relationships/hyperlink" Target="https://masarratmakeup.com/" TargetMode="External"/><Relationship Id="rId215" Type="http://schemas.openxmlformats.org/officeDocument/2006/relationships/hyperlink" Target="https://slbasics.com/products/hydra-serum" TargetMode="External"/><Relationship Id="rId216" Type="http://schemas.openxmlformats.org/officeDocument/2006/relationships/hyperlink" Target="https://slbasics.com/" TargetMode="External"/><Relationship Id="rId217" Type="http://schemas.openxmlformats.org/officeDocument/2006/relationships/hyperlink" Target="https://www.goldengirlcosmetics.com/products/fresh-glow-facial-trio-bundle" TargetMode="External"/><Relationship Id="rId218" Type="http://schemas.openxmlformats.org/officeDocument/2006/relationships/hyperlink" Target="https://www.goldengirlcosmetics.com/" TargetMode="External"/><Relationship Id="rId219" Type="http://schemas.openxmlformats.org/officeDocument/2006/relationships/hyperlink" Target="https://slbasics.com/products/honey-suite" TargetMode="External"/><Relationship Id="rId220" Type="http://schemas.openxmlformats.org/officeDocument/2006/relationships/hyperlink" Target="https://slbasics.com/" TargetMode="External"/><Relationship Id="rId221" Type="http://schemas.openxmlformats.org/officeDocument/2006/relationships/hyperlink" Target="https://slbasics.com/products/toners-trio" TargetMode="External"/><Relationship Id="rId222" Type="http://schemas.openxmlformats.org/officeDocument/2006/relationships/hyperlink" Target="https://slbasics.com/" TargetMode="External"/><Relationship Id="rId223" Type="http://schemas.openxmlformats.org/officeDocument/2006/relationships/hyperlink" Target="https://slbasics.com/products/lemon-suite" TargetMode="External"/><Relationship Id="rId224" Type="http://schemas.openxmlformats.org/officeDocument/2006/relationships/hyperlink" Target="https://slbasics.com/" TargetMode="External"/><Relationship Id="rId225" Type="http://schemas.openxmlformats.org/officeDocument/2006/relationships/hyperlink" Target="https://slbasics.com/products/teenage-dream" TargetMode="External"/><Relationship Id="rId226" Type="http://schemas.openxmlformats.org/officeDocument/2006/relationships/hyperlink" Target="https://slbasics.com/" TargetMode="External"/><Relationship Id="rId227" Type="http://schemas.openxmlformats.org/officeDocument/2006/relationships/hyperlink" Target="https://slbasics.com/products/2-for-2k-facewash" TargetMode="External"/><Relationship Id="rId228" Type="http://schemas.openxmlformats.org/officeDocument/2006/relationships/hyperlink" Target="https://slbasics.com/" TargetMode="External"/><Relationship Id="rId229"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conaturalintl.com/" TargetMode="External"/><Relationship Id="rId2" Type="http://schemas.openxmlformats.org/officeDocument/2006/relationships/hyperlink" Target="https://jenpharm.com/" TargetMode="External"/><Relationship Id="rId3" Type="http://schemas.openxmlformats.org/officeDocument/2006/relationships/hyperlink" Target="https://vincecare.com/" TargetMode="External"/><Relationship Id="rId4" Type="http://schemas.openxmlformats.org/officeDocument/2006/relationships/hyperlink" Target="https://saeedghani.pk/" TargetMode="External"/><Relationship Id="rId5" Type="http://schemas.openxmlformats.org/officeDocument/2006/relationships/hyperlink" Target="https://goldenpearl.com.pk/" TargetMode="External"/><Relationship Id="rId6" Type="http://schemas.openxmlformats.org/officeDocument/2006/relationships/hyperlink" Target="https://slbasics.com/" TargetMode="External"/><Relationship Id="rId7" Type="http://schemas.openxmlformats.org/officeDocument/2006/relationships/hyperlink" Target="https://accufixcosmetics.com/" TargetMode="External"/><Relationship Id="rId8" Type="http://schemas.openxmlformats.org/officeDocument/2006/relationships/hyperlink" Target="https://forganica.com/" TargetMode="External"/><Relationship Id="rId9" Type="http://schemas.openxmlformats.org/officeDocument/2006/relationships/hyperlink" Target="https://kleanbeauty.co/" TargetMode="External"/><Relationship Id="rId10" Type="http://schemas.openxmlformats.org/officeDocument/2006/relationships/hyperlink" Target="https://zeromakeup.com/" TargetMode="External"/><Relationship Id="rId11" Type="http://schemas.openxmlformats.org/officeDocument/2006/relationships/hyperlink" Target="https://iloveluscious.com/" TargetMode="External"/><Relationship Id="rId12" Type="http://schemas.openxmlformats.org/officeDocument/2006/relationships/hyperlink" Target="https://masarratmakeup.com/" TargetMode="External"/><Relationship Id="rId13" Type="http://schemas.openxmlformats.org/officeDocument/2006/relationships/hyperlink" Target="https://medora.com.pk/" TargetMode="External"/><Relationship Id="rId14" Type="http://schemas.openxmlformats.org/officeDocument/2006/relationships/hyperlink" Target="https://kashees.com/" TargetMode="External"/><Relationship Id="rId15" Type="http://schemas.openxmlformats.org/officeDocument/2006/relationships/hyperlink" Target="https://blingbynadiahussain.com/" TargetMode="External"/><Relationship Id="rId16" Type="http://schemas.openxmlformats.org/officeDocument/2006/relationships/hyperlink" Target="https://colorstudiopro.com/" TargetMode="External"/><Relationship Id="rId17" Type="http://schemas.openxmlformats.org/officeDocument/2006/relationships/hyperlink" Target="https://dermatechno.com/" TargetMode="External"/><Relationship Id="rId18" Type="http://schemas.openxmlformats.org/officeDocument/2006/relationships/hyperlink" Target="https://goldengirlcosmetics.com/" TargetMode="External"/><Relationship Id="rId19" Type="http://schemas.openxmlformats.org/officeDocument/2006/relationships/hyperlink" Target="https://skinsciences.com.pk/" TargetMode="External"/><Relationship Id="rId20" Type="http://schemas.openxmlformats.org/officeDocument/2006/relationships/hyperlink" Target="https://hemaniherbals.com/" TargetMode="External"/><Relationship Id="rId21" Type="http://schemas.openxmlformats.org/officeDocument/2006/relationships/hyperlink" Target="https://marhaba.com.pk/" TargetMode="External"/><Relationship Id="rId22" Type="http://schemas.openxmlformats.org/officeDocument/2006/relationships/hyperlink" Target="https://safrinskincare.com.pk/" TargetMode="External"/><Relationship Id="rId23" Type="http://schemas.openxmlformats.org/officeDocument/2006/relationships/hyperlink" Target="https://whizlaboratories.com/" TargetMode="External"/><Relationship Id="rId24" Type="http://schemas.openxmlformats.org/officeDocument/2006/relationships/hyperlink" Target="https://bnbderma.com/" TargetMode="External"/><Relationship Id="rId25" Type="http://schemas.openxmlformats.org/officeDocument/2006/relationships/hyperlink" Target="https://christinecosmetics.pk/" TargetMode="External"/><Relationship Id="rId26" Type="http://schemas.openxmlformats.org/officeDocument/2006/relationships/hyperlink" Target="https://saraalicosmetics.com/" TargetMode="External"/><Relationship Id="rId27" Type="http://schemas.openxmlformats.org/officeDocument/2006/relationships/hyperlink" Target="https://glamorous.pk/" TargetMode="Externa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20.9" hidden="false" customHeight="false" outlineLevel="0" collapsed="false">
      <c r="A1" s="1" t="s">
        <v>0</v>
      </c>
    </row>
    <row r="2" customFormat="false" ht="15" hidden="false" customHeight="false" outlineLevel="0" collapsed="false">
      <c r="A2" s="2" t="s">
        <v>1</v>
      </c>
    </row>
    <row r="4" customFormat="false" ht="15" hidden="false" customHeight="true" outlineLevel="0" collapsed="false">
      <c r="A4" s="3"/>
      <c r="B4" s="4"/>
    </row>
    <row r="5" customFormat="false" ht="43.5" hidden="false" customHeight="true" outlineLevel="0" collapsed="false">
      <c r="A5" s="3" t="s">
        <v>2</v>
      </c>
      <c r="B5" s="4" t="s">
        <v>3</v>
      </c>
    </row>
    <row r="6" customFormat="false" ht="43.5" hidden="false" customHeight="true" outlineLevel="0" collapsed="false">
      <c r="A6" s="3" t="s">
        <v>4</v>
      </c>
      <c r="B6" s="4" t="s">
        <v>5</v>
      </c>
    </row>
    <row r="7" customFormat="false" ht="43.5" hidden="false" customHeight="true" outlineLevel="0" collapsed="false">
      <c r="A7" s="3" t="s">
        <v>6</v>
      </c>
      <c r="B7" s="4" t="s">
        <v>7</v>
      </c>
    </row>
    <row r="8" customFormat="false" ht="15" hidden="false" customHeight="true" outlineLevel="0" collapsed="false">
      <c r="A8" s="3"/>
      <c r="B8" s="4"/>
    </row>
    <row r="9" customFormat="false" ht="15" hidden="false" customHeight="true" outlineLevel="0" collapsed="false">
      <c r="A9" s="3" t="s">
        <v>8</v>
      </c>
      <c r="B9" s="4"/>
    </row>
    <row r="10" customFormat="false" ht="43.5" hidden="false" customHeight="true" outlineLevel="0" collapsed="false">
      <c r="A10" s="3" t="s">
        <v>9</v>
      </c>
      <c r="B10" s="4" t="s">
        <v>10</v>
      </c>
    </row>
    <row r="11" customFormat="false" ht="27.75" hidden="false" customHeight="true" outlineLevel="0" collapsed="false">
      <c r="A11" s="3" t="s">
        <v>11</v>
      </c>
      <c r="B11" s="4" t="s">
        <v>12</v>
      </c>
    </row>
    <row r="12" customFormat="false" ht="43.5" hidden="false" customHeight="true" outlineLevel="0" collapsed="false">
      <c r="A12" s="3" t="s">
        <v>13</v>
      </c>
      <c r="B12" s="4" t="s">
        <v>14</v>
      </c>
    </row>
    <row r="13" customFormat="false" ht="27.75" hidden="false" customHeight="true" outlineLevel="0" collapsed="false">
      <c r="A13" s="3" t="s">
        <v>15</v>
      </c>
      <c r="B13" s="4" t="s">
        <v>16</v>
      </c>
    </row>
    <row r="14" customFormat="false" ht="27.75" hidden="false" customHeight="true" outlineLevel="0" collapsed="false">
      <c r="A14" s="3" t="s">
        <v>17</v>
      </c>
      <c r="B14" s="4" t="s">
        <v>18</v>
      </c>
    </row>
    <row r="15" customFormat="false" ht="27.75" hidden="false" customHeight="true" outlineLevel="0" collapsed="false">
      <c r="A15" s="3" t="s">
        <v>19</v>
      </c>
      <c r="B15" s="4" t="s">
        <v>20</v>
      </c>
    </row>
    <row r="16" customFormat="false" ht="27.75" hidden="false" customHeight="true" outlineLevel="0" collapsed="false">
      <c r="A16" s="3" t="s">
        <v>21</v>
      </c>
      <c r="B16" s="4" t="s">
        <v>22</v>
      </c>
    </row>
    <row r="17" customFormat="false" ht="15" hidden="false" customHeight="true" outlineLevel="0" collapsed="false">
      <c r="A17" s="3" t="s">
        <v>23</v>
      </c>
      <c r="B17" s="4" t="s">
        <v>24</v>
      </c>
    </row>
    <row r="18" customFormat="false" ht="15" hidden="false" customHeight="true" outlineLevel="0" collapsed="false">
      <c r="A18" s="3" t="s">
        <v>25</v>
      </c>
      <c r="B18" s="4" t="s">
        <v>26</v>
      </c>
    </row>
    <row r="19" customFormat="false" ht="27.75" hidden="false" customHeight="true" outlineLevel="0" collapsed="false">
      <c r="A19" s="3" t="s">
        <v>27</v>
      </c>
      <c r="B19" s="4" t="s">
        <v>28</v>
      </c>
    </row>
    <row r="20" customFormat="false" ht="15" hidden="false" customHeight="true" outlineLevel="0" collapsed="false">
      <c r="A20" s="3" t="s">
        <v>29</v>
      </c>
      <c r="B20" s="4" t="s">
        <v>30</v>
      </c>
    </row>
    <row r="21" customFormat="false" ht="15" hidden="false" customHeight="true" outlineLevel="0" collapsed="false">
      <c r="A21" s="3" t="s">
        <v>31</v>
      </c>
      <c r="B21" s="4" t="s">
        <v>32</v>
      </c>
    </row>
    <row r="22" customFormat="false" ht="15" hidden="false" customHeight="true" outlineLevel="0" collapsed="false">
      <c r="A22" s="3"/>
      <c r="B22" s="4"/>
    </row>
    <row r="23" customFormat="false" ht="15" hidden="false" customHeight="true" outlineLevel="0" collapsed="false">
      <c r="A23" s="3" t="s">
        <v>33</v>
      </c>
      <c r="B23" s="4"/>
    </row>
    <row r="24" customFormat="false" ht="43.5" hidden="false" customHeight="true" outlineLevel="0" collapsed="false">
      <c r="A24" s="3" t="s">
        <v>34</v>
      </c>
      <c r="B24" s="4" t="s">
        <v>35</v>
      </c>
    </row>
    <row r="25" customFormat="false" ht="43.5" hidden="false" customHeight="true" outlineLevel="0" collapsed="false">
      <c r="A25" s="3" t="s">
        <v>36</v>
      </c>
      <c r="B25" s="4" t="s">
        <v>37</v>
      </c>
    </row>
    <row r="26" customFormat="false" ht="15" hidden="false" customHeight="true" outlineLevel="0" collapsed="false">
      <c r="A26" s="3"/>
      <c r="B26" s="4"/>
    </row>
    <row r="27" customFormat="false" ht="15" hidden="false" customHeight="true" outlineLevel="0" collapsed="false">
      <c r="A27" s="3" t="s">
        <v>38</v>
      </c>
      <c r="B27" s="4"/>
    </row>
    <row r="28" customFormat="false" ht="43.5" hidden="false" customHeight="true" outlineLevel="0" collapsed="false">
      <c r="A28" s="3" t="s">
        <v>39</v>
      </c>
      <c r="B28" s="4" t="s">
        <v>40</v>
      </c>
    </row>
    <row r="29" customFormat="false" ht="43.5" hidden="false" customHeight="true" outlineLevel="0" collapsed="false">
      <c r="A29" s="3" t="s">
        <v>41</v>
      </c>
      <c r="B29" s="4" t="s">
        <v>42</v>
      </c>
    </row>
    <row r="30" customFormat="false" ht="43.5" hidden="false" customHeight="true" outlineLevel="0" collapsed="false">
      <c r="A30" s="3" t="s">
        <v>43</v>
      </c>
      <c r="B30" s="4" t="s">
        <v>44</v>
      </c>
    </row>
    <row r="31" customFormat="false" ht="27.75" hidden="false" customHeight="true" outlineLevel="0" collapsed="false">
      <c r="A31" s="3" t="s">
        <v>45</v>
      </c>
      <c r="B31" s="4" t="s">
        <v>46</v>
      </c>
    </row>
    <row r="32" customFormat="false" ht="27.75" hidden="false" customHeight="true" outlineLevel="0" collapsed="false">
      <c r="A32" s="3" t="s">
        <v>47</v>
      </c>
      <c r="B32" s="4"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56"/>
    <col collapsed="false" customWidth="true" hidden="false" outlineLevel="0" max="4" min="4" style="0" width="15"/>
    <col collapsed="false" customWidth="true" hidden="false" outlineLevel="0" max="5" min="5" style="0" width="20"/>
    <col collapsed="false" customWidth="true" hidden="false" outlineLevel="0" max="6" min="6" style="0" width="26"/>
    <col collapsed="false" customWidth="true" hidden="false" outlineLevel="0" max="7" min="7" style="0" width="20"/>
    <col collapsed="false" customWidth="true" hidden="false" outlineLevel="0" max="8" min="8" style="0" width="28"/>
    <col collapsed="false" customWidth="true" hidden="false" outlineLevel="0" max="9" min="9" style="0" width="14"/>
    <col collapsed="false" customWidth="true" hidden="false" outlineLevel="0" max="10" min="10" style="0" width="11"/>
    <col collapsed="false" customWidth="true" hidden="false" outlineLevel="0" max="11" min="11" style="0" width="18"/>
    <col collapsed="false" customWidth="true" hidden="false" outlineLevel="0" max="12" min="12" style="0" width="62"/>
    <col collapsed="false" customWidth="true" hidden="false" outlineLevel="0" max="13" min="13" style="0" width="30"/>
    <col collapsed="false" customWidth="true" hidden="false" outlineLevel="0" max="14" min="14" style="0" width="13"/>
    <col collapsed="false" customWidth="true" hidden="false" outlineLevel="0" max="15" min="15" style="0" width="20"/>
    <col collapsed="false" customWidth="true" hidden="false" outlineLevel="0" max="16" min="16" style="0" width="26"/>
    <col collapsed="false" customWidth="true" hidden="false" outlineLevel="0" max="18" min="17" style="0" width="20"/>
    <col collapsed="false" customWidth="true" hidden="false" outlineLevel="0" max="19" min="19" style="0" width="62"/>
    <col collapsed="false" customWidth="true" hidden="false" outlineLevel="0" max="20" min="20" style="0" width="14"/>
    <col collapsed="false" customWidth="true" hidden="false" outlineLevel="0" max="21" min="21" style="0" width="13"/>
  </cols>
  <sheetData>
    <row r="1" customFormat="false" ht="31.5" hidden="false" customHeight="true" outlineLevel="0" collapsed="false">
      <c r="A1" s="5" t="s">
        <v>49</v>
      </c>
      <c r="B1" s="5" t="s">
        <v>50</v>
      </c>
      <c r="C1" s="5" t="s">
        <v>51</v>
      </c>
      <c r="D1" s="5" t="s">
        <v>52</v>
      </c>
      <c r="E1" s="5" t="s">
        <v>53</v>
      </c>
      <c r="F1" s="5" t="s">
        <v>54</v>
      </c>
      <c r="G1" s="5" t="s">
        <v>55</v>
      </c>
      <c r="H1" s="5" t="s">
        <v>56</v>
      </c>
      <c r="I1" s="5" t="s">
        <v>57</v>
      </c>
      <c r="J1" s="5" t="s">
        <v>58</v>
      </c>
      <c r="K1" s="5" t="s">
        <v>59</v>
      </c>
      <c r="L1" s="5" t="s">
        <v>60</v>
      </c>
      <c r="M1" s="5" t="s">
        <v>61</v>
      </c>
      <c r="N1" s="5" t="s">
        <v>62</v>
      </c>
      <c r="O1" s="5" t="s">
        <v>63</v>
      </c>
      <c r="P1" s="5" t="s">
        <v>64</v>
      </c>
      <c r="Q1" s="5" t="s">
        <v>65</v>
      </c>
      <c r="R1" s="5" t="s">
        <v>66</v>
      </c>
      <c r="S1" s="5" t="s">
        <v>67</v>
      </c>
      <c r="T1" s="5" t="s">
        <v>68</v>
      </c>
      <c r="U1" s="5" t="s">
        <v>69</v>
      </c>
    </row>
    <row r="2" customFormat="false" ht="15" hidden="false" customHeight="false" outlineLevel="0" collapsed="false">
      <c r="A2" s="6" t="n">
        <v>1</v>
      </c>
      <c r="B2" s="6" t="s">
        <v>70</v>
      </c>
      <c r="C2" s="6" t="s">
        <v>71</v>
      </c>
      <c r="D2" s="6" t="s">
        <v>72</v>
      </c>
      <c r="E2" s="6" t="s">
        <v>73</v>
      </c>
      <c r="F2" s="6" t="s">
        <v>74</v>
      </c>
      <c r="G2" s="6" t="s">
        <v>75</v>
      </c>
      <c r="H2" s="6" t="s">
        <v>76</v>
      </c>
      <c r="I2" s="6" t="s">
        <v>77</v>
      </c>
      <c r="J2" s="7" t="n">
        <v>13918</v>
      </c>
      <c r="K2" s="6" t="str">
        <f aca="false">IF(J2&gt;=8000,"Luxury 8k+",IF(J2&gt;=5000,"Premium 5-8k",IF(J2&gt;=3000,"Upper-mid 3-5k","Entry-premium 2-3k")))</f>
        <v>Luxury 8k+</v>
      </c>
      <c r="L2" s="8" t="s">
        <v>78</v>
      </c>
      <c r="M2" s="8" t="s">
        <v>79</v>
      </c>
      <c r="N2" s="6" t="s">
        <v>80</v>
      </c>
      <c r="O2" s="6" t="s">
        <v>81</v>
      </c>
      <c r="P2" s="6" t="s">
        <v>82</v>
      </c>
      <c r="Q2" s="6" t="s">
        <v>83</v>
      </c>
      <c r="R2" s="6" t="s">
        <v>83</v>
      </c>
      <c r="S2" s="9" t="s">
        <v>84</v>
      </c>
      <c r="T2" s="6" t="n">
        <v>60</v>
      </c>
      <c r="U2" s="6" t="s">
        <v>85</v>
      </c>
    </row>
    <row r="3" customFormat="false" ht="15" hidden="false" customHeight="false" outlineLevel="0" collapsed="false">
      <c r="A3" s="6" t="n">
        <v>2</v>
      </c>
      <c r="B3" s="6" t="s">
        <v>86</v>
      </c>
      <c r="C3" s="6" t="s">
        <v>87</v>
      </c>
      <c r="D3" s="6" t="s">
        <v>88</v>
      </c>
      <c r="E3" s="6" t="s">
        <v>89</v>
      </c>
      <c r="F3" s="6" t="s">
        <v>90</v>
      </c>
      <c r="G3" s="6" t="s">
        <v>75</v>
      </c>
      <c r="H3" s="6" t="s">
        <v>91</v>
      </c>
      <c r="I3" s="6" t="s">
        <v>92</v>
      </c>
      <c r="J3" s="7" t="n">
        <v>11048</v>
      </c>
      <c r="K3" s="6" t="str">
        <f aca="false">IF(J3&gt;=8000,"Luxury 8k+",IF(J3&gt;=5000,"Premium 5-8k",IF(J3&gt;=3000,"Upper-mid 3-5k","Entry-premium 2-3k")))</f>
        <v>Luxury 8k+</v>
      </c>
      <c r="L3" s="8" t="s">
        <v>93</v>
      </c>
      <c r="M3" s="8" t="s">
        <v>94</v>
      </c>
      <c r="N3" s="6" t="s">
        <v>80</v>
      </c>
      <c r="O3" s="6" t="s">
        <v>81</v>
      </c>
      <c r="P3" s="6" t="s">
        <v>82</v>
      </c>
      <c r="Q3" s="6" t="s">
        <v>83</v>
      </c>
      <c r="R3" s="6" t="s">
        <v>83</v>
      </c>
      <c r="S3" s="9" t="s">
        <v>95</v>
      </c>
      <c r="T3" s="6" t="n">
        <v>52</v>
      </c>
      <c r="U3" s="6" t="s">
        <v>85</v>
      </c>
    </row>
    <row r="4" customFormat="false" ht="15" hidden="false" customHeight="false" outlineLevel="0" collapsed="false">
      <c r="A4" s="6" t="n">
        <v>3</v>
      </c>
      <c r="B4" s="6" t="s">
        <v>96</v>
      </c>
      <c r="C4" s="6" t="s">
        <v>97</v>
      </c>
      <c r="D4" s="6" t="s">
        <v>88</v>
      </c>
      <c r="E4" s="6" t="s">
        <v>98</v>
      </c>
      <c r="F4" s="6" t="s">
        <v>99</v>
      </c>
      <c r="G4" s="6" t="s">
        <v>75</v>
      </c>
      <c r="H4" s="6" t="s">
        <v>100</v>
      </c>
      <c r="I4" s="6" t="s">
        <v>101</v>
      </c>
      <c r="J4" s="7" t="n">
        <v>9990</v>
      </c>
      <c r="K4" s="6" t="str">
        <f aca="false">IF(J4&gt;=8000,"Luxury 8k+",IF(J4&gt;=5000,"Premium 5-8k",IF(J4&gt;=3000,"Upper-mid 3-5k","Entry-premium 2-3k")))</f>
        <v>Luxury 8k+</v>
      </c>
      <c r="L4" s="8" t="s">
        <v>102</v>
      </c>
      <c r="M4" s="8" t="s">
        <v>103</v>
      </c>
      <c r="N4" s="6" t="s">
        <v>80</v>
      </c>
      <c r="O4" s="6" t="s">
        <v>81</v>
      </c>
      <c r="P4" s="6" t="s">
        <v>82</v>
      </c>
      <c r="Q4" s="6" t="s">
        <v>83</v>
      </c>
      <c r="R4" s="6" t="s">
        <v>83</v>
      </c>
      <c r="S4" s="9" t="s">
        <v>104</v>
      </c>
      <c r="T4" s="6" t="n">
        <v>64</v>
      </c>
      <c r="U4" s="6" t="s">
        <v>105</v>
      </c>
    </row>
    <row r="5" customFormat="false" ht="15" hidden="false" customHeight="false" outlineLevel="0" collapsed="false">
      <c r="A5" s="6" t="n">
        <v>4</v>
      </c>
      <c r="B5" s="6" t="s">
        <v>96</v>
      </c>
      <c r="C5" s="6" t="s">
        <v>106</v>
      </c>
      <c r="D5" s="6" t="s">
        <v>88</v>
      </c>
      <c r="E5" s="6" t="s">
        <v>107</v>
      </c>
      <c r="F5" s="6" t="s">
        <v>99</v>
      </c>
      <c r="G5" s="6" t="s">
        <v>75</v>
      </c>
      <c r="H5" s="6" t="s">
        <v>108</v>
      </c>
      <c r="I5" s="6" t="s">
        <v>109</v>
      </c>
      <c r="J5" s="7" t="n">
        <v>9490</v>
      </c>
      <c r="K5" s="6" t="str">
        <f aca="false">IF(J5&gt;=8000,"Luxury 8k+",IF(J5&gt;=5000,"Premium 5-8k",IF(J5&gt;=3000,"Upper-mid 3-5k","Entry-premium 2-3k")))</f>
        <v>Luxury 8k+</v>
      </c>
      <c r="L5" s="8" t="s">
        <v>110</v>
      </c>
      <c r="M5" s="8" t="s">
        <v>103</v>
      </c>
      <c r="N5" s="6" t="s">
        <v>80</v>
      </c>
      <c r="O5" s="6" t="s">
        <v>81</v>
      </c>
      <c r="P5" s="6" t="s">
        <v>82</v>
      </c>
      <c r="Q5" s="6" t="s">
        <v>83</v>
      </c>
      <c r="R5" s="6" t="s">
        <v>83</v>
      </c>
      <c r="S5" s="9" t="s">
        <v>111</v>
      </c>
      <c r="T5" s="6" t="n">
        <v>76</v>
      </c>
      <c r="U5" s="6" t="s">
        <v>85</v>
      </c>
    </row>
    <row r="6" customFormat="false" ht="15" hidden="false" customHeight="false" outlineLevel="0" collapsed="false">
      <c r="A6" s="6" t="n">
        <v>5</v>
      </c>
      <c r="B6" s="6" t="s">
        <v>96</v>
      </c>
      <c r="C6" s="6" t="s">
        <v>112</v>
      </c>
      <c r="D6" s="6" t="s">
        <v>88</v>
      </c>
      <c r="E6" s="6" t="s">
        <v>113</v>
      </c>
      <c r="F6" s="6" t="s">
        <v>114</v>
      </c>
      <c r="G6" s="6" t="s">
        <v>75</v>
      </c>
      <c r="H6" s="6" t="s">
        <v>115</v>
      </c>
      <c r="I6" s="6" t="s">
        <v>116</v>
      </c>
      <c r="J6" s="7" t="n">
        <v>8990</v>
      </c>
      <c r="K6" s="6" t="str">
        <f aca="false">IF(J6&gt;=8000,"Luxury 8k+",IF(J6&gt;=5000,"Premium 5-8k",IF(J6&gt;=3000,"Upper-mid 3-5k","Entry-premium 2-3k")))</f>
        <v>Luxury 8k+</v>
      </c>
      <c r="L6" s="8" t="s">
        <v>117</v>
      </c>
      <c r="M6" s="8" t="s">
        <v>103</v>
      </c>
      <c r="N6" s="6" t="s">
        <v>80</v>
      </c>
      <c r="O6" s="6" t="s">
        <v>81</v>
      </c>
      <c r="P6" s="6" t="s">
        <v>82</v>
      </c>
      <c r="Q6" s="6" t="s">
        <v>83</v>
      </c>
      <c r="R6" s="6" t="s">
        <v>83</v>
      </c>
      <c r="S6" s="9" t="s">
        <v>118</v>
      </c>
      <c r="T6" s="6" t="n">
        <v>58</v>
      </c>
      <c r="U6" s="6" t="s">
        <v>85</v>
      </c>
    </row>
    <row r="7" customFormat="false" ht="15" hidden="false" customHeight="false" outlineLevel="0" collapsed="false">
      <c r="A7" s="6" t="n">
        <v>6</v>
      </c>
      <c r="B7" s="6" t="s">
        <v>86</v>
      </c>
      <c r="C7" s="6" t="s">
        <v>119</v>
      </c>
      <c r="D7" s="6" t="s">
        <v>88</v>
      </c>
      <c r="E7" s="6" t="s">
        <v>89</v>
      </c>
      <c r="F7" s="6" t="s">
        <v>120</v>
      </c>
      <c r="G7" s="6" t="s">
        <v>75</v>
      </c>
      <c r="H7" s="6" t="s">
        <v>121</v>
      </c>
      <c r="I7" s="6" t="s">
        <v>101</v>
      </c>
      <c r="J7" s="7" t="n">
        <v>8773</v>
      </c>
      <c r="K7" s="6" t="str">
        <f aca="false">IF(J7&gt;=8000,"Luxury 8k+",IF(J7&gt;=5000,"Premium 5-8k",IF(J7&gt;=3000,"Upper-mid 3-5k","Entry-premium 2-3k")))</f>
        <v>Luxury 8k+</v>
      </c>
      <c r="L7" s="8" t="s">
        <v>122</v>
      </c>
      <c r="M7" s="8" t="s">
        <v>94</v>
      </c>
      <c r="N7" s="6" t="s">
        <v>80</v>
      </c>
      <c r="O7" s="6" t="s">
        <v>81</v>
      </c>
      <c r="P7" s="6" t="s">
        <v>82</v>
      </c>
      <c r="Q7" s="6" t="s">
        <v>83</v>
      </c>
      <c r="R7" s="6" t="s">
        <v>83</v>
      </c>
      <c r="S7" s="9" t="s">
        <v>118</v>
      </c>
      <c r="T7" s="6" t="n">
        <v>50</v>
      </c>
      <c r="U7" s="6" t="s">
        <v>85</v>
      </c>
    </row>
    <row r="8" customFormat="false" ht="15" hidden="false" customHeight="false" outlineLevel="0" collapsed="false">
      <c r="A8" s="6" t="n">
        <v>7</v>
      </c>
      <c r="B8" s="6" t="s">
        <v>123</v>
      </c>
      <c r="C8" s="6" t="s">
        <v>124</v>
      </c>
      <c r="D8" s="6" t="s">
        <v>88</v>
      </c>
      <c r="E8" s="6" t="s">
        <v>89</v>
      </c>
      <c r="F8" s="6" t="s">
        <v>120</v>
      </c>
      <c r="G8" s="6" t="s">
        <v>75</v>
      </c>
      <c r="H8" s="6" t="s">
        <v>91</v>
      </c>
      <c r="I8" s="6" t="s">
        <v>92</v>
      </c>
      <c r="J8" s="7" t="n">
        <v>8600</v>
      </c>
      <c r="K8" s="6" t="str">
        <f aca="false">IF(J8&gt;=8000,"Luxury 8k+",IF(J8&gt;=5000,"Premium 5-8k",IF(J8&gt;=3000,"Upper-mid 3-5k","Entry-premium 2-3k")))</f>
        <v>Luxury 8k+</v>
      </c>
      <c r="L8" s="8" t="s">
        <v>125</v>
      </c>
      <c r="M8" s="8" t="s">
        <v>126</v>
      </c>
      <c r="N8" s="6" t="s">
        <v>80</v>
      </c>
      <c r="O8" s="6" t="s">
        <v>81</v>
      </c>
      <c r="P8" s="6" t="s">
        <v>82</v>
      </c>
      <c r="Q8" s="6" t="s">
        <v>83</v>
      </c>
      <c r="R8" s="6" t="s">
        <v>83</v>
      </c>
      <c r="S8" s="9" t="s">
        <v>118</v>
      </c>
      <c r="T8" s="6" t="n">
        <v>58</v>
      </c>
      <c r="U8" s="6" t="s">
        <v>85</v>
      </c>
    </row>
    <row r="9" customFormat="false" ht="15" hidden="false" customHeight="false" outlineLevel="0" collapsed="false">
      <c r="A9" s="6" t="n">
        <v>8</v>
      </c>
      <c r="B9" s="6" t="s">
        <v>70</v>
      </c>
      <c r="C9" s="6" t="s">
        <v>127</v>
      </c>
      <c r="D9" s="6" t="s">
        <v>72</v>
      </c>
      <c r="E9" s="6" t="s">
        <v>73</v>
      </c>
      <c r="F9" s="6" t="s">
        <v>128</v>
      </c>
      <c r="G9" s="6" t="s">
        <v>75</v>
      </c>
      <c r="H9" s="6" t="s">
        <v>129</v>
      </c>
      <c r="I9" s="6" t="s">
        <v>77</v>
      </c>
      <c r="J9" s="7" t="n">
        <v>8437</v>
      </c>
      <c r="K9" s="6" t="str">
        <f aca="false">IF(J9&gt;=8000,"Luxury 8k+",IF(J9&gt;=5000,"Premium 5-8k",IF(J9&gt;=3000,"Upper-mid 3-5k","Entry-premium 2-3k")))</f>
        <v>Luxury 8k+</v>
      </c>
      <c r="L9" s="8" t="s">
        <v>130</v>
      </c>
      <c r="M9" s="8" t="s">
        <v>79</v>
      </c>
      <c r="N9" s="6" t="s">
        <v>80</v>
      </c>
      <c r="O9" s="6" t="s">
        <v>81</v>
      </c>
      <c r="P9" s="6" t="s">
        <v>82</v>
      </c>
      <c r="Q9" s="6" t="s">
        <v>83</v>
      </c>
      <c r="R9" s="6" t="s">
        <v>83</v>
      </c>
      <c r="S9" s="9" t="s">
        <v>131</v>
      </c>
      <c r="T9" s="6" t="n">
        <v>68</v>
      </c>
      <c r="U9" s="6" t="s">
        <v>85</v>
      </c>
    </row>
    <row r="10" customFormat="false" ht="15" hidden="false" customHeight="false" outlineLevel="0" collapsed="false">
      <c r="A10" s="6" t="n">
        <v>9</v>
      </c>
      <c r="B10" s="6" t="s">
        <v>132</v>
      </c>
      <c r="C10" s="6" t="s">
        <v>133</v>
      </c>
      <c r="D10" s="6" t="s">
        <v>72</v>
      </c>
      <c r="E10" s="6" t="s">
        <v>73</v>
      </c>
      <c r="F10" s="6" t="s">
        <v>134</v>
      </c>
      <c r="G10" s="6" t="s">
        <v>135</v>
      </c>
      <c r="H10" s="6" t="s">
        <v>136</v>
      </c>
      <c r="I10" s="6" t="s">
        <v>92</v>
      </c>
      <c r="J10" s="7" t="n">
        <v>8081</v>
      </c>
      <c r="K10" s="6" t="str">
        <f aca="false">IF(J10&gt;=8000,"Luxury 8k+",IF(J10&gt;=5000,"Premium 5-8k",IF(J10&gt;=3000,"Upper-mid 3-5k","Entry-premium 2-3k")))</f>
        <v>Luxury 8k+</v>
      </c>
      <c r="L10" s="8" t="s">
        <v>137</v>
      </c>
      <c r="M10" s="8" t="s">
        <v>138</v>
      </c>
      <c r="N10" s="6" t="s">
        <v>80</v>
      </c>
      <c r="O10" s="6" t="s">
        <v>81</v>
      </c>
      <c r="P10" s="6" t="s">
        <v>82</v>
      </c>
      <c r="Q10" s="6" t="s">
        <v>83</v>
      </c>
      <c r="R10" s="6" t="s">
        <v>83</v>
      </c>
      <c r="S10" s="9" t="s">
        <v>139</v>
      </c>
      <c r="T10" s="6" t="n">
        <v>56</v>
      </c>
      <c r="U10" s="6" t="s">
        <v>85</v>
      </c>
    </row>
    <row r="11" customFormat="false" ht="15" hidden="false" customHeight="false" outlineLevel="0" collapsed="false">
      <c r="A11" s="6" t="n">
        <v>10</v>
      </c>
      <c r="B11" s="6" t="s">
        <v>140</v>
      </c>
      <c r="C11" s="6" t="s">
        <v>141</v>
      </c>
      <c r="D11" s="6" t="s">
        <v>72</v>
      </c>
      <c r="E11" s="6" t="s">
        <v>142</v>
      </c>
      <c r="F11" s="6" t="s">
        <v>128</v>
      </c>
      <c r="G11" s="6" t="s">
        <v>75</v>
      </c>
      <c r="H11" s="6" t="s">
        <v>143</v>
      </c>
      <c r="I11" s="6" t="s">
        <v>144</v>
      </c>
      <c r="J11" s="7" t="n">
        <v>7700</v>
      </c>
      <c r="K11" s="6" t="str">
        <f aca="false">IF(J11&gt;=8000,"Luxury 8k+",IF(J11&gt;=5000,"Premium 5-8k",IF(J11&gt;=3000,"Upper-mid 3-5k","Entry-premium 2-3k")))</f>
        <v>Premium 5-8k</v>
      </c>
      <c r="L11" s="8" t="s">
        <v>145</v>
      </c>
      <c r="M11" s="8" t="s">
        <v>146</v>
      </c>
      <c r="N11" s="6" t="s">
        <v>80</v>
      </c>
      <c r="O11" s="6" t="s">
        <v>81</v>
      </c>
      <c r="P11" s="6" t="s">
        <v>82</v>
      </c>
      <c r="Q11" s="6" t="s">
        <v>83</v>
      </c>
      <c r="R11" s="6" t="s">
        <v>83</v>
      </c>
      <c r="S11" s="9" t="s">
        <v>147</v>
      </c>
      <c r="T11" s="6" t="n">
        <v>66</v>
      </c>
      <c r="U11" s="6" t="s">
        <v>85</v>
      </c>
    </row>
    <row r="12" customFormat="false" ht="15" hidden="false" customHeight="false" outlineLevel="0" collapsed="false">
      <c r="A12" s="6" t="n">
        <v>11</v>
      </c>
      <c r="B12" s="6" t="s">
        <v>70</v>
      </c>
      <c r="C12" s="6" t="s">
        <v>148</v>
      </c>
      <c r="D12" s="6" t="s">
        <v>72</v>
      </c>
      <c r="E12" s="6" t="s">
        <v>73</v>
      </c>
      <c r="F12" s="6" t="s">
        <v>149</v>
      </c>
      <c r="G12" s="6" t="s">
        <v>75</v>
      </c>
      <c r="H12" s="6" t="s">
        <v>150</v>
      </c>
      <c r="I12" s="6" t="s">
        <v>92</v>
      </c>
      <c r="J12" s="7" t="n">
        <v>7528</v>
      </c>
      <c r="K12" s="6" t="str">
        <f aca="false">IF(J12&gt;=8000,"Luxury 8k+",IF(J12&gt;=5000,"Premium 5-8k",IF(J12&gt;=3000,"Upper-mid 3-5k","Entry-premium 2-3k")))</f>
        <v>Premium 5-8k</v>
      </c>
      <c r="L12" s="8" t="s">
        <v>151</v>
      </c>
      <c r="M12" s="8" t="s">
        <v>79</v>
      </c>
      <c r="N12" s="6" t="s">
        <v>80</v>
      </c>
      <c r="O12" s="6" t="s">
        <v>81</v>
      </c>
      <c r="P12" s="6" t="s">
        <v>82</v>
      </c>
      <c r="Q12" s="6" t="s">
        <v>83</v>
      </c>
      <c r="R12" s="6" t="s">
        <v>83</v>
      </c>
      <c r="S12" s="9" t="s">
        <v>152</v>
      </c>
      <c r="T12" s="6" t="n">
        <v>70</v>
      </c>
      <c r="U12" s="6" t="s">
        <v>105</v>
      </c>
    </row>
    <row r="13" customFormat="false" ht="15" hidden="false" customHeight="false" outlineLevel="0" collapsed="false">
      <c r="A13" s="6" t="n">
        <v>12</v>
      </c>
      <c r="B13" s="6" t="s">
        <v>86</v>
      </c>
      <c r="C13" s="6" t="s">
        <v>153</v>
      </c>
      <c r="D13" s="6" t="s">
        <v>72</v>
      </c>
      <c r="E13" s="6" t="s">
        <v>73</v>
      </c>
      <c r="F13" s="6" t="s">
        <v>154</v>
      </c>
      <c r="G13" s="6" t="s">
        <v>155</v>
      </c>
      <c r="H13" s="6" t="s">
        <v>156</v>
      </c>
      <c r="I13" s="6" t="s">
        <v>101</v>
      </c>
      <c r="J13" s="7" t="n">
        <v>6851</v>
      </c>
      <c r="K13" s="6" t="str">
        <f aca="false">IF(J13&gt;=8000,"Luxury 8k+",IF(J13&gt;=5000,"Premium 5-8k",IF(J13&gt;=3000,"Upper-mid 3-5k","Entry-premium 2-3k")))</f>
        <v>Premium 5-8k</v>
      </c>
      <c r="L13" s="8" t="s">
        <v>157</v>
      </c>
      <c r="M13" s="8" t="s">
        <v>94</v>
      </c>
      <c r="N13" s="6" t="s">
        <v>80</v>
      </c>
      <c r="O13" s="6" t="s">
        <v>81</v>
      </c>
      <c r="P13" s="6" t="s">
        <v>82</v>
      </c>
      <c r="Q13" s="6" t="s">
        <v>83</v>
      </c>
      <c r="R13" s="6" t="s">
        <v>83</v>
      </c>
      <c r="S13" s="9" t="s">
        <v>118</v>
      </c>
      <c r="T13" s="6" t="n">
        <v>52</v>
      </c>
      <c r="U13" s="6" t="s">
        <v>85</v>
      </c>
    </row>
    <row r="14" customFormat="false" ht="15" hidden="false" customHeight="false" outlineLevel="0" collapsed="false">
      <c r="A14" s="6" t="n">
        <v>13</v>
      </c>
      <c r="B14" s="6" t="s">
        <v>70</v>
      </c>
      <c r="C14" s="6" t="s">
        <v>158</v>
      </c>
      <c r="D14" s="6" t="s">
        <v>72</v>
      </c>
      <c r="E14" s="6" t="s">
        <v>159</v>
      </c>
      <c r="F14" s="6" t="s">
        <v>160</v>
      </c>
      <c r="G14" s="6" t="s">
        <v>161</v>
      </c>
      <c r="H14" s="6" t="s">
        <v>162</v>
      </c>
      <c r="I14" s="6" t="s">
        <v>163</v>
      </c>
      <c r="J14" s="7" t="n">
        <v>6745</v>
      </c>
      <c r="K14" s="6" t="str">
        <f aca="false">IF(J14&gt;=8000,"Luxury 8k+",IF(J14&gt;=5000,"Premium 5-8k",IF(J14&gt;=3000,"Upper-mid 3-5k","Entry-premium 2-3k")))</f>
        <v>Premium 5-8k</v>
      </c>
      <c r="L14" s="8" t="s">
        <v>164</v>
      </c>
      <c r="M14" s="8" t="s">
        <v>79</v>
      </c>
      <c r="N14" s="6" t="s">
        <v>80</v>
      </c>
      <c r="O14" s="6" t="s">
        <v>81</v>
      </c>
      <c r="P14" s="6" t="s">
        <v>82</v>
      </c>
      <c r="Q14" s="6" t="s">
        <v>83</v>
      </c>
      <c r="R14" s="6" t="s">
        <v>83</v>
      </c>
      <c r="S14" s="9" t="s">
        <v>165</v>
      </c>
      <c r="T14" s="6" t="n">
        <v>72</v>
      </c>
      <c r="U14" s="6" t="s">
        <v>85</v>
      </c>
    </row>
    <row r="15" customFormat="false" ht="15" hidden="false" customHeight="false" outlineLevel="0" collapsed="false">
      <c r="A15" s="6" t="n">
        <v>14</v>
      </c>
      <c r="B15" s="6" t="s">
        <v>70</v>
      </c>
      <c r="C15" s="6" t="s">
        <v>166</v>
      </c>
      <c r="D15" s="6" t="s">
        <v>72</v>
      </c>
      <c r="E15" s="6" t="s">
        <v>167</v>
      </c>
      <c r="F15" s="6" t="s">
        <v>168</v>
      </c>
      <c r="G15" s="6" t="s">
        <v>75</v>
      </c>
      <c r="H15" s="6" t="s">
        <v>169</v>
      </c>
      <c r="I15" s="6" t="s">
        <v>116</v>
      </c>
      <c r="J15" s="7" t="n">
        <v>6736</v>
      </c>
      <c r="K15" s="6" t="str">
        <f aca="false">IF(J15&gt;=8000,"Luxury 8k+",IF(J15&gt;=5000,"Premium 5-8k",IF(J15&gt;=3000,"Upper-mid 3-5k","Entry-premium 2-3k")))</f>
        <v>Premium 5-8k</v>
      </c>
      <c r="L15" s="8" t="s">
        <v>170</v>
      </c>
      <c r="M15" s="8" t="s">
        <v>79</v>
      </c>
      <c r="N15" s="6" t="s">
        <v>80</v>
      </c>
      <c r="O15" s="6" t="s">
        <v>81</v>
      </c>
      <c r="P15" s="6" t="s">
        <v>82</v>
      </c>
      <c r="Q15" s="6" t="s">
        <v>83</v>
      </c>
      <c r="R15" s="6" t="s">
        <v>83</v>
      </c>
      <c r="S15" s="9" t="s">
        <v>118</v>
      </c>
      <c r="T15" s="6" t="n">
        <v>50</v>
      </c>
      <c r="U15" s="6" t="s">
        <v>85</v>
      </c>
    </row>
    <row r="16" customFormat="false" ht="15" hidden="false" customHeight="false" outlineLevel="0" collapsed="false">
      <c r="A16" s="6" t="n">
        <v>15</v>
      </c>
      <c r="B16" s="6" t="s">
        <v>70</v>
      </c>
      <c r="C16" s="6" t="s">
        <v>171</v>
      </c>
      <c r="D16" s="6" t="s">
        <v>172</v>
      </c>
      <c r="E16" s="6" t="s">
        <v>173</v>
      </c>
      <c r="F16" s="6" t="s">
        <v>174</v>
      </c>
      <c r="G16" s="6" t="s">
        <v>75</v>
      </c>
      <c r="H16" s="6" t="s">
        <v>175</v>
      </c>
      <c r="I16" s="6" t="s">
        <v>116</v>
      </c>
      <c r="J16" s="7" t="n">
        <v>6556</v>
      </c>
      <c r="K16" s="6" t="str">
        <f aca="false">IF(J16&gt;=8000,"Luxury 8k+",IF(J16&gt;=5000,"Premium 5-8k",IF(J16&gt;=3000,"Upper-mid 3-5k","Entry-premium 2-3k")))</f>
        <v>Premium 5-8k</v>
      </c>
      <c r="L16" s="8" t="s">
        <v>176</v>
      </c>
      <c r="M16" s="8" t="s">
        <v>79</v>
      </c>
      <c r="N16" s="6" t="s">
        <v>80</v>
      </c>
      <c r="O16" s="6" t="s">
        <v>81</v>
      </c>
      <c r="P16" s="6" t="s">
        <v>82</v>
      </c>
      <c r="Q16" s="6" t="s">
        <v>83</v>
      </c>
      <c r="R16" s="6" t="s">
        <v>83</v>
      </c>
      <c r="S16" s="9" t="s">
        <v>177</v>
      </c>
      <c r="T16" s="6" t="n">
        <v>58</v>
      </c>
      <c r="U16" s="6" t="s">
        <v>85</v>
      </c>
    </row>
    <row r="17" customFormat="false" ht="15" hidden="false" customHeight="false" outlineLevel="0" collapsed="false">
      <c r="A17" s="6" t="n">
        <v>16</v>
      </c>
      <c r="B17" s="6" t="s">
        <v>178</v>
      </c>
      <c r="C17" s="6" t="s">
        <v>179</v>
      </c>
      <c r="D17" s="6" t="s">
        <v>72</v>
      </c>
      <c r="E17" s="6" t="s">
        <v>159</v>
      </c>
      <c r="F17" s="6" t="s">
        <v>180</v>
      </c>
      <c r="G17" s="6" t="s">
        <v>155</v>
      </c>
      <c r="H17" s="6" t="s">
        <v>181</v>
      </c>
      <c r="I17" s="6" t="s">
        <v>116</v>
      </c>
      <c r="J17" s="7" t="n">
        <v>6399</v>
      </c>
      <c r="K17" s="6" t="str">
        <f aca="false">IF(J17&gt;=8000,"Luxury 8k+",IF(J17&gt;=5000,"Premium 5-8k",IF(J17&gt;=3000,"Upper-mid 3-5k","Entry-premium 2-3k")))</f>
        <v>Premium 5-8k</v>
      </c>
      <c r="L17" s="8" t="s">
        <v>182</v>
      </c>
      <c r="M17" s="8" t="s">
        <v>183</v>
      </c>
      <c r="N17" s="6" t="s">
        <v>80</v>
      </c>
      <c r="O17" s="6" t="s">
        <v>81</v>
      </c>
      <c r="P17" s="6" t="s">
        <v>82</v>
      </c>
      <c r="Q17" s="6" t="s">
        <v>83</v>
      </c>
      <c r="R17" s="6" t="s">
        <v>83</v>
      </c>
      <c r="S17" s="9" t="s">
        <v>184</v>
      </c>
      <c r="T17" s="6" t="n">
        <v>58</v>
      </c>
      <c r="U17" s="6" t="s">
        <v>85</v>
      </c>
    </row>
    <row r="18" customFormat="false" ht="15" hidden="false" customHeight="false" outlineLevel="0" collapsed="false">
      <c r="A18" s="6" t="n">
        <v>17</v>
      </c>
      <c r="B18" s="6" t="s">
        <v>178</v>
      </c>
      <c r="C18" s="6" t="s">
        <v>185</v>
      </c>
      <c r="D18" s="6" t="s">
        <v>72</v>
      </c>
      <c r="E18" s="6" t="s">
        <v>73</v>
      </c>
      <c r="F18" s="6" t="s">
        <v>186</v>
      </c>
      <c r="G18" s="6" t="s">
        <v>187</v>
      </c>
      <c r="H18" s="6" t="s">
        <v>188</v>
      </c>
      <c r="I18" s="6" t="s">
        <v>116</v>
      </c>
      <c r="J18" s="7" t="n">
        <v>5999</v>
      </c>
      <c r="K18" s="6" t="str">
        <f aca="false">IF(J18&gt;=8000,"Luxury 8k+",IF(J18&gt;=5000,"Premium 5-8k",IF(J18&gt;=3000,"Upper-mid 3-5k","Entry-premium 2-3k")))</f>
        <v>Premium 5-8k</v>
      </c>
      <c r="L18" s="8" t="s">
        <v>189</v>
      </c>
      <c r="M18" s="8" t="s">
        <v>183</v>
      </c>
      <c r="N18" s="6" t="s">
        <v>80</v>
      </c>
      <c r="O18" s="6" t="s">
        <v>81</v>
      </c>
      <c r="P18" s="6" t="s">
        <v>82</v>
      </c>
      <c r="Q18" s="6" t="s">
        <v>83</v>
      </c>
      <c r="R18" s="6" t="s">
        <v>83</v>
      </c>
      <c r="S18" s="9" t="s">
        <v>190</v>
      </c>
      <c r="T18" s="6" t="n">
        <v>64</v>
      </c>
      <c r="U18" s="6" t="s">
        <v>85</v>
      </c>
    </row>
    <row r="19" customFormat="false" ht="15" hidden="false" customHeight="false" outlineLevel="0" collapsed="false">
      <c r="A19" s="6" t="n">
        <v>18</v>
      </c>
      <c r="B19" s="6" t="s">
        <v>191</v>
      </c>
      <c r="C19" s="6" t="s">
        <v>192</v>
      </c>
      <c r="D19" s="6" t="s">
        <v>72</v>
      </c>
      <c r="E19" s="6" t="s">
        <v>193</v>
      </c>
      <c r="F19" s="6" t="s">
        <v>194</v>
      </c>
      <c r="G19" s="6" t="s">
        <v>75</v>
      </c>
      <c r="H19" s="6" t="s">
        <v>195</v>
      </c>
      <c r="I19" s="6" t="s">
        <v>196</v>
      </c>
      <c r="J19" s="7" t="n">
        <v>5999</v>
      </c>
      <c r="K19" s="6" t="str">
        <f aca="false">IF(J19&gt;=8000,"Luxury 8k+",IF(J19&gt;=5000,"Premium 5-8k",IF(J19&gt;=3000,"Upper-mid 3-5k","Entry-premium 2-3k")))</f>
        <v>Premium 5-8k</v>
      </c>
      <c r="L19" s="8" t="s">
        <v>197</v>
      </c>
      <c r="M19" s="8" t="s">
        <v>198</v>
      </c>
      <c r="N19" s="6" t="s">
        <v>80</v>
      </c>
      <c r="O19" s="6" t="s">
        <v>199</v>
      </c>
      <c r="P19" s="6" t="s">
        <v>82</v>
      </c>
      <c r="Q19" s="6" t="s">
        <v>83</v>
      </c>
      <c r="R19" s="6" t="s">
        <v>83</v>
      </c>
      <c r="S19" s="9" t="s">
        <v>200</v>
      </c>
      <c r="T19" s="6" t="n">
        <v>78</v>
      </c>
      <c r="U19" s="6" t="s">
        <v>105</v>
      </c>
    </row>
    <row r="20" customFormat="false" ht="15" hidden="false" customHeight="false" outlineLevel="0" collapsed="false">
      <c r="A20" s="6" t="n">
        <v>19</v>
      </c>
      <c r="B20" s="6" t="s">
        <v>96</v>
      </c>
      <c r="C20" s="6" t="s">
        <v>201</v>
      </c>
      <c r="D20" s="6" t="s">
        <v>88</v>
      </c>
      <c r="E20" s="6" t="s">
        <v>202</v>
      </c>
      <c r="F20" s="6" t="s">
        <v>203</v>
      </c>
      <c r="G20" s="6" t="s">
        <v>75</v>
      </c>
      <c r="H20" s="6" t="s">
        <v>204</v>
      </c>
      <c r="I20" s="6" t="s">
        <v>205</v>
      </c>
      <c r="J20" s="7" t="n">
        <v>5900</v>
      </c>
      <c r="K20" s="6" t="str">
        <f aca="false">IF(J20&gt;=8000,"Luxury 8k+",IF(J20&gt;=5000,"Premium 5-8k",IF(J20&gt;=3000,"Upper-mid 3-5k","Entry-premium 2-3k")))</f>
        <v>Premium 5-8k</v>
      </c>
      <c r="L20" s="8" t="s">
        <v>206</v>
      </c>
      <c r="M20" s="8" t="s">
        <v>103</v>
      </c>
      <c r="N20" s="6" t="s">
        <v>80</v>
      </c>
      <c r="O20" s="6" t="s">
        <v>81</v>
      </c>
      <c r="P20" s="6" t="s">
        <v>82</v>
      </c>
      <c r="Q20" s="6" t="s">
        <v>83</v>
      </c>
      <c r="R20" s="6" t="s">
        <v>83</v>
      </c>
      <c r="S20" s="9" t="s">
        <v>207</v>
      </c>
      <c r="T20" s="6" t="n">
        <v>72</v>
      </c>
      <c r="U20" s="6" t="s">
        <v>105</v>
      </c>
    </row>
    <row r="21" customFormat="false" ht="15" hidden="false" customHeight="false" outlineLevel="0" collapsed="false">
      <c r="A21" s="6" t="n">
        <v>20</v>
      </c>
      <c r="B21" s="6" t="s">
        <v>132</v>
      </c>
      <c r="C21" s="6" t="s">
        <v>208</v>
      </c>
      <c r="D21" s="6" t="s">
        <v>72</v>
      </c>
      <c r="E21" s="6" t="s">
        <v>73</v>
      </c>
      <c r="F21" s="6" t="s">
        <v>209</v>
      </c>
      <c r="G21" s="6" t="s">
        <v>75</v>
      </c>
      <c r="H21" s="6" t="s">
        <v>210</v>
      </c>
      <c r="I21" s="6" t="s">
        <v>92</v>
      </c>
      <c r="J21" s="7" t="n">
        <v>5845</v>
      </c>
      <c r="K21" s="6" t="str">
        <f aca="false">IF(J21&gt;=8000,"Luxury 8k+",IF(J21&gt;=5000,"Premium 5-8k",IF(J21&gt;=3000,"Upper-mid 3-5k","Entry-premium 2-3k")))</f>
        <v>Premium 5-8k</v>
      </c>
      <c r="L21" s="8" t="s">
        <v>211</v>
      </c>
      <c r="M21" s="8" t="s">
        <v>138</v>
      </c>
      <c r="N21" s="6" t="s">
        <v>80</v>
      </c>
      <c r="O21" s="6" t="s">
        <v>81</v>
      </c>
      <c r="P21" s="6" t="s">
        <v>82</v>
      </c>
      <c r="Q21" s="6" t="s">
        <v>83</v>
      </c>
      <c r="R21" s="6" t="s">
        <v>83</v>
      </c>
      <c r="S21" s="9" t="s">
        <v>212</v>
      </c>
      <c r="T21" s="6" t="n">
        <v>68</v>
      </c>
      <c r="U21" s="6" t="s">
        <v>85</v>
      </c>
    </row>
    <row r="22" customFormat="false" ht="15" hidden="false" customHeight="false" outlineLevel="0" collapsed="false">
      <c r="A22" s="6" t="n">
        <v>21</v>
      </c>
      <c r="B22" s="6" t="s">
        <v>178</v>
      </c>
      <c r="C22" s="6" t="s">
        <v>213</v>
      </c>
      <c r="D22" s="6" t="s">
        <v>72</v>
      </c>
      <c r="E22" s="6" t="s">
        <v>73</v>
      </c>
      <c r="F22" s="6" t="s">
        <v>214</v>
      </c>
      <c r="G22" s="6" t="s">
        <v>75</v>
      </c>
      <c r="H22" s="6" t="s">
        <v>215</v>
      </c>
      <c r="I22" s="6" t="s">
        <v>116</v>
      </c>
      <c r="J22" s="7" t="n">
        <v>5799</v>
      </c>
      <c r="K22" s="6" t="str">
        <f aca="false">IF(J22&gt;=8000,"Luxury 8k+",IF(J22&gt;=5000,"Premium 5-8k",IF(J22&gt;=3000,"Upper-mid 3-5k","Entry-premium 2-3k")))</f>
        <v>Premium 5-8k</v>
      </c>
      <c r="L22" s="8" t="s">
        <v>216</v>
      </c>
      <c r="M22" s="8" t="s">
        <v>183</v>
      </c>
      <c r="N22" s="6" t="s">
        <v>80</v>
      </c>
      <c r="O22" s="6" t="s">
        <v>81</v>
      </c>
      <c r="P22" s="6" t="s">
        <v>82</v>
      </c>
      <c r="Q22" s="6" t="s">
        <v>83</v>
      </c>
      <c r="R22" s="6" t="s">
        <v>83</v>
      </c>
      <c r="S22" s="9" t="s">
        <v>217</v>
      </c>
      <c r="T22" s="6" t="n">
        <v>72</v>
      </c>
      <c r="U22" s="6" t="s">
        <v>85</v>
      </c>
    </row>
    <row r="23" customFormat="false" ht="15" hidden="false" customHeight="false" outlineLevel="0" collapsed="false">
      <c r="A23" s="6" t="n">
        <v>22</v>
      </c>
      <c r="B23" s="6" t="s">
        <v>218</v>
      </c>
      <c r="C23" s="6" t="s">
        <v>219</v>
      </c>
      <c r="D23" s="6" t="s">
        <v>72</v>
      </c>
      <c r="E23" s="6" t="s">
        <v>73</v>
      </c>
      <c r="F23" s="6" t="s">
        <v>220</v>
      </c>
      <c r="G23" s="6" t="s">
        <v>75</v>
      </c>
      <c r="H23" s="6" t="s">
        <v>221</v>
      </c>
      <c r="I23" s="6" t="s">
        <v>92</v>
      </c>
      <c r="J23" s="7" t="n">
        <v>5499</v>
      </c>
      <c r="K23" s="6" t="str">
        <f aca="false">IF(J23&gt;=8000,"Luxury 8k+",IF(J23&gt;=5000,"Premium 5-8k",IF(J23&gt;=3000,"Upper-mid 3-5k","Entry-premium 2-3k")))</f>
        <v>Premium 5-8k</v>
      </c>
      <c r="L23" s="8" t="s">
        <v>222</v>
      </c>
      <c r="M23" s="8" t="s">
        <v>223</v>
      </c>
      <c r="N23" s="6" t="s">
        <v>80</v>
      </c>
      <c r="O23" s="6" t="s">
        <v>81</v>
      </c>
      <c r="P23" s="6" t="s">
        <v>82</v>
      </c>
      <c r="Q23" s="6" t="s">
        <v>83</v>
      </c>
      <c r="R23" s="6" t="s">
        <v>83</v>
      </c>
      <c r="S23" s="9" t="s">
        <v>224</v>
      </c>
      <c r="T23" s="6" t="n">
        <v>62</v>
      </c>
      <c r="U23" s="6" t="s">
        <v>85</v>
      </c>
    </row>
    <row r="24" customFormat="false" ht="15" hidden="false" customHeight="false" outlineLevel="0" collapsed="false">
      <c r="A24" s="6" t="n">
        <v>23</v>
      </c>
      <c r="B24" s="6" t="s">
        <v>178</v>
      </c>
      <c r="C24" s="6" t="s">
        <v>225</v>
      </c>
      <c r="D24" s="6" t="s">
        <v>72</v>
      </c>
      <c r="E24" s="6" t="s">
        <v>226</v>
      </c>
      <c r="F24" s="6" t="s">
        <v>134</v>
      </c>
      <c r="G24" s="6" t="s">
        <v>135</v>
      </c>
      <c r="H24" s="6" t="s">
        <v>227</v>
      </c>
      <c r="I24" s="6" t="s">
        <v>116</v>
      </c>
      <c r="J24" s="7" t="n">
        <v>5497</v>
      </c>
      <c r="K24" s="6" t="str">
        <f aca="false">IF(J24&gt;=8000,"Luxury 8k+",IF(J24&gt;=5000,"Premium 5-8k",IF(J24&gt;=3000,"Upper-mid 3-5k","Entry-premium 2-3k")))</f>
        <v>Premium 5-8k</v>
      </c>
      <c r="L24" s="8" t="s">
        <v>228</v>
      </c>
      <c r="M24" s="8" t="s">
        <v>183</v>
      </c>
      <c r="N24" s="6" t="s">
        <v>80</v>
      </c>
      <c r="O24" s="6" t="s">
        <v>81</v>
      </c>
      <c r="P24" s="6" t="s">
        <v>82</v>
      </c>
      <c r="Q24" s="6" t="s">
        <v>83</v>
      </c>
      <c r="R24" s="6" t="s">
        <v>83</v>
      </c>
      <c r="S24" s="9" t="s">
        <v>229</v>
      </c>
      <c r="T24" s="6" t="n">
        <v>62</v>
      </c>
      <c r="U24" s="6" t="s">
        <v>85</v>
      </c>
    </row>
    <row r="25" customFormat="false" ht="15" hidden="false" customHeight="false" outlineLevel="0" collapsed="false">
      <c r="A25" s="6" t="n">
        <v>24</v>
      </c>
      <c r="B25" s="6" t="s">
        <v>96</v>
      </c>
      <c r="C25" s="6" t="s">
        <v>230</v>
      </c>
      <c r="D25" s="6" t="s">
        <v>72</v>
      </c>
      <c r="E25" s="6" t="s">
        <v>231</v>
      </c>
      <c r="F25" s="6" t="s">
        <v>232</v>
      </c>
      <c r="G25" s="6" t="s">
        <v>75</v>
      </c>
      <c r="H25" s="6" t="s">
        <v>233</v>
      </c>
      <c r="I25" s="6" t="s">
        <v>234</v>
      </c>
      <c r="J25" s="7" t="n">
        <v>5490</v>
      </c>
      <c r="K25" s="6" t="str">
        <f aca="false">IF(J25&gt;=8000,"Luxury 8k+",IF(J25&gt;=5000,"Premium 5-8k",IF(J25&gt;=3000,"Upper-mid 3-5k","Entry-premium 2-3k")))</f>
        <v>Premium 5-8k</v>
      </c>
      <c r="L25" s="8" t="s">
        <v>235</v>
      </c>
      <c r="M25" s="8" t="s">
        <v>103</v>
      </c>
      <c r="N25" s="6" t="s">
        <v>80</v>
      </c>
      <c r="O25" s="6" t="s">
        <v>81</v>
      </c>
      <c r="P25" s="6" t="s">
        <v>82</v>
      </c>
      <c r="Q25" s="6" t="s">
        <v>83</v>
      </c>
      <c r="R25" s="6" t="s">
        <v>83</v>
      </c>
      <c r="S25" s="9" t="s">
        <v>236</v>
      </c>
      <c r="T25" s="6" t="n">
        <v>74</v>
      </c>
      <c r="U25" s="6" t="s">
        <v>85</v>
      </c>
    </row>
    <row r="26" customFormat="false" ht="15" hidden="false" customHeight="false" outlineLevel="0" collapsed="false">
      <c r="A26" s="6" t="n">
        <v>25</v>
      </c>
      <c r="B26" s="6" t="s">
        <v>70</v>
      </c>
      <c r="C26" s="6" t="s">
        <v>237</v>
      </c>
      <c r="D26" s="6" t="s">
        <v>72</v>
      </c>
      <c r="E26" s="6" t="s">
        <v>73</v>
      </c>
      <c r="F26" s="6" t="s">
        <v>238</v>
      </c>
      <c r="G26" s="6" t="s">
        <v>239</v>
      </c>
      <c r="H26" s="6" t="s">
        <v>240</v>
      </c>
      <c r="I26" s="6" t="s">
        <v>163</v>
      </c>
      <c r="J26" s="7" t="n">
        <v>5391</v>
      </c>
      <c r="K26" s="6" t="str">
        <f aca="false">IF(J26&gt;=8000,"Luxury 8k+",IF(J26&gt;=5000,"Premium 5-8k",IF(J26&gt;=3000,"Upper-mid 3-5k","Entry-premium 2-3k")))</f>
        <v>Premium 5-8k</v>
      </c>
      <c r="L26" s="8" t="s">
        <v>241</v>
      </c>
      <c r="M26" s="8" t="s">
        <v>79</v>
      </c>
      <c r="N26" s="6" t="s">
        <v>80</v>
      </c>
      <c r="O26" s="6" t="s">
        <v>81</v>
      </c>
      <c r="P26" s="6" t="s">
        <v>82</v>
      </c>
      <c r="Q26" s="6" t="s">
        <v>83</v>
      </c>
      <c r="R26" s="6" t="s">
        <v>83</v>
      </c>
      <c r="S26" s="9" t="s">
        <v>118</v>
      </c>
      <c r="T26" s="6" t="n">
        <v>46</v>
      </c>
      <c r="U26" s="6" t="s">
        <v>85</v>
      </c>
    </row>
    <row r="27" customFormat="false" ht="15" hidden="false" customHeight="false" outlineLevel="0" collapsed="false">
      <c r="A27" s="6" t="n">
        <v>26</v>
      </c>
      <c r="B27" s="6" t="s">
        <v>96</v>
      </c>
      <c r="C27" s="6" t="s">
        <v>242</v>
      </c>
      <c r="D27" s="6" t="s">
        <v>88</v>
      </c>
      <c r="E27" s="6" t="s">
        <v>107</v>
      </c>
      <c r="F27" s="6" t="s">
        <v>99</v>
      </c>
      <c r="G27" s="6" t="s">
        <v>75</v>
      </c>
      <c r="H27" s="6" t="s">
        <v>108</v>
      </c>
      <c r="I27" s="6" t="s">
        <v>243</v>
      </c>
      <c r="J27" s="7" t="n">
        <v>5290</v>
      </c>
      <c r="K27" s="6" t="str">
        <f aca="false">IF(J27&gt;=8000,"Luxury 8k+",IF(J27&gt;=5000,"Premium 5-8k",IF(J27&gt;=3000,"Upper-mid 3-5k","Entry-premium 2-3k")))</f>
        <v>Premium 5-8k</v>
      </c>
      <c r="L27" s="8" t="s">
        <v>244</v>
      </c>
      <c r="M27" s="8" t="s">
        <v>103</v>
      </c>
      <c r="N27" s="6" t="s">
        <v>80</v>
      </c>
      <c r="O27" s="6" t="s">
        <v>81</v>
      </c>
      <c r="P27" s="6" t="s">
        <v>82</v>
      </c>
      <c r="Q27" s="6" t="s">
        <v>83</v>
      </c>
      <c r="R27" s="6" t="s">
        <v>83</v>
      </c>
      <c r="S27" s="9" t="s">
        <v>245</v>
      </c>
      <c r="T27" s="6" t="n">
        <v>74</v>
      </c>
      <c r="U27" s="6" t="s">
        <v>85</v>
      </c>
    </row>
    <row r="28" customFormat="false" ht="15" hidden="false" customHeight="false" outlineLevel="0" collapsed="false">
      <c r="A28" s="6" t="n">
        <v>27</v>
      </c>
      <c r="B28" s="6" t="s">
        <v>123</v>
      </c>
      <c r="C28" s="6" t="s">
        <v>246</v>
      </c>
      <c r="D28" s="6" t="s">
        <v>88</v>
      </c>
      <c r="E28" s="6" t="s">
        <v>247</v>
      </c>
      <c r="F28" s="6" t="s">
        <v>248</v>
      </c>
      <c r="G28" s="6" t="s">
        <v>75</v>
      </c>
      <c r="H28" s="6" t="s">
        <v>249</v>
      </c>
      <c r="I28" s="6" t="s">
        <v>101</v>
      </c>
      <c r="J28" s="7" t="n">
        <v>5250</v>
      </c>
      <c r="K28" s="6" t="str">
        <f aca="false">IF(J28&gt;=8000,"Luxury 8k+",IF(J28&gt;=5000,"Premium 5-8k",IF(J28&gt;=3000,"Upper-mid 3-5k","Entry-premium 2-3k")))</f>
        <v>Premium 5-8k</v>
      </c>
      <c r="L28" s="8" t="s">
        <v>250</v>
      </c>
      <c r="M28" s="8" t="s">
        <v>126</v>
      </c>
      <c r="N28" s="6" t="s">
        <v>80</v>
      </c>
      <c r="O28" s="6" t="s">
        <v>81</v>
      </c>
      <c r="P28" s="6" t="s">
        <v>82</v>
      </c>
      <c r="Q28" s="6" t="s">
        <v>83</v>
      </c>
      <c r="R28" s="6" t="s">
        <v>83</v>
      </c>
      <c r="S28" s="9" t="s">
        <v>118</v>
      </c>
      <c r="T28" s="6" t="n">
        <v>54</v>
      </c>
      <c r="U28" s="6" t="s">
        <v>105</v>
      </c>
    </row>
    <row r="29" customFormat="false" ht="15" hidden="false" customHeight="false" outlineLevel="0" collapsed="false">
      <c r="A29" s="6" t="n">
        <v>28</v>
      </c>
      <c r="B29" s="6" t="s">
        <v>86</v>
      </c>
      <c r="C29" s="6" t="s">
        <v>251</v>
      </c>
      <c r="D29" s="6" t="s">
        <v>72</v>
      </c>
      <c r="E29" s="6" t="s">
        <v>226</v>
      </c>
      <c r="F29" s="6" t="s">
        <v>134</v>
      </c>
      <c r="G29" s="6" t="s">
        <v>135</v>
      </c>
      <c r="H29" s="6" t="s">
        <v>136</v>
      </c>
      <c r="I29" s="6" t="s">
        <v>77</v>
      </c>
      <c r="J29" s="7" t="n">
        <v>5216</v>
      </c>
      <c r="K29" s="6" t="str">
        <f aca="false">IF(J29&gt;=8000,"Luxury 8k+",IF(J29&gt;=5000,"Premium 5-8k",IF(J29&gt;=3000,"Upper-mid 3-5k","Entry-premium 2-3k")))</f>
        <v>Premium 5-8k</v>
      </c>
      <c r="L29" s="8" t="s">
        <v>252</v>
      </c>
      <c r="M29" s="8" t="s">
        <v>94</v>
      </c>
      <c r="N29" s="6" t="s">
        <v>80</v>
      </c>
      <c r="O29" s="6" t="s">
        <v>81</v>
      </c>
      <c r="P29" s="6" t="s">
        <v>82</v>
      </c>
      <c r="Q29" s="6" t="s">
        <v>83</v>
      </c>
      <c r="R29" s="6" t="s">
        <v>83</v>
      </c>
      <c r="S29" s="9" t="s">
        <v>118</v>
      </c>
      <c r="T29" s="6" t="n">
        <v>54</v>
      </c>
      <c r="U29" s="6" t="s">
        <v>85</v>
      </c>
    </row>
    <row r="30" customFormat="false" ht="15" hidden="false" customHeight="false" outlineLevel="0" collapsed="false">
      <c r="A30" s="6" t="n">
        <v>29</v>
      </c>
      <c r="B30" s="6" t="s">
        <v>70</v>
      </c>
      <c r="C30" s="6" t="s">
        <v>253</v>
      </c>
      <c r="D30" s="6" t="s">
        <v>72</v>
      </c>
      <c r="E30" s="6" t="s">
        <v>159</v>
      </c>
      <c r="F30" s="6" t="s">
        <v>254</v>
      </c>
      <c r="G30" s="6" t="s">
        <v>75</v>
      </c>
      <c r="H30" s="6" t="s">
        <v>162</v>
      </c>
      <c r="I30" s="6" t="s">
        <v>77</v>
      </c>
      <c r="J30" s="7" t="n">
        <v>5193</v>
      </c>
      <c r="K30" s="6" t="str">
        <f aca="false">IF(J30&gt;=8000,"Luxury 8k+",IF(J30&gt;=5000,"Premium 5-8k",IF(J30&gt;=3000,"Upper-mid 3-5k","Entry-premium 2-3k")))</f>
        <v>Premium 5-8k</v>
      </c>
      <c r="L30" s="8" t="s">
        <v>255</v>
      </c>
      <c r="M30" s="8" t="s">
        <v>79</v>
      </c>
      <c r="N30" s="6" t="s">
        <v>80</v>
      </c>
      <c r="O30" s="6" t="s">
        <v>81</v>
      </c>
      <c r="P30" s="6" t="s">
        <v>82</v>
      </c>
      <c r="Q30" s="6" t="s">
        <v>83</v>
      </c>
      <c r="R30" s="6" t="s">
        <v>83</v>
      </c>
      <c r="S30" s="9" t="s">
        <v>256</v>
      </c>
      <c r="T30" s="6" t="n">
        <v>66</v>
      </c>
      <c r="U30" s="6" t="s">
        <v>105</v>
      </c>
    </row>
    <row r="31" customFormat="false" ht="15" hidden="false" customHeight="false" outlineLevel="0" collapsed="false">
      <c r="A31" s="6" t="n">
        <v>30</v>
      </c>
      <c r="B31" s="6" t="s">
        <v>257</v>
      </c>
      <c r="C31" s="6" t="s">
        <v>258</v>
      </c>
      <c r="D31" s="6" t="s">
        <v>88</v>
      </c>
      <c r="E31" s="6" t="s">
        <v>89</v>
      </c>
      <c r="F31" s="6" t="s">
        <v>120</v>
      </c>
      <c r="G31" s="6" t="s">
        <v>75</v>
      </c>
      <c r="H31" s="6" t="s">
        <v>91</v>
      </c>
      <c r="I31" s="6" t="s">
        <v>92</v>
      </c>
      <c r="J31" s="7" t="n">
        <v>5159</v>
      </c>
      <c r="K31" s="6" t="str">
        <f aca="false">IF(J31&gt;=8000,"Luxury 8k+",IF(J31&gt;=5000,"Premium 5-8k",IF(J31&gt;=3000,"Upper-mid 3-5k","Entry-premium 2-3k")))</f>
        <v>Premium 5-8k</v>
      </c>
      <c r="L31" s="8" t="s">
        <v>259</v>
      </c>
      <c r="M31" s="8" t="s">
        <v>260</v>
      </c>
      <c r="N31" s="6" t="s">
        <v>80</v>
      </c>
      <c r="O31" s="6" t="s">
        <v>81</v>
      </c>
      <c r="P31" s="6" t="s">
        <v>82</v>
      </c>
      <c r="Q31" s="6" t="s">
        <v>83</v>
      </c>
      <c r="R31" s="6" t="s">
        <v>83</v>
      </c>
      <c r="S31" s="9" t="s">
        <v>118</v>
      </c>
      <c r="T31" s="6" t="n">
        <v>52</v>
      </c>
      <c r="U31" s="6" t="s">
        <v>85</v>
      </c>
    </row>
    <row r="32" customFormat="false" ht="15" hidden="false" customHeight="false" outlineLevel="0" collapsed="false">
      <c r="A32" s="6" t="n">
        <v>31</v>
      </c>
      <c r="B32" s="6" t="s">
        <v>218</v>
      </c>
      <c r="C32" s="6" t="s">
        <v>261</v>
      </c>
      <c r="D32" s="6" t="s">
        <v>72</v>
      </c>
      <c r="E32" s="6" t="s">
        <v>73</v>
      </c>
      <c r="F32" s="6" t="s">
        <v>262</v>
      </c>
      <c r="G32" s="6" t="s">
        <v>263</v>
      </c>
      <c r="H32" s="6" t="s">
        <v>264</v>
      </c>
      <c r="I32" s="6" t="s">
        <v>92</v>
      </c>
      <c r="J32" s="7" t="n">
        <v>5150</v>
      </c>
      <c r="K32" s="6" t="str">
        <f aca="false">IF(J32&gt;=8000,"Luxury 8k+",IF(J32&gt;=5000,"Premium 5-8k",IF(J32&gt;=3000,"Upper-mid 3-5k","Entry-premium 2-3k")))</f>
        <v>Premium 5-8k</v>
      </c>
      <c r="L32" s="8" t="s">
        <v>265</v>
      </c>
      <c r="M32" s="8" t="s">
        <v>223</v>
      </c>
      <c r="N32" s="6" t="s">
        <v>80</v>
      </c>
      <c r="O32" s="6" t="s">
        <v>81</v>
      </c>
      <c r="P32" s="6" t="s">
        <v>82</v>
      </c>
      <c r="Q32" s="6" t="s">
        <v>83</v>
      </c>
      <c r="R32" s="6" t="s">
        <v>83</v>
      </c>
      <c r="S32" s="9" t="s">
        <v>266</v>
      </c>
      <c r="T32" s="6" t="n">
        <v>56</v>
      </c>
      <c r="U32" s="6" t="s">
        <v>85</v>
      </c>
    </row>
    <row r="33" customFormat="false" ht="22.35" hidden="false" customHeight="false" outlineLevel="0" collapsed="false">
      <c r="A33" s="6" t="n">
        <v>32</v>
      </c>
      <c r="B33" s="6" t="s">
        <v>267</v>
      </c>
      <c r="C33" s="6" t="s">
        <v>268</v>
      </c>
      <c r="D33" s="6" t="s">
        <v>72</v>
      </c>
      <c r="E33" s="6" t="s">
        <v>269</v>
      </c>
      <c r="F33" s="6" t="s">
        <v>186</v>
      </c>
      <c r="G33" s="6" t="s">
        <v>187</v>
      </c>
      <c r="H33" s="6" t="s">
        <v>270</v>
      </c>
      <c r="I33" s="6" t="s">
        <v>271</v>
      </c>
      <c r="J33" s="7" t="n">
        <v>4998</v>
      </c>
      <c r="K33" s="6" t="str">
        <f aca="false">IF(J33&gt;=8000,"Luxury 8k+",IF(J33&gt;=5000,"Premium 5-8k",IF(J33&gt;=3000,"Upper-mid 3-5k","Entry-premium 2-3k")))</f>
        <v>Upper-mid 3-5k</v>
      </c>
      <c r="L33" s="8" t="s">
        <v>272</v>
      </c>
      <c r="M33" s="8" t="s">
        <v>273</v>
      </c>
      <c r="N33" s="6" t="s">
        <v>80</v>
      </c>
      <c r="O33" s="6" t="s">
        <v>81</v>
      </c>
      <c r="P33" s="6" t="s">
        <v>82</v>
      </c>
      <c r="Q33" s="6" t="s">
        <v>83</v>
      </c>
      <c r="R33" s="6" t="s">
        <v>83</v>
      </c>
      <c r="S33" s="9" t="s">
        <v>274</v>
      </c>
      <c r="T33" s="6" t="n">
        <v>88</v>
      </c>
      <c r="U33" s="6" t="s">
        <v>105</v>
      </c>
    </row>
    <row r="34" customFormat="false" ht="15" hidden="false" customHeight="false" outlineLevel="0" collapsed="false">
      <c r="A34" s="6" t="n">
        <v>33</v>
      </c>
      <c r="B34" s="6" t="s">
        <v>96</v>
      </c>
      <c r="C34" s="6" t="s">
        <v>275</v>
      </c>
      <c r="D34" s="6" t="s">
        <v>88</v>
      </c>
      <c r="E34" s="6" t="s">
        <v>276</v>
      </c>
      <c r="F34" s="6" t="s">
        <v>114</v>
      </c>
      <c r="G34" s="6" t="s">
        <v>75</v>
      </c>
      <c r="H34" s="6" t="s">
        <v>277</v>
      </c>
      <c r="I34" s="6" t="s">
        <v>278</v>
      </c>
      <c r="J34" s="7" t="n">
        <v>4990</v>
      </c>
      <c r="K34" s="6" t="str">
        <f aca="false">IF(J34&gt;=8000,"Luxury 8k+",IF(J34&gt;=5000,"Premium 5-8k",IF(J34&gt;=3000,"Upper-mid 3-5k","Entry-premium 2-3k")))</f>
        <v>Upper-mid 3-5k</v>
      </c>
      <c r="L34" s="8" t="s">
        <v>279</v>
      </c>
      <c r="M34" s="8" t="s">
        <v>103</v>
      </c>
      <c r="N34" s="6" t="s">
        <v>80</v>
      </c>
      <c r="O34" s="6" t="s">
        <v>81</v>
      </c>
      <c r="P34" s="6" t="s">
        <v>82</v>
      </c>
      <c r="Q34" s="6" t="s">
        <v>83</v>
      </c>
      <c r="R34" s="6" t="s">
        <v>83</v>
      </c>
      <c r="S34" s="9" t="s">
        <v>118</v>
      </c>
      <c r="T34" s="6" t="n">
        <v>56</v>
      </c>
      <c r="U34" s="6" t="s">
        <v>85</v>
      </c>
    </row>
    <row r="35" customFormat="false" ht="15" hidden="false" customHeight="false" outlineLevel="0" collapsed="false">
      <c r="A35" s="6" t="n">
        <v>34</v>
      </c>
      <c r="B35" s="6" t="s">
        <v>280</v>
      </c>
      <c r="C35" s="6" t="s">
        <v>281</v>
      </c>
      <c r="D35" s="6" t="s">
        <v>72</v>
      </c>
      <c r="E35" s="6" t="s">
        <v>167</v>
      </c>
      <c r="F35" s="6" t="s">
        <v>282</v>
      </c>
      <c r="G35" s="6" t="s">
        <v>75</v>
      </c>
      <c r="H35" s="6" t="s">
        <v>283</v>
      </c>
      <c r="I35" s="6" t="s">
        <v>284</v>
      </c>
      <c r="J35" s="7" t="n">
        <v>4930</v>
      </c>
      <c r="K35" s="6" t="str">
        <f aca="false">IF(J35&gt;=8000,"Luxury 8k+",IF(J35&gt;=5000,"Premium 5-8k",IF(J35&gt;=3000,"Upper-mid 3-5k","Entry-premium 2-3k")))</f>
        <v>Upper-mid 3-5k</v>
      </c>
      <c r="L35" s="8" t="s">
        <v>285</v>
      </c>
      <c r="M35" s="8" t="s">
        <v>286</v>
      </c>
      <c r="N35" s="6" t="s">
        <v>80</v>
      </c>
      <c r="O35" s="6" t="s">
        <v>81</v>
      </c>
      <c r="P35" s="6" t="s">
        <v>82</v>
      </c>
      <c r="Q35" s="6" t="s">
        <v>83</v>
      </c>
      <c r="R35" s="6" t="s">
        <v>83</v>
      </c>
      <c r="S35" s="9" t="s">
        <v>287</v>
      </c>
      <c r="T35" s="6" t="n">
        <v>46</v>
      </c>
      <c r="U35" s="6" t="s">
        <v>105</v>
      </c>
    </row>
    <row r="36" customFormat="false" ht="15" hidden="false" customHeight="false" outlineLevel="0" collapsed="false">
      <c r="A36" s="6" t="n">
        <v>35</v>
      </c>
      <c r="B36" s="6" t="s">
        <v>86</v>
      </c>
      <c r="C36" s="6" t="s">
        <v>288</v>
      </c>
      <c r="D36" s="6" t="s">
        <v>88</v>
      </c>
      <c r="E36" s="6" t="s">
        <v>89</v>
      </c>
      <c r="F36" s="6" t="s">
        <v>90</v>
      </c>
      <c r="G36" s="6" t="s">
        <v>75</v>
      </c>
      <c r="H36" s="6" t="s">
        <v>91</v>
      </c>
      <c r="I36" s="6" t="s">
        <v>92</v>
      </c>
      <c r="J36" s="7" t="n">
        <v>4817</v>
      </c>
      <c r="K36" s="6" t="str">
        <f aca="false">IF(J36&gt;=8000,"Luxury 8k+",IF(J36&gt;=5000,"Premium 5-8k",IF(J36&gt;=3000,"Upper-mid 3-5k","Entry-premium 2-3k")))</f>
        <v>Upper-mid 3-5k</v>
      </c>
      <c r="L36" s="8" t="s">
        <v>289</v>
      </c>
      <c r="M36" s="8" t="s">
        <v>94</v>
      </c>
      <c r="N36" s="6" t="s">
        <v>80</v>
      </c>
      <c r="O36" s="6" t="s">
        <v>81</v>
      </c>
      <c r="P36" s="6" t="s">
        <v>82</v>
      </c>
      <c r="Q36" s="6" t="s">
        <v>83</v>
      </c>
      <c r="R36" s="6" t="s">
        <v>83</v>
      </c>
      <c r="S36" s="9" t="s">
        <v>118</v>
      </c>
      <c r="T36" s="6" t="n">
        <v>48</v>
      </c>
      <c r="U36" s="6" t="s">
        <v>105</v>
      </c>
    </row>
    <row r="37" customFormat="false" ht="15" hidden="false" customHeight="false" outlineLevel="0" collapsed="false">
      <c r="A37" s="6" t="n">
        <v>36</v>
      </c>
      <c r="B37" s="6" t="s">
        <v>132</v>
      </c>
      <c r="C37" s="6" t="s">
        <v>290</v>
      </c>
      <c r="D37" s="6" t="s">
        <v>72</v>
      </c>
      <c r="E37" s="6" t="s">
        <v>73</v>
      </c>
      <c r="F37" s="6" t="s">
        <v>291</v>
      </c>
      <c r="G37" s="6" t="s">
        <v>75</v>
      </c>
      <c r="H37" s="6" t="s">
        <v>292</v>
      </c>
      <c r="I37" s="6" t="s">
        <v>163</v>
      </c>
      <c r="J37" s="7" t="n">
        <v>4813</v>
      </c>
      <c r="K37" s="6" t="str">
        <f aca="false">IF(J37&gt;=8000,"Luxury 8k+",IF(J37&gt;=5000,"Premium 5-8k",IF(J37&gt;=3000,"Upper-mid 3-5k","Entry-premium 2-3k")))</f>
        <v>Upper-mid 3-5k</v>
      </c>
      <c r="L37" s="8" t="s">
        <v>293</v>
      </c>
      <c r="M37" s="8" t="s">
        <v>138</v>
      </c>
      <c r="N37" s="6" t="s">
        <v>80</v>
      </c>
      <c r="O37" s="6" t="s">
        <v>81</v>
      </c>
      <c r="P37" s="6" t="s">
        <v>82</v>
      </c>
      <c r="Q37" s="6" t="s">
        <v>83</v>
      </c>
      <c r="R37" s="6" t="s">
        <v>83</v>
      </c>
      <c r="S37" s="9" t="s">
        <v>118</v>
      </c>
      <c r="T37" s="6" t="n">
        <v>44</v>
      </c>
      <c r="U37" s="6" t="s">
        <v>85</v>
      </c>
    </row>
    <row r="38" customFormat="false" ht="15" hidden="false" customHeight="false" outlineLevel="0" collapsed="false">
      <c r="A38" s="6" t="n">
        <v>37</v>
      </c>
      <c r="B38" s="6" t="s">
        <v>132</v>
      </c>
      <c r="C38" s="6" t="s">
        <v>294</v>
      </c>
      <c r="D38" s="6" t="s">
        <v>72</v>
      </c>
      <c r="E38" s="6" t="s">
        <v>73</v>
      </c>
      <c r="F38" s="6" t="s">
        <v>262</v>
      </c>
      <c r="G38" s="6" t="s">
        <v>263</v>
      </c>
      <c r="H38" s="6" t="s">
        <v>295</v>
      </c>
      <c r="I38" s="6" t="s">
        <v>92</v>
      </c>
      <c r="J38" s="7" t="n">
        <v>4727</v>
      </c>
      <c r="K38" s="6" t="str">
        <f aca="false">IF(J38&gt;=8000,"Luxury 8k+",IF(J38&gt;=5000,"Premium 5-8k",IF(J38&gt;=3000,"Upper-mid 3-5k","Entry-premium 2-3k")))</f>
        <v>Upper-mid 3-5k</v>
      </c>
      <c r="L38" s="8" t="s">
        <v>296</v>
      </c>
      <c r="M38" s="8" t="s">
        <v>138</v>
      </c>
      <c r="N38" s="6" t="s">
        <v>80</v>
      </c>
      <c r="O38" s="6" t="s">
        <v>81</v>
      </c>
      <c r="P38" s="6" t="s">
        <v>82</v>
      </c>
      <c r="Q38" s="6" t="s">
        <v>83</v>
      </c>
      <c r="R38" s="6" t="s">
        <v>83</v>
      </c>
      <c r="S38" s="9" t="s">
        <v>118</v>
      </c>
      <c r="T38" s="6" t="n">
        <v>50</v>
      </c>
      <c r="U38" s="6" t="s">
        <v>85</v>
      </c>
    </row>
    <row r="39" customFormat="false" ht="15" hidden="false" customHeight="false" outlineLevel="0" collapsed="false">
      <c r="A39" s="6" t="n">
        <v>38</v>
      </c>
      <c r="B39" s="6" t="s">
        <v>70</v>
      </c>
      <c r="C39" s="6" t="s">
        <v>297</v>
      </c>
      <c r="D39" s="6" t="s">
        <v>72</v>
      </c>
      <c r="E39" s="6" t="s">
        <v>73</v>
      </c>
      <c r="F39" s="6" t="s">
        <v>298</v>
      </c>
      <c r="G39" s="6" t="s">
        <v>75</v>
      </c>
      <c r="H39" s="6" t="s">
        <v>299</v>
      </c>
      <c r="I39" s="6" t="s">
        <v>163</v>
      </c>
      <c r="J39" s="7" t="n">
        <v>4486</v>
      </c>
      <c r="K39" s="6" t="str">
        <f aca="false">IF(J39&gt;=8000,"Luxury 8k+",IF(J39&gt;=5000,"Premium 5-8k",IF(J39&gt;=3000,"Upper-mid 3-5k","Entry-premium 2-3k")))</f>
        <v>Upper-mid 3-5k</v>
      </c>
      <c r="L39" s="8" t="s">
        <v>300</v>
      </c>
      <c r="M39" s="8" t="s">
        <v>79</v>
      </c>
      <c r="N39" s="6" t="s">
        <v>80</v>
      </c>
      <c r="O39" s="6" t="s">
        <v>81</v>
      </c>
      <c r="P39" s="6" t="s">
        <v>82</v>
      </c>
      <c r="Q39" s="6" t="s">
        <v>83</v>
      </c>
      <c r="R39" s="6" t="s">
        <v>83</v>
      </c>
      <c r="S39" s="9" t="s">
        <v>301</v>
      </c>
      <c r="T39" s="6" t="n">
        <v>52</v>
      </c>
      <c r="U39" s="6" t="s">
        <v>85</v>
      </c>
    </row>
    <row r="40" customFormat="false" ht="15" hidden="false" customHeight="false" outlineLevel="0" collapsed="false">
      <c r="A40" s="6" t="n">
        <v>39</v>
      </c>
      <c r="B40" s="6" t="s">
        <v>218</v>
      </c>
      <c r="C40" s="6" t="s">
        <v>302</v>
      </c>
      <c r="D40" s="6" t="s">
        <v>72</v>
      </c>
      <c r="E40" s="6" t="s">
        <v>73</v>
      </c>
      <c r="F40" s="6" t="s">
        <v>303</v>
      </c>
      <c r="G40" s="6" t="s">
        <v>75</v>
      </c>
      <c r="H40" s="6" t="s">
        <v>221</v>
      </c>
      <c r="I40" s="6" t="s">
        <v>92</v>
      </c>
      <c r="J40" s="7" t="n">
        <v>4299</v>
      </c>
      <c r="K40" s="6" t="str">
        <f aca="false">IF(J40&gt;=8000,"Luxury 8k+",IF(J40&gt;=5000,"Premium 5-8k",IF(J40&gt;=3000,"Upper-mid 3-5k","Entry-premium 2-3k")))</f>
        <v>Upper-mid 3-5k</v>
      </c>
      <c r="L40" s="8" t="s">
        <v>304</v>
      </c>
      <c r="M40" s="8" t="s">
        <v>223</v>
      </c>
      <c r="N40" s="6" t="s">
        <v>80</v>
      </c>
      <c r="O40" s="6" t="s">
        <v>81</v>
      </c>
      <c r="P40" s="6" t="s">
        <v>82</v>
      </c>
      <c r="Q40" s="6" t="s">
        <v>83</v>
      </c>
      <c r="R40" s="6" t="s">
        <v>83</v>
      </c>
      <c r="S40" s="9" t="s">
        <v>305</v>
      </c>
      <c r="T40" s="6" t="n">
        <v>58</v>
      </c>
      <c r="U40" s="6" t="s">
        <v>85</v>
      </c>
    </row>
    <row r="41" customFormat="false" ht="15" hidden="false" customHeight="false" outlineLevel="0" collapsed="false">
      <c r="A41" s="6" t="n">
        <v>40</v>
      </c>
      <c r="B41" s="6" t="s">
        <v>86</v>
      </c>
      <c r="C41" s="6" t="s">
        <v>306</v>
      </c>
      <c r="D41" s="6" t="s">
        <v>72</v>
      </c>
      <c r="E41" s="6" t="s">
        <v>73</v>
      </c>
      <c r="F41" s="6" t="s">
        <v>307</v>
      </c>
      <c r="G41" s="6" t="s">
        <v>75</v>
      </c>
      <c r="H41" s="6" t="s">
        <v>308</v>
      </c>
      <c r="I41" s="6" t="s">
        <v>92</v>
      </c>
      <c r="J41" s="7" t="n">
        <v>4241</v>
      </c>
      <c r="K41" s="6" t="str">
        <f aca="false">IF(J41&gt;=8000,"Luxury 8k+",IF(J41&gt;=5000,"Premium 5-8k",IF(J41&gt;=3000,"Upper-mid 3-5k","Entry-premium 2-3k")))</f>
        <v>Upper-mid 3-5k</v>
      </c>
      <c r="L41" s="8" t="s">
        <v>309</v>
      </c>
      <c r="M41" s="8" t="s">
        <v>94</v>
      </c>
      <c r="N41" s="6" t="s">
        <v>80</v>
      </c>
      <c r="O41" s="6" t="s">
        <v>81</v>
      </c>
      <c r="P41" s="6" t="s">
        <v>82</v>
      </c>
      <c r="Q41" s="6" t="s">
        <v>83</v>
      </c>
      <c r="R41" s="6" t="s">
        <v>83</v>
      </c>
      <c r="S41" s="9" t="s">
        <v>118</v>
      </c>
      <c r="T41" s="6" t="n">
        <v>50</v>
      </c>
      <c r="U41" s="6" t="s">
        <v>85</v>
      </c>
    </row>
    <row r="42" customFormat="false" ht="15" hidden="false" customHeight="false" outlineLevel="0" collapsed="false">
      <c r="A42" s="6" t="n">
        <v>41</v>
      </c>
      <c r="B42" s="6" t="s">
        <v>123</v>
      </c>
      <c r="C42" s="6" t="s">
        <v>310</v>
      </c>
      <c r="D42" s="6" t="s">
        <v>88</v>
      </c>
      <c r="E42" s="6" t="s">
        <v>311</v>
      </c>
      <c r="F42" s="6" t="s">
        <v>312</v>
      </c>
      <c r="G42" s="6" t="s">
        <v>75</v>
      </c>
      <c r="H42" s="6" t="s">
        <v>313</v>
      </c>
      <c r="I42" s="6" t="s">
        <v>101</v>
      </c>
      <c r="J42" s="7" t="n">
        <v>4215</v>
      </c>
      <c r="K42" s="6" t="str">
        <f aca="false">IF(J42&gt;=8000,"Luxury 8k+",IF(J42&gt;=5000,"Premium 5-8k",IF(J42&gt;=3000,"Upper-mid 3-5k","Entry-premium 2-3k")))</f>
        <v>Upper-mid 3-5k</v>
      </c>
      <c r="L42" s="8" t="s">
        <v>314</v>
      </c>
      <c r="M42" s="8" t="s">
        <v>126</v>
      </c>
      <c r="N42" s="6" t="s">
        <v>80</v>
      </c>
      <c r="O42" s="6" t="s">
        <v>81</v>
      </c>
      <c r="P42" s="6" t="s">
        <v>82</v>
      </c>
      <c r="Q42" s="6" t="s">
        <v>83</v>
      </c>
      <c r="R42" s="6" t="s">
        <v>83</v>
      </c>
      <c r="S42" s="9" t="s">
        <v>118</v>
      </c>
      <c r="T42" s="6" t="n">
        <v>56</v>
      </c>
      <c r="U42" s="6" t="s">
        <v>85</v>
      </c>
    </row>
    <row r="43" customFormat="false" ht="15" hidden="false" customHeight="false" outlineLevel="0" collapsed="false">
      <c r="A43" s="6" t="n">
        <v>42</v>
      </c>
      <c r="B43" s="6" t="s">
        <v>70</v>
      </c>
      <c r="C43" s="6" t="s">
        <v>315</v>
      </c>
      <c r="D43" s="6" t="s">
        <v>172</v>
      </c>
      <c r="E43" s="6" t="s">
        <v>173</v>
      </c>
      <c r="F43" s="6" t="s">
        <v>316</v>
      </c>
      <c r="G43" s="6" t="s">
        <v>317</v>
      </c>
      <c r="H43" s="6" t="s">
        <v>318</v>
      </c>
      <c r="I43" s="6" t="s">
        <v>163</v>
      </c>
      <c r="J43" s="7" t="n">
        <v>4041</v>
      </c>
      <c r="K43" s="6" t="str">
        <f aca="false">IF(J43&gt;=8000,"Luxury 8k+",IF(J43&gt;=5000,"Premium 5-8k",IF(J43&gt;=3000,"Upper-mid 3-5k","Entry-premium 2-3k")))</f>
        <v>Upper-mid 3-5k</v>
      </c>
      <c r="L43" s="8" t="s">
        <v>319</v>
      </c>
      <c r="M43" s="8" t="s">
        <v>79</v>
      </c>
      <c r="N43" s="6" t="s">
        <v>80</v>
      </c>
      <c r="O43" s="6" t="s">
        <v>81</v>
      </c>
      <c r="P43" s="6" t="s">
        <v>82</v>
      </c>
      <c r="Q43" s="6" t="s">
        <v>83</v>
      </c>
      <c r="R43" s="6" t="s">
        <v>83</v>
      </c>
      <c r="S43" s="9" t="s">
        <v>320</v>
      </c>
      <c r="T43" s="6" t="n">
        <v>70</v>
      </c>
      <c r="U43" s="6" t="s">
        <v>85</v>
      </c>
    </row>
    <row r="44" customFormat="false" ht="15" hidden="false" customHeight="false" outlineLevel="0" collapsed="false">
      <c r="A44" s="6" t="n">
        <v>43</v>
      </c>
      <c r="B44" s="6" t="s">
        <v>178</v>
      </c>
      <c r="C44" s="6" t="s">
        <v>321</v>
      </c>
      <c r="D44" s="6" t="s">
        <v>72</v>
      </c>
      <c r="E44" s="6" t="s">
        <v>73</v>
      </c>
      <c r="F44" s="6" t="s">
        <v>322</v>
      </c>
      <c r="G44" s="6" t="s">
        <v>75</v>
      </c>
      <c r="H44" s="6" t="s">
        <v>323</v>
      </c>
      <c r="I44" s="6" t="s">
        <v>163</v>
      </c>
      <c r="J44" s="7" t="n">
        <v>3999</v>
      </c>
      <c r="K44" s="6" t="str">
        <f aca="false">IF(J44&gt;=8000,"Luxury 8k+",IF(J44&gt;=5000,"Premium 5-8k",IF(J44&gt;=3000,"Upper-mid 3-5k","Entry-premium 2-3k")))</f>
        <v>Upper-mid 3-5k</v>
      </c>
      <c r="L44" s="8" t="s">
        <v>324</v>
      </c>
      <c r="M44" s="8" t="s">
        <v>183</v>
      </c>
      <c r="N44" s="6" t="s">
        <v>80</v>
      </c>
      <c r="O44" s="6" t="s">
        <v>81</v>
      </c>
      <c r="P44" s="6" t="s">
        <v>82</v>
      </c>
      <c r="Q44" s="6" t="s">
        <v>83</v>
      </c>
      <c r="R44" s="6" t="s">
        <v>83</v>
      </c>
      <c r="S44" s="9" t="s">
        <v>118</v>
      </c>
      <c r="T44" s="6" t="n">
        <v>50</v>
      </c>
      <c r="U44" s="6" t="s">
        <v>85</v>
      </c>
    </row>
    <row r="45" customFormat="false" ht="15" hidden="false" customHeight="false" outlineLevel="0" collapsed="false">
      <c r="A45" s="6" t="n">
        <v>44</v>
      </c>
      <c r="B45" s="6" t="s">
        <v>178</v>
      </c>
      <c r="C45" s="6" t="s">
        <v>325</v>
      </c>
      <c r="D45" s="6" t="s">
        <v>72</v>
      </c>
      <c r="E45" s="6" t="s">
        <v>167</v>
      </c>
      <c r="F45" s="6" t="s">
        <v>238</v>
      </c>
      <c r="G45" s="6" t="s">
        <v>75</v>
      </c>
      <c r="H45" s="6" t="s">
        <v>326</v>
      </c>
      <c r="I45" s="6" t="s">
        <v>163</v>
      </c>
      <c r="J45" s="7" t="n">
        <v>3999</v>
      </c>
      <c r="K45" s="6" t="str">
        <f aca="false">IF(J45&gt;=8000,"Luxury 8k+",IF(J45&gt;=5000,"Premium 5-8k",IF(J45&gt;=3000,"Upper-mid 3-5k","Entry-premium 2-3k")))</f>
        <v>Upper-mid 3-5k</v>
      </c>
      <c r="L45" s="8" t="s">
        <v>327</v>
      </c>
      <c r="M45" s="8" t="s">
        <v>183</v>
      </c>
      <c r="N45" s="6" t="s">
        <v>80</v>
      </c>
      <c r="O45" s="6" t="s">
        <v>81</v>
      </c>
      <c r="P45" s="6" t="s">
        <v>82</v>
      </c>
      <c r="Q45" s="6" t="s">
        <v>83</v>
      </c>
      <c r="R45" s="6" t="s">
        <v>83</v>
      </c>
      <c r="S45" s="9" t="s">
        <v>118</v>
      </c>
      <c r="T45" s="6" t="n">
        <v>48</v>
      </c>
      <c r="U45" s="6" t="s">
        <v>85</v>
      </c>
    </row>
    <row r="46" customFormat="false" ht="15" hidden="false" customHeight="false" outlineLevel="0" collapsed="false">
      <c r="A46" s="6" t="n">
        <v>45</v>
      </c>
      <c r="B46" s="6" t="s">
        <v>218</v>
      </c>
      <c r="C46" s="6" t="s">
        <v>328</v>
      </c>
      <c r="D46" s="6" t="s">
        <v>72</v>
      </c>
      <c r="E46" s="6" t="s">
        <v>73</v>
      </c>
      <c r="F46" s="6" t="s">
        <v>134</v>
      </c>
      <c r="G46" s="6" t="s">
        <v>135</v>
      </c>
      <c r="H46" s="6" t="s">
        <v>329</v>
      </c>
      <c r="I46" s="6" t="s">
        <v>92</v>
      </c>
      <c r="J46" s="7" t="n">
        <v>3999</v>
      </c>
      <c r="K46" s="6" t="str">
        <f aca="false">IF(J46&gt;=8000,"Luxury 8k+",IF(J46&gt;=5000,"Premium 5-8k",IF(J46&gt;=3000,"Upper-mid 3-5k","Entry-premium 2-3k")))</f>
        <v>Upper-mid 3-5k</v>
      </c>
      <c r="L46" s="8" t="s">
        <v>330</v>
      </c>
      <c r="M46" s="8" t="s">
        <v>223</v>
      </c>
      <c r="N46" s="6" t="s">
        <v>80</v>
      </c>
      <c r="O46" s="6" t="s">
        <v>81</v>
      </c>
      <c r="P46" s="6" t="s">
        <v>82</v>
      </c>
      <c r="Q46" s="6" t="s">
        <v>83</v>
      </c>
      <c r="R46" s="6" t="s">
        <v>83</v>
      </c>
      <c r="S46" s="9" t="s">
        <v>331</v>
      </c>
      <c r="T46" s="6" t="n">
        <v>58</v>
      </c>
      <c r="U46" s="6" t="s">
        <v>85</v>
      </c>
    </row>
    <row r="47" customFormat="false" ht="15" hidden="false" customHeight="false" outlineLevel="0" collapsed="false">
      <c r="A47" s="6" t="n">
        <v>46</v>
      </c>
      <c r="B47" s="6" t="s">
        <v>96</v>
      </c>
      <c r="C47" s="6" t="s">
        <v>332</v>
      </c>
      <c r="D47" s="6" t="s">
        <v>88</v>
      </c>
      <c r="E47" s="6" t="s">
        <v>333</v>
      </c>
      <c r="F47" s="6" t="s">
        <v>114</v>
      </c>
      <c r="G47" s="6" t="s">
        <v>75</v>
      </c>
      <c r="H47" s="6" t="s">
        <v>334</v>
      </c>
      <c r="I47" s="6" t="s">
        <v>335</v>
      </c>
      <c r="J47" s="7" t="n">
        <v>3990</v>
      </c>
      <c r="K47" s="6" t="str">
        <f aca="false">IF(J47&gt;=8000,"Luxury 8k+",IF(J47&gt;=5000,"Premium 5-8k",IF(J47&gt;=3000,"Upper-mid 3-5k","Entry-premium 2-3k")))</f>
        <v>Upper-mid 3-5k</v>
      </c>
      <c r="L47" s="8" t="s">
        <v>336</v>
      </c>
      <c r="M47" s="8" t="s">
        <v>103</v>
      </c>
      <c r="N47" s="6" t="s">
        <v>80</v>
      </c>
      <c r="O47" s="6" t="s">
        <v>81</v>
      </c>
      <c r="P47" s="6" t="s">
        <v>82</v>
      </c>
      <c r="Q47" s="6" t="s">
        <v>83</v>
      </c>
      <c r="R47" s="6" t="s">
        <v>83</v>
      </c>
      <c r="S47" s="9" t="s">
        <v>118</v>
      </c>
      <c r="T47" s="6" t="n">
        <v>58</v>
      </c>
      <c r="U47" s="6" t="s">
        <v>105</v>
      </c>
    </row>
    <row r="48" customFormat="false" ht="15" hidden="false" customHeight="false" outlineLevel="0" collapsed="false">
      <c r="A48" s="6" t="n">
        <v>47</v>
      </c>
      <c r="B48" s="6" t="s">
        <v>123</v>
      </c>
      <c r="C48" s="6" t="s">
        <v>337</v>
      </c>
      <c r="D48" s="6" t="s">
        <v>88</v>
      </c>
      <c r="E48" s="6" t="s">
        <v>247</v>
      </c>
      <c r="F48" s="6" t="s">
        <v>338</v>
      </c>
      <c r="G48" s="6" t="s">
        <v>75</v>
      </c>
      <c r="H48" s="6" t="s">
        <v>339</v>
      </c>
      <c r="I48" s="6" t="s">
        <v>101</v>
      </c>
      <c r="J48" s="7" t="n">
        <v>3825</v>
      </c>
      <c r="K48" s="6" t="str">
        <f aca="false">IF(J48&gt;=8000,"Luxury 8k+",IF(J48&gt;=5000,"Premium 5-8k",IF(J48&gt;=3000,"Upper-mid 3-5k","Entry-premium 2-3k")))</f>
        <v>Upper-mid 3-5k</v>
      </c>
      <c r="L48" s="8" t="s">
        <v>340</v>
      </c>
      <c r="M48" s="8" t="s">
        <v>126</v>
      </c>
      <c r="N48" s="6" t="s">
        <v>80</v>
      </c>
      <c r="O48" s="6" t="s">
        <v>81</v>
      </c>
      <c r="P48" s="6" t="s">
        <v>82</v>
      </c>
      <c r="Q48" s="6" t="s">
        <v>83</v>
      </c>
      <c r="R48" s="6" t="s">
        <v>83</v>
      </c>
      <c r="S48" s="9" t="s">
        <v>118</v>
      </c>
      <c r="T48" s="6" t="n">
        <v>54</v>
      </c>
      <c r="U48" s="6" t="s">
        <v>85</v>
      </c>
    </row>
    <row r="49" customFormat="false" ht="15" hidden="false" customHeight="false" outlineLevel="0" collapsed="false">
      <c r="A49" s="6" t="n">
        <v>48</v>
      </c>
      <c r="B49" s="6" t="s">
        <v>86</v>
      </c>
      <c r="C49" s="6" t="s">
        <v>341</v>
      </c>
      <c r="D49" s="6" t="s">
        <v>72</v>
      </c>
      <c r="E49" s="6" t="s">
        <v>231</v>
      </c>
      <c r="F49" s="6" t="s">
        <v>232</v>
      </c>
      <c r="G49" s="6" t="s">
        <v>75</v>
      </c>
      <c r="H49" s="6" t="s">
        <v>342</v>
      </c>
      <c r="I49" s="6" t="s">
        <v>101</v>
      </c>
      <c r="J49" s="7" t="n">
        <v>3806</v>
      </c>
      <c r="K49" s="6" t="str">
        <f aca="false">IF(J49&gt;=8000,"Luxury 8k+",IF(J49&gt;=5000,"Premium 5-8k",IF(J49&gt;=3000,"Upper-mid 3-5k","Entry-premium 2-3k")))</f>
        <v>Upper-mid 3-5k</v>
      </c>
      <c r="L49" s="8" t="s">
        <v>343</v>
      </c>
      <c r="M49" s="8" t="s">
        <v>94</v>
      </c>
      <c r="N49" s="6" t="s">
        <v>80</v>
      </c>
      <c r="O49" s="6" t="s">
        <v>81</v>
      </c>
      <c r="P49" s="6" t="s">
        <v>82</v>
      </c>
      <c r="Q49" s="6" t="s">
        <v>83</v>
      </c>
      <c r="R49" s="6" t="s">
        <v>83</v>
      </c>
      <c r="S49" s="9" t="s">
        <v>344</v>
      </c>
      <c r="T49" s="6" t="n">
        <v>68</v>
      </c>
      <c r="U49" s="6" t="s">
        <v>85</v>
      </c>
    </row>
    <row r="50" customFormat="false" ht="15" hidden="false" customHeight="false" outlineLevel="0" collapsed="false">
      <c r="A50" s="6" t="n">
        <v>49</v>
      </c>
      <c r="B50" s="6" t="s">
        <v>140</v>
      </c>
      <c r="C50" s="6" t="s">
        <v>345</v>
      </c>
      <c r="D50" s="6" t="s">
        <v>88</v>
      </c>
      <c r="E50" s="6" t="s">
        <v>333</v>
      </c>
      <c r="F50" s="6" t="s">
        <v>114</v>
      </c>
      <c r="G50" s="6" t="s">
        <v>75</v>
      </c>
      <c r="H50" s="6" t="s">
        <v>346</v>
      </c>
      <c r="I50" s="6" t="s">
        <v>347</v>
      </c>
      <c r="J50" s="7" t="n">
        <v>3750</v>
      </c>
      <c r="K50" s="6" t="str">
        <f aca="false">IF(J50&gt;=8000,"Luxury 8k+",IF(J50&gt;=5000,"Premium 5-8k",IF(J50&gt;=3000,"Upper-mid 3-5k","Entry-premium 2-3k")))</f>
        <v>Upper-mid 3-5k</v>
      </c>
      <c r="L50" s="8" t="s">
        <v>348</v>
      </c>
      <c r="M50" s="8" t="s">
        <v>146</v>
      </c>
      <c r="N50" s="6" t="s">
        <v>80</v>
      </c>
      <c r="O50" s="6" t="s">
        <v>81</v>
      </c>
      <c r="P50" s="6" t="s">
        <v>82</v>
      </c>
      <c r="Q50" s="6" t="s">
        <v>83</v>
      </c>
      <c r="R50" s="6" t="s">
        <v>83</v>
      </c>
      <c r="S50" s="9" t="s">
        <v>118</v>
      </c>
      <c r="T50" s="6" t="n">
        <v>58</v>
      </c>
      <c r="U50" s="6" t="s">
        <v>85</v>
      </c>
    </row>
    <row r="51" customFormat="false" ht="15" hidden="false" customHeight="false" outlineLevel="0" collapsed="false">
      <c r="A51" s="6" t="n">
        <v>50</v>
      </c>
      <c r="B51" s="6" t="s">
        <v>123</v>
      </c>
      <c r="C51" s="6" t="s">
        <v>349</v>
      </c>
      <c r="D51" s="6" t="s">
        <v>88</v>
      </c>
      <c r="E51" s="6" t="s">
        <v>350</v>
      </c>
      <c r="F51" s="6" t="s">
        <v>351</v>
      </c>
      <c r="G51" s="6" t="s">
        <v>75</v>
      </c>
      <c r="H51" s="6" t="s">
        <v>352</v>
      </c>
      <c r="I51" s="6" t="s">
        <v>335</v>
      </c>
      <c r="J51" s="7" t="n">
        <v>3750</v>
      </c>
      <c r="K51" s="6" t="str">
        <f aca="false">IF(J51&gt;=8000,"Luxury 8k+",IF(J51&gt;=5000,"Premium 5-8k",IF(J51&gt;=3000,"Upper-mid 3-5k","Entry-premium 2-3k")))</f>
        <v>Upper-mid 3-5k</v>
      </c>
      <c r="L51" s="8" t="s">
        <v>353</v>
      </c>
      <c r="M51" s="8" t="s">
        <v>126</v>
      </c>
      <c r="N51" s="6" t="s">
        <v>80</v>
      </c>
      <c r="O51" s="6" t="s">
        <v>81</v>
      </c>
      <c r="P51" s="6" t="s">
        <v>82</v>
      </c>
      <c r="Q51" s="6" t="s">
        <v>83</v>
      </c>
      <c r="R51" s="6" t="s">
        <v>83</v>
      </c>
      <c r="S51" s="9" t="s">
        <v>354</v>
      </c>
      <c r="T51" s="6" t="n">
        <v>72</v>
      </c>
      <c r="U51" s="6" t="s">
        <v>105</v>
      </c>
    </row>
    <row r="52" customFormat="false" ht="15" hidden="false" customHeight="false" outlineLevel="0" collapsed="false">
      <c r="A52" s="6" t="n">
        <v>51</v>
      </c>
      <c r="B52" s="6" t="s">
        <v>218</v>
      </c>
      <c r="C52" s="6" t="s">
        <v>355</v>
      </c>
      <c r="D52" s="6" t="s">
        <v>72</v>
      </c>
      <c r="E52" s="6" t="s">
        <v>73</v>
      </c>
      <c r="F52" s="6" t="s">
        <v>303</v>
      </c>
      <c r="G52" s="6" t="s">
        <v>75</v>
      </c>
      <c r="H52" s="6" t="s">
        <v>210</v>
      </c>
      <c r="I52" s="6" t="s">
        <v>92</v>
      </c>
      <c r="J52" s="7" t="n">
        <v>3700</v>
      </c>
      <c r="K52" s="6" t="str">
        <f aca="false">IF(J52&gt;=8000,"Luxury 8k+",IF(J52&gt;=5000,"Premium 5-8k",IF(J52&gt;=3000,"Upper-mid 3-5k","Entry-premium 2-3k")))</f>
        <v>Upper-mid 3-5k</v>
      </c>
      <c r="L52" s="8" t="s">
        <v>356</v>
      </c>
      <c r="M52" s="8" t="s">
        <v>223</v>
      </c>
      <c r="N52" s="6" t="s">
        <v>80</v>
      </c>
      <c r="O52" s="6" t="s">
        <v>81</v>
      </c>
      <c r="P52" s="6" t="s">
        <v>82</v>
      </c>
      <c r="Q52" s="6" t="s">
        <v>83</v>
      </c>
      <c r="R52" s="6" t="s">
        <v>83</v>
      </c>
      <c r="S52" s="9" t="s">
        <v>357</v>
      </c>
      <c r="T52" s="6" t="n">
        <v>52</v>
      </c>
      <c r="U52" s="6" t="s">
        <v>105</v>
      </c>
    </row>
    <row r="53" customFormat="false" ht="15" hidden="false" customHeight="false" outlineLevel="0" collapsed="false">
      <c r="A53" s="6" t="n">
        <v>52</v>
      </c>
      <c r="B53" s="6" t="s">
        <v>132</v>
      </c>
      <c r="C53" s="6" t="s">
        <v>358</v>
      </c>
      <c r="D53" s="6" t="s">
        <v>72</v>
      </c>
      <c r="E53" s="6" t="s">
        <v>226</v>
      </c>
      <c r="F53" s="6" t="s">
        <v>134</v>
      </c>
      <c r="G53" s="6" t="s">
        <v>187</v>
      </c>
      <c r="H53" s="6" t="s">
        <v>359</v>
      </c>
      <c r="I53" s="6" t="s">
        <v>101</v>
      </c>
      <c r="J53" s="7" t="n">
        <v>3696</v>
      </c>
      <c r="K53" s="6" t="str">
        <f aca="false">IF(J53&gt;=8000,"Luxury 8k+",IF(J53&gt;=5000,"Premium 5-8k",IF(J53&gt;=3000,"Upper-mid 3-5k","Entry-premium 2-3k")))</f>
        <v>Upper-mid 3-5k</v>
      </c>
      <c r="L53" s="8" t="s">
        <v>360</v>
      </c>
      <c r="M53" s="8" t="s">
        <v>138</v>
      </c>
      <c r="N53" s="6" t="s">
        <v>80</v>
      </c>
      <c r="O53" s="6" t="s">
        <v>81</v>
      </c>
      <c r="P53" s="6" t="s">
        <v>82</v>
      </c>
      <c r="Q53" s="6" t="s">
        <v>83</v>
      </c>
      <c r="R53" s="6" t="s">
        <v>83</v>
      </c>
      <c r="S53" s="9" t="s">
        <v>118</v>
      </c>
      <c r="T53" s="6" t="n">
        <v>46</v>
      </c>
      <c r="U53" s="6" t="s">
        <v>105</v>
      </c>
    </row>
    <row r="54" customFormat="false" ht="15" hidden="false" customHeight="false" outlineLevel="0" collapsed="false">
      <c r="A54" s="6" t="n">
        <v>53</v>
      </c>
      <c r="B54" s="6" t="s">
        <v>257</v>
      </c>
      <c r="C54" s="6" t="s">
        <v>361</v>
      </c>
      <c r="D54" s="6" t="s">
        <v>88</v>
      </c>
      <c r="E54" s="6" t="s">
        <v>89</v>
      </c>
      <c r="F54" s="6" t="s">
        <v>362</v>
      </c>
      <c r="G54" s="6" t="s">
        <v>75</v>
      </c>
      <c r="H54" s="6" t="s">
        <v>91</v>
      </c>
      <c r="I54" s="6" t="s">
        <v>92</v>
      </c>
      <c r="J54" s="7" t="n">
        <v>3637</v>
      </c>
      <c r="K54" s="6" t="str">
        <f aca="false">IF(J54&gt;=8000,"Luxury 8k+",IF(J54&gt;=5000,"Premium 5-8k",IF(J54&gt;=3000,"Upper-mid 3-5k","Entry-premium 2-3k")))</f>
        <v>Upper-mid 3-5k</v>
      </c>
      <c r="L54" s="8" t="s">
        <v>363</v>
      </c>
      <c r="M54" s="8" t="s">
        <v>260</v>
      </c>
      <c r="N54" s="6" t="s">
        <v>80</v>
      </c>
      <c r="O54" s="6" t="s">
        <v>81</v>
      </c>
      <c r="P54" s="6" t="s">
        <v>82</v>
      </c>
      <c r="Q54" s="6" t="s">
        <v>83</v>
      </c>
      <c r="R54" s="6" t="s">
        <v>83</v>
      </c>
      <c r="S54" s="9" t="s">
        <v>118</v>
      </c>
      <c r="T54" s="6" t="n">
        <v>50</v>
      </c>
      <c r="U54" s="6" t="s">
        <v>85</v>
      </c>
    </row>
    <row r="55" customFormat="false" ht="15" hidden="false" customHeight="false" outlineLevel="0" collapsed="false">
      <c r="A55" s="6" t="n">
        <v>54</v>
      </c>
      <c r="B55" s="6" t="s">
        <v>70</v>
      </c>
      <c r="C55" s="6" t="s">
        <v>364</v>
      </c>
      <c r="D55" s="6" t="s">
        <v>72</v>
      </c>
      <c r="E55" s="6" t="s">
        <v>193</v>
      </c>
      <c r="F55" s="6" t="s">
        <v>365</v>
      </c>
      <c r="G55" s="6" t="s">
        <v>75</v>
      </c>
      <c r="H55" s="6" t="s">
        <v>366</v>
      </c>
      <c r="I55" s="6" t="s">
        <v>205</v>
      </c>
      <c r="J55" s="7" t="n">
        <v>3607</v>
      </c>
      <c r="K55" s="6" t="str">
        <f aca="false">IF(J55&gt;=8000,"Luxury 8k+",IF(J55&gt;=5000,"Premium 5-8k",IF(J55&gt;=3000,"Upper-mid 3-5k","Entry-premium 2-3k")))</f>
        <v>Upper-mid 3-5k</v>
      </c>
      <c r="L55" s="8" t="s">
        <v>367</v>
      </c>
      <c r="M55" s="8" t="s">
        <v>79</v>
      </c>
      <c r="N55" s="6" t="s">
        <v>80</v>
      </c>
      <c r="O55" s="6" t="s">
        <v>81</v>
      </c>
      <c r="P55" s="6" t="s">
        <v>82</v>
      </c>
      <c r="Q55" s="6" t="s">
        <v>83</v>
      </c>
      <c r="R55" s="6" t="s">
        <v>83</v>
      </c>
      <c r="S55" s="9" t="s">
        <v>368</v>
      </c>
      <c r="T55" s="6" t="n">
        <v>62</v>
      </c>
      <c r="U55" s="6" t="s">
        <v>105</v>
      </c>
    </row>
    <row r="56" customFormat="false" ht="15" hidden="false" customHeight="false" outlineLevel="0" collapsed="false">
      <c r="A56" s="6" t="n">
        <v>55</v>
      </c>
      <c r="B56" s="6" t="s">
        <v>178</v>
      </c>
      <c r="C56" s="6" t="s">
        <v>369</v>
      </c>
      <c r="D56" s="6" t="s">
        <v>72</v>
      </c>
      <c r="E56" s="6" t="s">
        <v>73</v>
      </c>
      <c r="F56" s="6" t="s">
        <v>214</v>
      </c>
      <c r="G56" s="6" t="s">
        <v>75</v>
      </c>
      <c r="H56" s="6" t="s">
        <v>370</v>
      </c>
      <c r="I56" s="6" t="s">
        <v>163</v>
      </c>
      <c r="J56" s="7" t="n">
        <v>3599</v>
      </c>
      <c r="K56" s="6" t="str">
        <f aca="false">IF(J56&gt;=8000,"Luxury 8k+",IF(J56&gt;=5000,"Premium 5-8k",IF(J56&gt;=3000,"Upper-mid 3-5k","Entry-premium 2-3k")))</f>
        <v>Upper-mid 3-5k</v>
      </c>
      <c r="L56" s="8" t="s">
        <v>371</v>
      </c>
      <c r="M56" s="8" t="s">
        <v>183</v>
      </c>
      <c r="N56" s="6" t="s">
        <v>80</v>
      </c>
      <c r="O56" s="6" t="s">
        <v>81</v>
      </c>
      <c r="P56" s="6" t="s">
        <v>82</v>
      </c>
      <c r="Q56" s="6" t="s">
        <v>83</v>
      </c>
      <c r="R56" s="6" t="s">
        <v>83</v>
      </c>
      <c r="S56" s="9" t="s">
        <v>372</v>
      </c>
      <c r="T56" s="6" t="n">
        <v>70</v>
      </c>
      <c r="U56" s="6" t="s">
        <v>85</v>
      </c>
    </row>
    <row r="57" customFormat="false" ht="15" hidden="false" customHeight="false" outlineLevel="0" collapsed="false">
      <c r="A57" s="6" t="n">
        <v>56</v>
      </c>
      <c r="B57" s="6" t="s">
        <v>373</v>
      </c>
      <c r="C57" s="6" t="s">
        <v>374</v>
      </c>
      <c r="D57" s="6" t="s">
        <v>88</v>
      </c>
      <c r="E57" s="6" t="s">
        <v>113</v>
      </c>
      <c r="F57" s="6" t="s">
        <v>114</v>
      </c>
      <c r="G57" s="6" t="s">
        <v>75</v>
      </c>
      <c r="H57" s="6" t="s">
        <v>375</v>
      </c>
      <c r="I57" s="6" t="s">
        <v>101</v>
      </c>
      <c r="J57" s="7" t="n">
        <v>3567</v>
      </c>
      <c r="K57" s="6" t="str">
        <f aca="false">IF(J57&gt;=8000,"Luxury 8k+",IF(J57&gt;=5000,"Premium 5-8k",IF(J57&gt;=3000,"Upper-mid 3-5k","Entry-premium 2-3k")))</f>
        <v>Upper-mid 3-5k</v>
      </c>
      <c r="L57" s="8" t="s">
        <v>376</v>
      </c>
      <c r="M57" s="8" t="s">
        <v>377</v>
      </c>
      <c r="N57" s="6" t="s">
        <v>80</v>
      </c>
      <c r="O57" s="6" t="s">
        <v>81</v>
      </c>
      <c r="P57" s="6" t="s">
        <v>82</v>
      </c>
      <c r="Q57" s="6" t="s">
        <v>83</v>
      </c>
      <c r="R57" s="6" t="s">
        <v>83</v>
      </c>
      <c r="S57" s="9" t="s">
        <v>118</v>
      </c>
      <c r="T57" s="6" t="n">
        <v>54</v>
      </c>
      <c r="U57" s="6" t="s">
        <v>85</v>
      </c>
    </row>
    <row r="58" customFormat="false" ht="15" hidden="false" customHeight="false" outlineLevel="0" collapsed="false">
      <c r="A58" s="6" t="n">
        <v>57</v>
      </c>
      <c r="B58" s="6" t="s">
        <v>378</v>
      </c>
      <c r="C58" s="6" t="s">
        <v>379</v>
      </c>
      <c r="D58" s="6" t="s">
        <v>72</v>
      </c>
      <c r="E58" s="6" t="s">
        <v>142</v>
      </c>
      <c r="F58" s="6" t="s">
        <v>128</v>
      </c>
      <c r="G58" s="6" t="s">
        <v>75</v>
      </c>
      <c r="H58" s="6" t="s">
        <v>380</v>
      </c>
      <c r="I58" s="6" t="s">
        <v>92</v>
      </c>
      <c r="J58" s="7" t="n">
        <v>3520</v>
      </c>
      <c r="K58" s="6" t="str">
        <f aca="false">IF(J58&gt;=8000,"Luxury 8k+",IF(J58&gt;=5000,"Premium 5-8k",IF(J58&gt;=3000,"Upper-mid 3-5k","Entry-premium 2-3k")))</f>
        <v>Upper-mid 3-5k</v>
      </c>
      <c r="L58" s="8" t="s">
        <v>381</v>
      </c>
      <c r="M58" s="8" t="s">
        <v>382</v>
      </c>
      <c r="N58" s="6" t="s">
        <v>80</v>
      </c>
      <c r="O58" s="6" t="s">
        <v>81</v>
      </c>
      <c r="P58" s="6" t="s">
        <v>82</v>
      </c>
      <c r="Q58" s="6" t="s">
        <v>83</v>
      </c>
      <c r="R58" s="6" t="s">
        <v>83</v>
      </c>
      <c r="S58" s="9" t="s">
        <v>383</v>
      </c>
      <c r="T58" s="6" t="n">
        <v>76</v>
      </c>
      <c r="U58" s="6" t="s">
        <v>85</v>
      </c>
    </row>
    <row r="59" customFormat="false" ht="15" hidden="false" customHeight="false" outlineLevel="0" collapsed="false">
      <c r="A59" s="6" t="n">
        <v>58</v>
      </c>
      <c r="B59" s="6" t="s">
        <v>373</v>
      </c>
      <c r="C59" s="6" t="s">
        <v>384</v>
      </c>
      <c r="D59" s="6" t="s">
        <v>88</v>
      </c>
      <c r="E59" s="6" t="s">
        <v>384</v>
      </c>
      <c r="F59" s="6" t="s">
        <v>99</v>
      </c>
      <c r="G59" s="6" t="s">
        <v>75</v>
      </c>
      <c r="H59" s="6" t="s">
        <v>385</v>
      </c>
      <c r="I59" s="6" t="s">
        <v>386</v>
      </c>
      <c r="J59" s="7" t="n">
        <v>3519</v>
      </c>
      <c r="K59" s="6" t="str">
        <f aca="false">IF(J59&gt;=8000,"Luxury 8k+",IF(J59&gt;=5000,"Premium 5-8k",IF(J59&gt;=3000,"Upper-mid 3-5k","Entry-premium 2-3k")))</f>
        <v>Upper-mid 3-5k</v>
      </c>
      <c r="L59" s="8" t="s">
        <v>387</v>
      </c>
      <c r="M59" s="8" t="s">
        <v>377</v>
      </c>
      <c r="N59" s="6" t="s">
        <v>80</v>
      </c>
      <c r="O59" s="6" t="s">
        <v>81</v>
      </c>
      <c r="P59" s="6" t="s">
        <v>82</v>
      </c>
      <c r="Q59" s="6" t="s">
        <v>83</v>
      </c>
      <c r="R59" s="6" t="s">
        <v>83</v>
      </c>
      <c r="S59" s="9" t="s">
        <v>388</v>
      </c>
      <c r="T59" s="6" t="n">
        <v>68</v>
      </c>
      <c r="U59" s="6" t="s">
        <v>105</v>
      </c>
    </row>
    <row r="60" customFormat="false" ht="15" hidden="false" customHeight="false" outlineLevel="0" collapsed="false">
      <c r="A60" s="6" t="n">
        <v>59</v>
      </c>
      <c r="B60" s="6" t="s">
        <v>373</v>
      </c>
      <c r="C60" s="6" t="s">
        <v>389</v>
      </c>
      <c r="D60" s="6" t="s">
        <v>88</v>
      </c>
      <c r="E60" s="6" t="s">
        <v>247</v>
      </c>
      <c r="F60" s="6" t="s">
        <v>248</v>
      </c>
      <c r="G60" s="6" t="s">
        <v>75</v>
      </c>
      <c r="H60" s="6" t="s">
        <v>390</v>
      </c>
      <c r="I60" s="6" t="s">
        <v>163</v>
      </c>
      <c r="J60" s="7" t="n">
        <v>3500</v>
      </c>
      <c r="K60" s="6" t="str">
        <f aca="false">IF(J60&gt;=8000,"Luxury 8k+",IF(J60&gt;=5000,"Premium 5-8k",IF(J60&gt;=3000,"Upper-mid 3-5k","Entry-premium 2-3k")))</f>
        <v>Upper-mid 3-5k</v>
      </c>
      <c r="L60" s="8" t="s">
        <v>391</v>
      </c>
      <c r="M60" s="8" t="s">
        <v>377</v>
      </c>
      <c r="N60" s="6" t="s">
        <v>80</v>
      </c>
      <c r="O60" s="6" t="s">
        <v>81</v>
      </c>
      <c r="P60" s="6" t="s">
        <v>82</v>
      </c>
      <c r="Q60" s="6" t="s">
        <v>83</v>
      </c>
      <c r="R60" s="6" t="s">
        <v>83</v>
      </c>
      <c r="S60" s="9" t="s">
        <v>118</v>
      </c>
      <c r="T60" s="6" t="n">
        <v>58</v>
      </c>
      <c r="U60" s="6" t="s">
        <v>85</v>
      </c>
    </row>
    <row r="61" customFormat="false" ht="15" hidden="false" customHeight="false" outlineLevel="0" collapsed="false">
      <c r="A61" s="6" t="n">
        <v>60</v>
      </c>
      <c r="B61" s="6" t="s">
        <v>218</v>
      </c>
      <c r="C61" s="6" t="s">
        <v>392</v>
      </c>
      <c r="D61" s="6" t="s">
        <v>72</v>
      </c>
      <c r="E61" s="6" t="s">
        <v>73</v>
      </c>
      <c r="F61" s="6" t="s">
        <v>128</v>
      </c>
      <c r="G61" s="6" t="s">
        <v>75</v>
      </c>
      <c r="H61" s="6" t="s">
        <v>393</v>
      </c>
      <c r="I61" s="6" t="s">
        <v>101</v>
      </c>
      <c r="J61" s="7" t="n">
        <v>3500</v>
      </c>
      <c r="K61" s="6" t="str">
        <f aca="false">IF(J61&gt;=8000,"Luxury 8k+",IF(J61&gt;=5000,"Premium 5-8k",IF(J61&gt;=3000,"Upper-mid 3-5k","Entry-premium 2-3k")))</f>
        <v>Upper-mid 3-5k</v>
      </c>
      <c r="L61" s="8" t="s">
        <v>394</v>
      </c>
      <c r="M61" s="8" t="s">
        <v>223</v>
      </c>
      <c r="N61" s="6" t="s">
        <v>80</v>
      </c>
      <c r="O61" s="6" t="s">
        <v>81</v>
      </c>
      <c r="P61" s="6" t="s">
        <v>82</v>
      </c>
      <c r="Q61" s="6" t="s">
        <v>83</v>
      </c>
      <c r="R61" s="6" t="s">
        <v>83</v>
      </c>
      <c r="S61" s="9" t="s">
        <v>395</v>
      </c>
      <c r="T61" s="6" t="n">
        <v>55</v>
      </c>
      <c r="U61" s="6" t="s">
        <v>85</v>
      </c>
    </row>
    <row r="62" customFormat="false" ht="15" hidden="false" customHeight="false" outlineLevel="0" collapsed="false">
      <c r="A62" s="6" t="n">
        <v>61</v>
      </c>
      <c r="B62" s="6" t="s">
        <v>178</v>
      </c>
      <c r="C62" s="6" t="s">
        <v>396</v>
      </c>
      <c r="D62" s="6" t="s">
        <v>72</v>
      </c>
      <c r="E62" s="6" t="s">
        <v>226</v>
      </c>
      <c r="F62" s="6" t="s">
        <v>397</v>
      </c>
      <c r="G62" s="6" t="s">
        <v>187</v>
      </c>
      <c r="H62" s="6" t="s">
        <v>398</v>
      </c>
      <c r="I62" s="6" t="s">
        <v>163</v>
      </c>
      <c r="J62" s="7" t="n">
        <v>3498</v>
      </c>
      <c r="K62" s="6" t="str">
        <f aca="false">IF(J62&gt;=8000,"Luxury 8k+",IF(J62&gt;=5000,"Premium 5-8k",IF(J62&gt;=3000,"Upper-mid 3-5k","Entry-premium 2-3k")))</f>
        <v>Upper-mid 3-5k</v>
      </c>
      <c r="L62" s="8" t="s">
        <v>399</v>
      </c>
      <c r="M62" s="8" t="s">
        <v>183</v>
      </c>
      <c r="N62" s="6" t="s">
        <v>80</v>
      </c>
      <c r="O62" s="6" t="s">
        <v>81</v>
      </c>
      <c r="P62" s="6" t="s">
        <v>82</v>
      </c>
      <c r="Q62" s="6" t="s">
        <v>83</v>
      </c>
      <c r="R62" s="6" t="s">
        <v>83</v>
      </c>
      <c r="S62" s="9" t="s">
        <v>118</v>
      </c>
      <c r="T62" s="6" t="n">
        <v>56</v>
      </c>
      <c r="U62" s="6" t="s">
        <v>85</v>
      </c>
    </row>
    <row r="63" customFormat="false" ht="15" hidden="false" customHeight="false" outlineLevel="0" collapsed="false">
      <c r="A63" s="6" t="n">
        <v>62</v>
      </c>
      <c r="B63" s="6" t="s">
        <v>70</v>
      </c>
      <c r="C63" s="6" t="s">
        <v>400</v>
      </c>
      <c r="D63" s="6" t="s">
        <v>72</v>
      </c>
      <c r="E63" s="6" t="s">
        <v>401</v>
      </c>
      <c r="F63" s="6" t="s">
        <v>402</v>
      </c>
      <c r="G63" s="6" t="s">
        <v>75</v>
      </c>
      <c r="H63" s="6" t="s">
        <v>403</v>
      </c>
      <c r="I63" s="6" t="s">
        <v>77</v>
      </c>
      <c r="J63" s="7" t="n">
        <v>3496</v>
      </c>
      <c r="K63" s="6" t="str">
        <f aca="false">IF(J63&gt;=8000,"Luxury 8k+",IF(J63&gt;=5000,"Premium 5-8k",IF(J63&gt;=3000,"Upper-mid 3-5k","Entry-premium 2-3k")))</f>
        <v>Upper-mid 3-5k</v>
      </c>
      <c r="L63" s="8" t="s">
        <v>404</v>
      </c>
      <c r="M63" s="8" t="s">
        <v>79</v>
      </c>
      <c r="N63" s="6" t="s">
        <v>80</v>
      </c>
      <c r="O63" s="6" t="s">
        <v>81</v>
      </c>
      <c r="P63" s="6" t="s">
        <v>82</v>
      </c>
      <c r="Q63" s="6" t="s">
        <v>83</v>
      </c>
      <c r="R63" s="6" t="s">
        <v>83</v>
      </c>
      <c r="S63" s="9" t="s">
        <v>405</v>
      </c>
      <c r="T63" s="6" t="n">
        <v>64</v>
      </c>
      <c r="U63" s="6" t="s">
        <v>85</v>
      </c>
    </row>
    <row r="64" customFormat="false" ht="15" hidden="false" customHeight="false" outlineLevel="0" collapsed="false">
      <c r="A64" s="6" t="n">
        <v>63</v>
      </c>
      <c r="B64" s="6" t="s">
        <v>96</v>
      </c>
      <c r="C64" s="6" t="s">
        <v>406</v>
      </c>
      <c r="D64" s="6" t="s">
        <v>88</v>
      </c>
      <c r="E64" s="6" t="s">
        <v>407</v>
      </c>
      <c r="F64" s="6" t="s">
        <v>408</v>
      </c>
      <c r="G64" s="6" t="s">
        <v>75</v>
      </c>
      <c r="H64" s="6" t="s">
        <v>409</v>
      </c>
      <c r="I64" s="6" t="s">
        <v>410</v>
      </c>
      <c r="J64" s="7" t="n">
        <v>3490</v>
      </c>
      <c r="K64" s="6" t="str">
        <f aca="false">IF(J64&gt;=8000,"Luxury 8k+",IF(J64&gt;=5000,"Premium 5-8k",IF(J64&gt;=3000,"Upper-mid 3-5k","Entry-premium 2-3k")))</f>
        <v>Upper-mid 3-5k</v>
      </c>
      <c r="L64" s="8" t="s">
        <v>411</v>
      </c>
      <c r="M64" s="8" t="s">
        <v>103</v>
      </c>
      <c r="N64" s="6" t="s">
        <v>80</v>
      </c>
      <c r="O64" s="6" t="s">
        <v>81</v>
      </c>
      <c r="P64" s="6" t="s">
        <v>82</v>
      </c>
      <c r="Q64" s="6" t="s">
        <v>83</v>
      </c>
      <c r="R64" s="6" t="s">
        <v>83</v>
      </c>
      <c r="S64" s="9" t="s">
        <v>118</v>
      </c>
      <c r="T64" s="6" t="n">
        <v>60</v>
      </c>
      <c r="U64" s="6" t="s">
        <v>105</v>
      </c>
    </row>
    <row r="65" customFormat="false" ht="15" hidden="false" customHeight="false" outlineLevel="0" collapsed="false">
      <c r="A65" s="6" t="n">
        <v>64</v>
      </c>
      <c r="B65" s="6" t="s">
        <v>70</v>
      </c>
      <c r="C65" s="6" t="s">
        <v>412</v>
      </c>
      <c r="D65" s="6" t="s">
        <v>72</v>
      </c>
      <c r="E65" s="6" t="s">
        <v>193</v>
      </c>
      <c r="F65" s="6" t="s">
        <v>413</v>
      </c>
      <c r="G65" s="6" t="s">
        <v>75</v>
      </c>
      <c r="H65" s="6" t="s">
        <v>414</v>
      </c>
      <c r="I65" s="6" t="s">
        <v>205</v>
      </c>
      <c r="J65" s="7" t="n">
        <v>3435</v>
      </c>
      <c r="K65" s="6" t="str">
        <f aca="false">IF(J65&gt;=8000,"Luxury 8k+",IF(J65&gt;=5000,"Premium 5-8k",IF(J65&gt;=3000,"Upper-mid 3-5k","Entry-premium 2-3k")))</f>
        <v>Upper-mid 3-5k</v>
      </c>
      <c r="L65" s="8" t="s">
        <v>415</v>
      </c>
      <c r="M65" s="8" t="s">
        <v>79</v>
      </c>
      <c r="N65" s="6" t="s">
        <v>80</v>
      </c>
      <c r="O65" s="6" t="s">
        <v>81</v>
      </c>
      <c r="P65" s="6" t="s">
        <v>82</v>
      </c>
      <c r="Q65" s="6" t="s">
        <v>83</v>
      </c>
      <c r="R65" s="6" t="s">
        <v>83</v>
      </c>
      <c r="S65" s="9" t="s">
        <v>416</v>
      </c>
      <c r="T65" s="6" t="n">
        <v>58</v>
      </c>
      <c r="U65" s="6" t="s">
        <v>105</v>
      </c>
    </row>
    <row r="66" customFormat="false" ht="15" hidden="false" customHeight="false" outlineLevel="0" collapsed="false">
      <c r="A66" s="6" t="n">
        <v>65</v>
      </c>
      <c r="B66" s="6" t="s">
        <v>417</v>
      </c>
      <c r="C66" s="6" t="s">
        <v>418</v>
      </c>
      <c r="D66" s="6" t="s">
        <v>88</v>
      </c>
      <c r="E66" s="6" t="s">
        <v>202</v>
      </c>
      <c r="F66" s="6" t="s">
        <v>203</v>
      </c>
      <c r="G66" s="6" t="s">
        <v>75</v>
      </c>
      <c r="H66" s="6" t="s">
        <v>204</v>
      </c>
      <c r="I66" s="6" t="s">
        <v>205</v>
      </c>
      <c r="J66" s="7" t="n">
        <v>3400</v>
      </c>
      <c r="K66" s="6" t="str">
        <f aca="false">IF(J66&gt;=8000,"Luxury 8k+",IF(J66&gt;=5000,"Premium 5-8k",IF(J66&gt;=3000,"Upper-mid 3-5k","Entry-premium 2-3k")))</f>
        <v>Upper-mid 3-5k</v>
      </c>
      <c r="L66" s="8" t="s">
        <v>419</v>
      </c>
      <c r="M66" s="8" t="s">
        <v>420</v>
      </c>
      <c r="N66" s="6" t="s">
        <v>80</v>
      </c>
      <c r="O66" s="6" t="s">
        <v>81</v>
      </c>
      <c r="P66" s="6" t="s">
        <v>82</v>
      </c>
      <c r="Q66" s="6" t="s">
        <v>83</v>
      </c>
      <c r="R66" s="6" t="s">
        <v>83</v>
      </c>
      <c r="S66" s="9" t="s">
        <v>421</v>
      </c>
      <c r="T66" s="6" t="n">
        <v>74</v>
      </c>
      <c r="U66" s="6" t="s">
        <v>105</v>
      </c>
    </row>
    <row r="67" customFormat="false" ht="15" hidden="false" customHeight="false" outlineLevel="0" collapsed="false">
      <c r="A67" s="6" t="n">
        <v>66</v>
      </c>
      <c r="B67" s="6" t="s">
        <v>132</v>
      </c>
      <c r="C67" s="6" t="s">
        <v>422</v>
      </c>
      <c r="D67" s="6" t="s">
        <v>72</v>
      </c>
      <c r="E67" s="6" t="s">
        <v>73</v>
      </c>
      <c r="F67" s="6" t="s">
        <v>423</v>
      </c>
      <c r="G67" s="6" t="s">
        <v>75</v>
      </c>
      <c r="H67" s="6" t="s">
        <v>423</v>
      </c>
      <c r="I67" s="6" t="s">
        <v>163</v>
      </c>
      <c r="J67" s="7" t="n">
        <v>3352</v>
      </c>
      <c r="K67" s="6" t="str">
        <f aca="false">IF(J67&gt;=8000,"Luxury 8k+",IF(J67&gt;=5000,"Premium 5-8k",IF(J67&gt;=3000,"Upper-mid 3-5k","Entry-premium 2-3k")))</f>
        <v>Upper-mid 3-5k</v>
      </c>
      <c r="L67" s="8" t="s">
        <v>424</v>
      </c>
      <c r="M67" s="8" t="s">
        <v>138</v>
      </c>
      <c r="N67" s="6" t="s">
        <v>80</v>
      </c>
      <c r="O67" s="6" t="s">
        <v>81</v>
      </c>
      <c r="P67" s="6" t="s">
        <v>82</v>
      </c>
      <c r="Q67" s="6" t="s">
        <v>83</v>
      </c>
      <c r="R67" s="6" t="s">
        <v>83</v>
      </c>
      <c r="S67" s="9" t="s">
        <v>118</v>
      </c>
      <c r="T67" s="6" t="n">
        <v>48</v>
      </c>
      <c r="U67" s="6" t="s">
        <v>85</v>
      </c>
    </row>
    <row r="68" customFormat="false" ht="15" hidden="false" customHeight="false" outlineLevel="0" collapsed="false">
      <c r="A68" s="6" t="n">
        <v>67</v>
      </c>
      <c r="B68" s="6" t="s">
        <v>96</v>
      </c>
      <c r="C68" s="6" t="s">
        <v>425</v>
      </c>
      <c r="D68" s="6" t="s">
        <v>72</v>
      </c>
      <c r="E68" s="6" t="s">
        <v>231</v>
      </c>
      <c r="F68" s="6" t="s">
        <v>232</v>
      </c>
      <c r="G68" s="6" t="s">
        <v>75</v>
      </c>
      <c r="H68" s="6" t="s">
        <v>233</v>
      </c>
      <c r="I68" s="6" t="s">
        <v>426</v>
      </c>
      <c r="J68" s="7" t="n">
        <v>3190</v>
      </c>
      <c r="K68" s="6" t="str">
        <f aca="false">IF(J68&gt;=8000,"Luxury 8k+",IF(J68&gt;=5000,"Premium 5-8k",IF(J68&gt;=3000,"Upper-mid 3-5k","Entry-premium 2-3k")))</f>
        <v>Upper-mid 3-5k</v>
      </c>
      <c r="L68" s="8" t="s">
        <v>427</v>
      </c>
      <c r="M68" s="8" t="s">
        <v>103</v>
      </c>
      <c r="N68" s="6" t="s">
        <v>80</v>
      </c>
      <c r="O68" s="6" t="s">
        <v>81</v>
      </c>
      <c r="P68" s="6" t="s">
        <v>82</v>
      </c>
      <c r="Q68" s="6" t="s">
        <v>83</v>
      </c>
      <c r="R68" s="6" t="s">
        <v>83</v>
      </c>
      <c r="S68" s="9" t="s">
        <v>428</v>
      </c>
      <c r="T68" s="6" t="n">
        <v>80</v>
      </c>
      <c r="U68" s="6" t="s">
        <v>105</v>
      </c>
    </row>
    <row r="69" customFormat="false" ht="15" hidden="false" customHeight="false" outlineLevel="0" collapsed="false">
      <c r="A69" s="6" t="n">
        <v>68</v>
      </c>
      <c r="B69" s="6" t="s">
        <v>373</v>
      </c>
      <c r="C69" s="6" t="s">
        <v>429</v>
      </c>
      <c r="D69" s="6" t="s">
        <v>88</v>
      </c>
      <c r="E69" s="6" t="s">
        <v>202</v>
      </c>
      <c r="F69" s="6" t="s">
        <v>430</v>
      </c>
      <c r="G69" s="6" t="s">
        <v>75</v>
      </c>
      <c r="H69" s="6" t="s">
        <v>431</v>
      </c>
      <c r="I69" s="6" t="s">
        <v>205</v>
      </c>
      <c r="J69" s="7" t="n">
        <v>3144</v>
      </c>
      <c r="K69" s="6" t="str">
        <f aca="false">IF(J69&gt;=8000,"Luxury 8k+",IF(J69&gt;=5000,"Premium 5-8k",IF(J69&gt;=3000,"Upper-mid 3-5k","Entry-premium 2-3k")))</f>
        <v>Upper-mid 3-5k</v>
      </c>
      <c r="L69" s="8" t="s">
        <v>432</v>
      </c>
      <c r="M69" s="8" t="s">
        <v>377</v>
      </c>
      <c r="N69" s="6" t="s">
        <v>80</v>
      </c>
      <c r="O69" s="6" t="s">
        <v>81</v>
      </c>
      <c r="P69" s="6" t="s">
        <v>82</v>
      </c>
      <c r="Q69" s="6" t="s">
        <v>83</v>
      </c>
      <c r="R69" s="6" t="s">
        <v>83</v>
      </c>
      <c r="S69" s="9" t="s">
        <v>433</v>
      </c>
      <c r="T69" s="6" t="n">
        <v>70</v>
      </c>
      <c r="U69" s="6" t="s">
        <v>105</v>
      </c>
    </row>
    <row r="70" customFormat="false" ht="15" hidden="false" customHeight="false" outlineLevel="0" collapsed="false">
      <c r="A70" s="6" t="n">
        <v>69</v>
      </c>
      <c r="B70" s="6" t="s">
        <v>140</v>
      </c>
      <c r="C70" s="6" t="s">
        <v>434</v>
      </c>
      <c r="D70" s="6" t="s">
        <v>88</v>
      </c>
      <c r="E70" s="6" t="s">
        <v>333</v>
      </c>
      <c r="F70" s="6" t="s">
        <v>114</v>
      </c>
      <c r="G70" s="6" t="s">
        <v>75</v>
      </c>
      <c r="H70" s="6" t="s">
        <v>435</v>
      </c>
      <c r="I70" s="6" t="s">
        <v>347</v>
      </c>
      <c r="J70" s="7" t="n">
        <v>3100</v>
      </c>
      <c r="K70" s="6" t="str">
        <f aca="false">IF(J70&gt;=8000,"Luxury 8k+",IF(J70&gt;=5000,"Premium 5-8k",IF(J70&gt;=3000,"Upper-mid 3-5k","Entry-premium 2-3k")))</f>
        <v>Upper-mid 3-5k</v>
      </c>
      <c r="L70" s="8" t="s">
        <v>436</v>
      </c>
      <c r="M70" s="8" t="s">
        <v>146</v>
      </c>
      <c r="N70" s="6" t="s">
        <v>80</v>
      </c>
      <c r="O70" s="6" t="s">
        <v>81</v>
      </c>
      <c r="P70" s="6" t="s">
        <v>82</v>
      </c>
      <c r="Q70" s="6" t="s">
        <v>83</v>
      </c>
      <c r="R70" s="6" t="s">
        <v>83</v>
      </c>
      <c r="S70" s="9" t="s">
        <v>118</v>
      </c>
      <c r="T70" s="6" t="n">
        <v>52</v>
      </c>
      <c r="U70" s="6" t="s">
        <v>85</v>
      </c>
    </row>
    <row r="71" customFormat="false" ht="15" hidden="false" customHeight="false" outlineLevel="0" collapsed="false">
      <c r="A71" s="6" t="n">
        <v>70</v>
      </c>
      <c r="B71" s="6" t="s">
        <v>70</v>
      </c>
      <c r="C71" s="6" t="s">
        <v>437</v>
      </c>
      <c r="D71" s="6" t="s">
        <v>72</v>
      </c>
      <c r="E71" s="6" t="s">
        <v>269</v>
      </c>
      <c r="F71" s="6" t="s">
        <v>262</v>
      </c>
      <c r="G71" s="6" t="s">
        <v>263</v>
      </c>
      <c r="H71" s="6" t="s">
        <v>438</v>
      </c>
      <c r="I71" s="6" t="s">
        <v>439</v>
      </c>
      <c r="J71" s="7" t="n">
        <v>3091</v>
      </c>
      <c r="K71" s="6" t="str">
        <f aca="false">IF(J71&gt;=8000,"Luxury 8k+",IF(J71&gt;=5000,"Premium 5-8k",IF(J71&gt;=3000,"Upper-mid 3-5k","Entry-premium 2-3k")))</f>
        <v>Upper-mid 3-5k</v>
      </c>
      <c r="L71" s="8" t="s">
        <v>440</v>
      </c>
      <c r="M71" s="8" t="s">
        <v>79</v>
      </c>
      <c r="N71" s="6" t="s">
        <v>80</v>
      </c>
      <c r="O71" s="6" t="s">
        <v>81</v>
      </c>
      <c r="P71" s="6" t="s">
        <v>82</v>
      </c>
      <c r="Q71" s="6" t="s">
        <v>83</v>
      </c>
      <c r="R71" s="6" t="s">
        <v>83</v>
      </c>
      <c r="S71" s="9" t="s">
        <v>441</v>
      </c>
      <c r="T71" s="6" t="n">
        <v>68</v>
      </c>
      <c r="U71" s="6" t="s">
        <v>105</v>
      </c>
    </row>
    <row r="72" customFormat="false" ht="15" hidden="false" customHeight="false" outlineLevel="0" collapsed="false">
      <c r="A72" s="6" t="n">
        <v>71</v>
      </c>
      <c r="B72" s="6" t="s">
        <v>70</v>
      </c>
      <c r="C72" s="6" t="s">
        <v>442</v>
      </c>
      <c r="D72" s="6" t="s">
        <v>72</v>
      </c>
      <c r="E72" s="6" t="s">
        <v>73</v>
      </c>
      <c r="F72" s="6" t="s">
        <v>298</v>
      </c>
      <c r="G72" s="6" t="s">
        <v>75</v>
      </c>
      <c r="H72" s="6" t="s">
        <v>443</v>
      </c>
      <c r="I72" s="6" t="s">
        <v>77</v>
      </c>
      <c r="J72" s="7" t="n">
        <v>3037</v>
      </c>
      <c r="K72" s="6" t="str">
        <f aca="false">IF(J72&gt;=8000,"Luxury 8k+",IF(J72&gt;=5000,"Premium 5-8k",IF(J72&gt;=3000,"Upper-mid 3-5k","Entry-premium 2-3k")))</f>
        <v>Upper-mid 3-5k</v>
      </c>
      <c r="L72" s="8" t="s">
        <v>444</v>
      </c>
      <c r="M72" s="8" t="s">
        <v>79</v>
      </c>
      <c r="N72" s="6" t="s">
        <v>80</v>
      </c>
      <c r="O72" s="6" t="s">
        <v>81</v>
      </c>
      <c r="P72" s="6" t="s">
        <v>82</v>
      </c>
      <c r="Q72" s="6" t="s">
        <v>83</v>
      </c>
      <c r="R72" s="6" t="s">
        <v>83</v>
      </c>
      <c r="S72" s="9" t="s">
        <v>118</v>
      </c>
      <c r="T72" s="6" t="n">
        <v>44</v>
      </c>
      <c r="U72" s="6" t="s">
        <v>105</v>
      </c>
    </row>
    <row r="73" customFormat="false" ht="15" hidden="false" customHeight="false" outlineLevel="0" collapsed="false">
      <c r="A73" s="6" t="n">
        <v>72</v>
      </c>
      <c r="B73" s="6" t="s">
        <v>86</v>
      </c>
      <c r="C73" s="6" t="s">
        <v>445</v>
      </c>
      <c r="D73" s="6" t="s">
        <v>72</v>
      </c>
      <c r="E73" s="6" t="s">
        <v>167</v>
      </c>
      <c r="F73" s="6" t="s">
        <v>446</v>
      </c>
      <c r="G73" s="6" t="s">
        <v>75</v>
      </c>
      <c r="H73" s="6" t="s">
        <v>447</v>
      </c>
      <c r="I73" s="6" t="s">
        <v>448</v>
      </c>
      <c r="J73" s="7" t="n">
        <v>2991</v>
      </c>
      <c r="K73" s="6" t="str">
        <f aca="false">IF(J73&gt;=8000,"Luxury 8k+",IF(J73&gt;=5000,"Premium 5-8k",IF(J73&gt;=3000,"Upper-mid 3-5k","Entry-premium 2-3k")))</f>
        <v>Entry-premium 2-3k</v>
      </c>
      <c r="L73" s="8" t="s">
        <v>449</v>
      </c>
      <c r="M73" s="8" t="s">
        <v>94</v>
      </c>
      <c r="N73" s="6" t="s">
        <v>80</v>
      </c>
      <c r="O73" s="6" t="s">
        <v>81</v>
      </c>
      <c r="P73" s="6" t="s">
        <v>82</v>
      </c>
      <c r="Q73" s="6" t="s">
        <v>83</v>
      </c>
      <c r="R73" s="6" t="s">
        <v>83</v>
      </c>
      <c r="S73" s="9" t="s">
        <v>450</v>
      </c>
      <c r="T73" s="6" t="n">
        <v>72</v>
      </c>
      <c r="U73" s="6" t="s">
        <v>105</v>
      </c>
    </row>
    <row r="74" customFormat="false" ht="15" hidden="false" customHeight="false" outlineLevel="0" collapsed="false">
      <c r="A74" s="6" t="n">
        <v>73</v>
      </c>
      <c r="B74" s="6" t="s">
        <v>96</v>
      </c>
      <c r="C74" s="6" t="s">
        <v>451</v>
      </c>
      <c r="D74" s="6" t="s">
        <v>88</v>
      </c>
      <c r="E74" s="6" t="s">
        <v>107</v>
      </c>
      <c r="F74" s="6" t="s">
        <v>99</v>
      </c>
      <c r="G74" s="6" t="s">
        <v>75</v>
      </c>
      <c r="H74" s="6" t="s">
        <v>108</v>
      </c>
      <c r="I74" s="6" t="s">
        <v>105</v>
      </c>
      <c r="J74" s="7" t="n">
        <v>2990</v>
      </c>
      <c r="K74" s="6" t="str">
        <f aca="false">IF(J74&gt;=8000,"Luxury 8k+",IF(J74&gt;=5000,"Premium 5-8k",IF(J74&gt;=3000,"Upper-mid 3-5k","Entry-premium 2-3k")))</f>
        <v>Entry-premium 2-3k</v>
      </c>
      <c r="L74" s="8" t="s">
        <v>452</v>
      </c>
      <c r="M74" s="8" t="s">
        <v>103</v>
      </c>
      <c r="N74" s="6" t="s">
        <v>80</v>
      </c>
      <c r="O74" s="6" t="s">
        <v>81</v>
      </c>
      <c r="P74" s="6" t="s">
        <v>82</v>
      </c>
      <c r="Q74" s="6" t="s">
        <v>83</v>
      </c>
      <c r="R74" s="6" t="s">
        <v>83</v>
      </c>
      <c r="S74" s="9" t="s">
        <v>453</v>
      </c>
      <c r="T74" s="6" t="n">
        <v>78</v>
      </c>
      <c r="U74" s="6" t="s">
        <v>105</v>
      </c>
    </row>
    <row r="75" customFormat="false" ht="15" hidden="false" customHeight="false" outlineLevel="0" collapsed="false">
      <c r="A75" s="6" t="n">
        <v>74</v>
      </c>
      <c r="B75" s="6" t="s">
        <v>132</v>
      </c>
      <c r="C75" s="6" t="s">
        <v>454</v>
      </c>
      <c r="D75" s="6" t="s">
        <v>72</v>
      </c>
      <c r="E75" s="6" t="s">
        <v>193</v>
      </c>
      <c r="F75" s="6" t="s">
        <v>455</v>
      </c>
      <c r="G75" s="6" t="s">
        <v>263</v>
      </c>
      <c r="H75" s="6" t="s">
        <v>456</v>
      </c>
      <c r="I75" s="6" t="s">
        <v>205</v>
      </c>
      <c r="J75" s="7" t="n">
        <v>2966</v>
      </c>
      <c r="K75" s="6" t="str">
        <f aca="false">IF(J75&gt;=8000,"Luxury 8k+",IF(J75&gt;=5000,"Premium 5-8k",IF(J75&gt;=3000,"Upper-mid 3-5k","Entry-premium 2-3k")))</f>
        <v>Entry-premium 2-3k</v>
      </c>
      <c r="L75" s="8" t="s">
        <v>457</v>
      </c>
      <c r="M75" s="8" t="s">
        <v>138</v>
      </c>
      <c r="N75" s="6" t="s">
        <v>80</v>
      </c>
      <c r="O75" s="6" t="s">
        <v>81</v>
      </c>
      <c r="P75" s="6" t="s">
        <v>82</v>
      </c>
      <c r="Q75" s="6" t="s">
        <v>83</v>
      </c>
      <c r="R75" s="6" t="s">
        <v>83</v>
      </c>
      <c r="S75" s="9" t="s">
        <v>458</v>
      </c>
      <c r="T75" s="6" t="n">
        <v>70</v>
      </c>
      <c r="U75" s="6" t="s">
        <v>105</v>
      </c>
    </row>
    <row r="76" customFormat="false" ht="15" hidden="false" customHeight="false" outlineLevel="0" collapsed="false">
      <c r="A76" s="6" t="n">
        <v>75</v>
      </c>
      <c r="B76" s="6" t="s">
        <v>132</v>
      </c>
      <c r="C76" s="6" t="s">
        <v>459</v>
      </c>
      <c r="D76" s="6" t="s">
        <v>72</v>
      </c>
      <c r="E76" s="6" t="s">
        <v>73</v>
      </c>
      <c r="F76" s="6" t="s">
        <v>262</v>
      </c>
      <c r="G76" s="6" t="s">
        <v>263</v>
      </c>
      <c r="H76" s="6" t="s">
        <v>460</v>
      </c>
      <c r="I76" s="6" t="s">
        <v>163</v>
      </c>
      <c r="J76" s="7" t="n">
        <v>2922</v>
      </c>
      <c r="K76" s="6" t="str">
        <f aca="false">IF(J76&gt;=8000,"Luxury 8k+",IF(J76&gt;=5000,"Premium 5-8k",IF(J76&gt;=3000,"Upper-mid 3-5k","Entry-premium 2-3k")))</f>
        <v>Entry-premium 2-3k</v>
      </c>
      <c r="L76" s="8" t="s">
        <v>461</v>
      </c>
      <c r="M76" s="8" t="s">
        <v>138</v>
      </c>
      <c r="N76" s="6" t="s">
        <v>80</v>
      </c>
      <c r="O76" s="6" t="s">
        <v>81</v>
      </c>
      <c r="P76" s="6" t="s">
        <v>82</v>
      </c>
      <c r="Q76" s="6" t="s">
        <v>83</v>
      </c>
      <c r="R76" s="6" t="s">
        <v>83</v>
      </c>
      <c r="S76" s="9" t="s">
        <v>118</v>
      </c>
      <c r="T76" s="6" t="n">
        <v>42</v>
      </c>
      <c r="U76" s="6" t="s">
        <v>85</v>
      </c>
    </row>
    <row r="77" customFormat="false" ht="15" hidden="false" customHeight="false" outlineLevel="0" collapsed="false">
      <c r="A77" s="6" t="n">
        <v>76</v>
      </c>
      <c r="B77" s="6" t="s">
        <v>218</v>
      </c>
      <c r="C77" s="6" t="s">
        <v>462</v>
      </c>
      <c r="D77" s="6" t="s">
        <v>72</v>
      </c>
      <c r="E77" s="6" t="s">
        <v>73</v>
      </c>
      <c r="F77" s="6" t="s">
        <v>463</v>
      </c>
      <c r="G77" s="6" t="s">
        <v>75</v>
      </c>
      <c r="H77" s="6" t="s">
        <v>464</v>
      </c>
      <c r="I77" s="6" t="s">
        <v>101</v>
      </c>
      <c r="J77" s="7" t="n">
        <v>2700</v>
      </c>
      <c r="K77" s="6" t="str">
        <f aca="false">IF(J77&gt;=8000,"Luxury 8k+",IF(J77&gt;=5000,"Premium 5-8k",IF(J77&gt;=3000,"Upper-mid 3-5k","Entry-premium 2-3k")))</f>
        <v>Entry-premium 2-3k</v>
      </c>
      <c r="L77" s="8" t="s">
        <v>465</v>
      </c>
      <c r="M77" s="8" t="s">
        <v>223</v>
      </c>
      <c r="N77" s="6" t="s">
        <v>80</v>
      </c>
      <c r="O77" s="6" t="s">
        <v>81</v>
      </c>
      <c r="P77" s="6" t="s">
        <v>82</v>
      </c>
      <c r="Q77" s="6" t="s">
        <v>83</v>
      </c>
      <c r="R77" s="6" t="s">
        <v>83</v>
      </c>
      <c r="S77" s="9" t="s">
        <v>466</v>
      </c>
      <c r="T77" s="6" t="n">
        <v>50</v>
      </c>
      <c r="U77" s="6" t="s">
        <v>85</v>
      </c>
    </row>
    <row r="78" customFormat="false" ht="15" hidden="false" customHeight="false" outlineLevel="0" collapsed="false">
      <c r="A78" s="6" t="n">
        <v>77</v>
      </c>
      <c r="B78" s="6" t="s">
        <v>218</v>
      </c>
      <c r="C78" s="6" t="s">
        <v>467</v>
      </c>
      <c r="D78" s="6" t="s">
        <v>72</v>
      </c>
      <c r="E78" s="6" t="s">
        <v>73</v>
      </c>
      <c r="F78" s="6" t="s">
        <v>468</v>
      </c>
      <c r="G78" s="6" t="s">
        <v>75</v>
      </c>
      <c r="H78" s="6" t="s">
        <v>469</v>
      </c>
      <c r="I78" s="6" t="s">
        <v>101</v>
      </c>
      <c r="J78" s="7" t="n">
        <v>2700</v>
      </c>
      <c r="K78" s="6" t="str">
        <f aca="false">IF(J78&gt;=8000,"Luxury 8k+",IF(J78&gt;=5000,"Premium 5-8k",IF(J78&gt;=3000,"Upper-mid 3-5k","Entry-premium 2-3k")))</f>
        <v>Entry-premium 2-3k</v>
      </c>
      <c r="L78" s="8" t="s">
        <v>470</v>
      </c>
      <c r="M78" s="8" t="s">
        <v>223</v>
      </c>
      <c r="N78" s="6" t="s">
        <v>80</v>
      </c>
      <c r="O78" s="6" t="s">
        <v>81</v>
      </c>
      <c r="P78" s="6" t="s">
        <v>82</v>
      </c>
      <c r="Q78" s="6" t="s">
        <v>83</v>
      </c>
      <c r="R78" s="6" t="s">
        <v>83</v>
      </c>
      <c r="S78" s="9" t="s">
        <v>471</v>
      </c>
      <c r="T78" s="6" t="n">
        <v>50</v>
      </c>
      <c r="U78" s="6" t="s">
        <v>85</v>
      </c>
    </row>
    <row r="79" customFormat="false" ht="15" hidden="false" customHeight="false" outlineLevel="0" collapsed="false">
      <c r="A79" s="6" t="n">
        <v>78</v>
      </c>
      <c r="B79" s="6" t="s">
        <v>86</v>
      </c>
      <c r="C79" s="6" t="s">
        <v>472</v>
      </c>
      <c r="D79" s="6" t="s">
        <v>72</v>
      </c>
      <c r="E79" s="6" t="s">
        <v>473</v>
      </c>
      <c r="F79" s="6" t="s">
        <v>128</v>
      </c>
      <c r="G79" s="6" t="s">
        <v>75</v>
      </c>
      <c r="H79" s="6" t="s">
        <v>474</v>
      </c>
      <c r="I79" s="6" t="s">
        <v>439</v>
      </c>
      <c r="J79" s="7" t="n">
        <v>2670</v>
      </c>
      <c r="K79" s="6" t="str">
        <f aca="false">IF(J79&gt;=8000,"Luxury 8k+",IF(J79&gt;=5000,"Premium 5-8k",IF(J79&gt;=3000,"Upper-mid 3-5k","Entry-premium 2-3k")))</f>
        <v>Entry-premium 2-3k</v>
      </c>
      <c r="L79" s="8" t="s">
        <v>475</v>
      </c>
      <c r="M79" s="8" t="s">
        <v>94</v>
      </c>
      <c r="N79" s="6" t="s">
        <v>80</v>
      </c>
      <c r="O79" s="6" t="s">
        <v>81</v>
      </c>
      <c r="P79" s="6" t="s">
        <v>82</v>
      </c>
      <c r="Q79" s="6" t="s">
        <v>83</v>
      </c>
      <c r="R79" s="6" t="s">
        <v>83</v>
      </c>
      <c r="S79" s="9" t="s">
        <v>476</v>
      </c>
      <c r="T79" s="6" t="n">
        <v>64</v>
      </c>
      <c r="U79" s="6" t="s">
        <v>105</v>
      </c>
    </row>
    <row r="80" customFormat="false" ht="15" hidden="false" customHeight="false" outlineLevel="0" collapsed="false">
      <c r="A80" s="6" t="n">
        <v>79</v>
      </c>
      <c r="B80" s="6" t="s">
        <v>373</v>
      </c>
      <c r="C80" s="6" t="s">
        <v>477</v>
      </c>
      <c r="D80" s="6" t="s">
        <v>88</v>
      </c>
      <c r="E80" s="6" t="s">
        <v>311</v>
      </c>
      <c r="F80" s="6" t="s">
        <v>312</v>
      </c>
      <c r="G80" s="6" t="s">
        <v>75</v>
      </c>
      <c r="H80" s="6" t="s">
        <v>478</v>
      </c>
      <c r="I80" s="6" t="s">
        <v>163</v>
      </c>
      <c r="J80" s="7" t="n">
        <v>2649</v>
      </c>
      <c r="K80" s="6" t="str">
        <f aca="false">IF(J80&gt;=8000,"Luxury 8k+",IF(J80&gt;=5000,"Premium 5-8k",IF(J80&gt;=3000,"Upper-mid 3-5k","Entry-premium 2-3k")))</f>
        <v>Entry-premium 2-3k</v>
      </c>
      <c r="L80" s="8" t="s">
        <v>479</v>
      </c>
      <c r="M80" s="8" t="s">
        <v>377</v>
      </c>
      <c r="N80" s="6" t="s">
        <v>80</v>
      </c>
      <c r="O80" s="6" t="s">
        <v>81</v>
      </c>
      <c r="P80" s="6" t="s">
        <v>82</v>
      </c>
      <c r="Q80" s="6" t="s">
        <v>83</v>
      </c>
      <c r="R80" s="6" t="s">
        <v>83</v>
      </c>
      <c r="S80" s="9" t="s">
        <v>118</v>
      </c>
      <c r="T80" s="6" t="n">
        <v>52</v>
      </c>
      <c r="U80" s="6" t="s">
        <v>85</v>
      </c>
    </row>
    <row r="81" customFormat="false" ht="15" hidden="false" customHeight="false" outlineLevel="0" collapsed="false">
      <c r="A81" s="6" t="n">
        <v>80</v>
      </c>
      <c r="B81" s="6" t="s">
        <v>373</v>
      </c>
      <c r="C81" s="6" t="s">
        <v>480</v>
      </c>
      <c r="D81" s="6" t="s">
        <v>88</v>
      </c>
      <c r="E81" s="6" t="s">
        <v>113</v>
      </c>
      <c r="F81" s="6" t="s">
        <v>114</v>
      </c>
      <c r="G81" s="6" t="s">
        <v>75</v>
      </c>
      <c r="H81" s="6" t="s">
        <v>375</v>
      </c>
      <c r="I81" s="6" t="s">
        <v>101</v>
      </c>
      <c r="J81" s="7" t="n">
        <v>2599</v>
      </c>
      <c r="K81" s="6" t="str">
        <f aca="false">IF(J81&gt;=8000,"Luxury 8k+",IF(J81&gt;=5000,"Premium 5-8k",IF(J81&gt;=3000,"Upper-mid 3-5k","Entry-premium 2-3k")))</f>
        <v>Entry-premium 2-3k</v>
      </c>
      <c r="L81" s="8" t="s">
        <v>481</v>
      </c>
      <c r="M81" s="8" t="s">
        <v>377</v>
      </c>
      <c r="N81" s="6" t="s">
        <v>80</v>
      </c>
      <c r="O81" s="6" t="s">
        <v>81</v>
      </c>
      <c r="P81" s="6" t="s">
        <v>82</v>
      </c>
      <c r="Q81" s="6" t="s">
        <v>83</v>
      </c>
      <c r="R81" s="6" t="s">
        <v>83</v>
      </c>
      <c r="S81" s="9" t="s">
        <v>118</v>
      </c>
      <c r="T81" s="6" t="n">
        <v>52</v>
      </c>
      <c r="U81" s="6" t="s">
        <v>85</v>
      </c>
    </row>
    <row r="82" customFormat="false" ht="15" hidden="false" customHeight="false" outlineLevel="0" collapsed="false">
      <c r="A82" s="6" t="n">
        <v>81</v>
      </c>
      <c r="B82" s="6" t="s">
        <v>218</v>
      </c>
      <c r="C82" s="6" t="s">
        <v>482</v>
      </c>
      <c r="D82" s="6" t="s">
        <v>72</v>
      </c>
      <c r="E82" s="6" t="s">
        <v>269</v>
      </c>
      <c r="F82" s="6" t="s">
        <v>483</v>
      </c>
      <c r="G82" s="6" t="s">
        <v>484</v>
      </c>
      <c r="H82" s="6" t="s">
        <v>485</v>
      </c>
      <c r="I82" s="6" t="s">
        <v>439</v>
      </c>
      <c r="J82" s="7" t="n">
        <v>2580</v>
      </c>
      <c r="K82" s="6" t="str">
        <f aca="false">IF(J82&gt;=8000,"Luxury 8k+",IF(J82&gt;=5000,"Premium 5-8k",IF(J82&gt;=3000,"Upper-mid 3-5k","Entry-premium 2-3k")))</f>
        <v>Entry-premium 2-3k</v>
      </c>
      <c r="L82" s="8" t="s">
        <v>486</v>
      </c>
      <c r="M82" s="8" t="s">
        <v>223</v>
      </c>
      <c r="N82" s="6" t="s">
        <v>80</v>
      </c>
      <c r="O82" s="6" t="s">
        <v>81</v>
      </c>
      <c r="P82" s="6" t="s">
        <v>82</v>
      </c>
      <c r="Q82" s="6" t="s">
        <v>83</v>
      </c>
      <c r="R82" s="6" t="s">
        <v>83</v>
      </c>
      <c r="S82" s="9" t="s">
        <v>487</v>
      </c>
      <c r="T82" s="6" t="n">
        <v>60</v>
      </c>
      <c r="U82" s="6" t="s">
        <v>105</v>
      </c>
    </row>
    <row r="83" customFormat="false" ht="15" hidden="false" customHeight="false" outlineLevel="0" collapsed="false">
      <c r="A83" s="6" t="n">
        <v>82</v>
      </c>
      <c r="B83" s="6" t="s">
        <v>132</v>
      </c>
      <c r="C83" s="6" t="s">
        <v>488</v>
      </c>
      <c r="D83" s="6" t="s">
        <v>72</v>
      </c>
      <c r="E83" s="6" t="s">
        <v>473</v>
      </c>
      <c r="F83" s="6" t="s">
        <v>489</v>
      </c>
      <c r="G83" s="6" t="s">
        <v>75</v>
      </c>
      <c r="H83" s="6" t="s">
        <v>490</v>
      </c>
      <c r="I83" s="6" t="s">
        <v>439</v>
      </c>
      <c r="J83" s="7" t="n">
        <v>2579</v>
      </c>
      <c r="K83" s="6" t="str">
        <f aca="false">IF(J83&gt;=8000,"Luxury 8k+",IF(J83&gt;=5000,"Premium 5-8k",IF(J83&gt;=3000,"Upper-mid 3-5k","Entry-premium 2-3k")))</f>
        <v>Entry-premium 2-3k</v>
      </c>
      <c r="L83" s="8" t="s">
        <v>491</v>
      </c>
      <c r="M83" s="8" t="s">
        <v>138</v>
      </c>
      <c r="N83" s="6" t="s">
        <v>80</v>
      </c>
      <c r="O83" s="6" t="s">
        <v>81</v>
      </c>
      <c r="P83" s="6" t="s">
        <v>82</v>
      </c>
      <c r="Q83" s="6" t="s">
        <v>83</v>
      </c>
      <c r="R83" s="6" t="s">
        <v>83</v>
      </c>
      <c r="S83" s="9" t="s">
        <v>492</v>
      </c>
      <c r="T83" s="6" t="n">
        <v>62</v>
      </c>
      <c r="U83" s="6" t="s">
        <v>105</v>
      </c>
    </row>
    <row r="84" customFormat="false" ht="15" hidden="false" customHeight="false" outlineLevel="0" collapsed="false">
      <c r="A84" s="6" t="n">
        <v>83</v>
      </c>
      <c r="B84" s="6" t="s">
        <v>178</v>
      </c>
      <c r="C84" s="6" t="s">
        <v>493</v>
      </c>
      <c r="D84" s="6" t="s">
        <v>72</v>
      </c>
      <c r="E84" s="6" t="s">
        <v>193</v>
      </c>
      <c r="F84" s="6" t="s">
        <v>180</v>
      </c>
      <c r="G84" s="6" t="s">
        <v>155</v>
      </c>
      <c r="H84" s="6" t="s">
        <v>494</v>
      </c>
      <c r="I84" s="6" t="s">
        <v>205</v>
      </c>
      <c r="J84" s="7" t="n">
        <v>2499</v>
      </c>
      <c r="K84" s="6" t="str">
        <f aca="false">IF(J84&gt;=8000,"Luxury 8k+",IF(J84&gt;=5000,"Premium 5-8k",IF(J84&gt;=3000,"Upper-mid 3-5k","Entry-premium 2-3k")))</f>
        <v>Entry-premium 2-3k</v>
      </c>
      <c r="L84" s="8" t="s">
        <v>495</v>
      </c>
      <c r="M84" s="8" t="s">
        <v>183</v>
      </c>
      <c r="N84" s="6" t="s">
        <v>80</v>
      </c>
      <c r="O84" s="6" t="s">
        <v>81</v>
      </c>
      <c r="P84" s="6" t="s">
        <v>82</v>
      </c>
      <c r="Q84" s="6" t="s">
        <v>83</v>
      </c>
      <c r="R84" s="6" t="s">
        <v>83</v>
      </c>
      <c r="S84" s="9" t="s">
        <v>496</v>
      </c>
      <c r="T84" s="6" t="n">
        <v>60</v>
      </c>
      <c r="U84" s="6" t="s">
        <v>105</v>
      </c>
    </row>
    <row r="85" customFormat="false" ht="15" hidden="false" customHeight="false" outlineLevel="0" collapsed="false">
      <c r="A85" s="6" t="n">
        <v>84</v>
      </c>
      <c r="B85" s="6" t="s">
        <v>373</v>
      </c>
      <c r="C85" s="6" t="s">
        <v>497</v>
      </c>
      <c r="D85" s="6" t="s">
        <v>88</v>
      </c>
      <c r="E85" s="6" t="s">
        <v>498</v>
      </c>
      <c r="F85" s="6" t="s">
        <v>114</v>
      </c>
      <c r="G85" s="6" t="s">
        <v>75</v>
      </c>
      <c r="H85" s="6" t="s">
        <v>499</v>
      </c>
      <c r="I85" s="6" t="s">
        <v>500</v>
      </c>
      <c r="J85" s="7" t="n">
        <v>2499</v>
      </c>
      <c r="K85" s="6" t="str">
        <f aca="false">IF(J85&gt;=8000,"Luxury 8k+",IF(J85&gt;=5000,"Premium 5-8k",IF(J85&gt;=3000,"Upper-mid 3-5k","Entry-premium 2-3k")))</f>
        <v>Entry-premium 2-3k</v>
      </c>
      <c r="L85" s="8" t="s">
        <v>501</v>
      </c>
      <c r="M85" s="8" t="s">
        <v>377</v>
      </c>
      <c r="N85" s="6" t="s">
        <v>80</v>
      </c>
      <c r="O85" s="6" t="s">
        <v>81</v>
      </c>
      <c r="P85" s="6" t="s">
        <v>82</v>
      </c>
      <c r="Q85" s="6" t="s">
        <v>83</v>
      </c>
      <c r="R85" s="6" t="s">
        <v>83</v>
      </c>
      <c r="S85" s="9" t="s">
        <v>502</v>
      </c>
      <c r="T85" s="6" t="n">
        <v>58</v>
      </c>
      <c r="U85" s="6" t="s">
        <v>85</v>
      </c>
    </row>
    <row r="86" customFormat="false" ht="15" hidden="false" customHeight="false" outlineLevel="0" collapsed="false">
      <c r="A86" s="6" t="n">
        <v>85</v>
      </c>
      <c r="B86" s="6" t="s">
        <v>70</v>
      </c>
      <c r="C86" s="6" t="s">
        <v>503</v>
      </c>
      <c r="D86" s="6" t="s">
        <v>72</v>
      </c>
      <c r="E86" s="6" t="s">
        <v>193</v>
      </c>
      <c r="F86" s="6" t="s">
        <v>397</v>
      </c>
      <c r="G86" s="6" t="s">
        <v>135</v>
      </c>
      <c r="H86" s="6" t="s">
        <v>504</v>
      </c>
      <c r="I86" s="6" t="s">
        <v>205</v>
      </c>
      <c r="J86" s="7" t="n">
        <v>2489</v>
      </c>
      <c r="K86" s="6" t="str">
        <f aca="false">IF(J86&gt;=8000,"Luxury 8k+",IF(J86&gt;=5000,"Premium 5-8k",IF(J86&gt;=3000,"Upper-mid 3-5k","Entry-premium 2-3k")))</f>
        <v>Entry-premium 2-3k</v>
      </c>
      <c r="L86" s="8" t="s">
        <v>505</v>
      </c>
      <c r="M86" s="8" t="s">
        <v>79</v>
      </c>
      <c r="N86" s="6" t="s">
        <v>80</v>
      </c>
      <c r="O86" s="6" t="s">
        <v>81</v>
      </c>
      <c r="P86" s="6" t="s">
        <v>82</v>
      </c>
      <c r="Q86" s="6" t="s">
        <v>83</v>
      </c>
      <c r="R86" s="6" t="s">
        <v>83</v>
      </c>
      <c r="S86" s="9" t="s">
        <v>506</v>
      </c>
      <c r="T86" s="6" t="n">
        <v>74</v>
      </c>
      <c r="U86" s="6" t="s">
        <v>105</v>
      </c>
    </row>
    <row r="87" customFormat="false" ht="15" hidden="false" customHeight="false" outlineLevel="0" collapsed="false">
      <c r="A87" s="6" t="n">
        <v>86</v>
      </c>
      <c r="B87" s="6" t="s">
        <v>86</v>
      </c>
      <c r="C87" s="6" t="s">
        <v>507</v>
      </c>
      <c r="D87" s="6" t="s">
        <v>88</v>
      </c>
      <c r="E87" s="6" t="s">
        <v>508</v>
      </c>
      <c r="F87" s="6" t="s">
        <v>509</v>
      </c>
      <c r="G87" s="6" t="s">
        <v>75</v>
      </c>
      <c r="H87" s="6" t="s">
        <v>510</v>
      </c>
      <c r="I87" s="6" t="s">
        <v>511</v>
      </c>
      <c r="J87" s="7" t="n">
        <v>2473</v>
      </c>
      <c r="K87" s="6" t="str">
        <f aca="false">IF(J87&gt;=8000,"Luxury 8k+",IF(J87&gt;=5000,"Premium 5-8k",IF(J87&gt;=3000,"Upper-mid 3-5k","Entry-premium 2-3k")))</f>
        <v>Entry-premium 2-3k</v>
      </c>
      <c r="L87" s="8" t="s">
        <v>512</v>
      </c>
      <c r="M87" s="8" t="s">
        <v>94</v>
      </c>
      <c r="N87" s="6" t="s">
        <v>80</v>
      </c>
      <c r="O87" s="6" t="s">
        <v>81</v>
      </c>
      <c r="P87" s="6" t="s">
        <v>82</v>
      </c>
      <c r="Q87" s="6" t="s">
        <v>83</v>
      </c>
      <c r="R87" s="6" t="s">
        <v>83</v>
      </c>
      <c r="S87" s="9" t="s">
        <v>513</v>
      </c>
      <c r="T87" s="6" t="n">
        <v>58</v>
      </c>
      <c r="U87" s="6" t="s">
        <v>105</v>
      </c>
    </row>
    <row r="88" customFormat="false" ht="15" hidden="false" customHeight="false" outlineLevel="0" collapsed="false">
      <c r="A88" s="6" t="n">
        <v>87</v>
      </c>
      <c r="B88" s="6" t="s">
        <v>257</v>
      </c>
      <c r="C88" s="6" t="s">
        <v>514</v>
      </c>
      <c r="D88" s="6" t="s">
        <v>172</v>
      </c>
      <c r="E88" s="6" t="s">
        <v>515</v>
      </c>
      <c r="F88" s="6" t="s">
        <v>174</v>
      </c>
      <c r="G88" s="6" t="s">
        <v>75</v>
      </c>
      <c r="H88" s="6" t="s">
        <v>516</v>
      </c>
      <c r="I88" s="6" t="s">
        <v>517</v>
      </c>
      <c r="J88" s="7" t="n">
        <v>2468</v>
      </c>
      <c r="K88" s="6" t="str">
        <f aca="false">IF(J88&gt;=8000,"Luxury 8k+",IF(J88&gt;=5000,"Premium 5-8k",IF(J88&gt;=3000,"Upper-mid 3-5k","Entry-premium 2-3k")))</f>
        <v>Entry-premium 2-3k</v>
      </c>
      <c r="L88" s="8" t="s">
        <v>518</v>
      </c>
      <c r="M88" s="8" t="s">
        <v>260</v>
      </c>
      <c r="N88" s="6" t="s">
        <v>80</v>
      </c>
      <c r="O88" s="6" t="s">
        <v>81</v>
      </c>
      <c r="P88" s="6" t="s">
        <v>82</v>
      </c>
      <c r="Q88" s="6" t="s">
        <v>83</v>
      </c>
      <c r="R88" s="6" t="s">
        <v>83</v>
      </c>
      <c r="S88" s="9" t="s">
        <v>519</v>
      </c>
      <c r="T88" s="6" t="n">
        <v>68</v>
      </c>
      <c r="U88" s="6" t="s">
        <v>105</v>
      </c>
    </row>
    <row r="89" customFormat="false" ht="15" hidden="false" customHeight="false" outlineLevel="0" collapsed="false">
      <c r="A89" s="6" t="n">
        <v>88</v>
      </c>
      <c r="B89" s="6" t="s">
        <v>257</v>
      </c>
      <c r="C89" s="6" t="s">
        <v>520</v>
      </c>
      <c r="D89" s="6" t="s">
        <v>172</v>
      </c>
      <c r="E89" s="6" t="s">
        <v>515</v>
      </c>
      <c r="F89" s="6" t="s">
        <v>521</v>
      </c>
      <c r="G89" s="6" t="s">
        <v>75</v>
      </c>
      <c r="H89" s="6" t="s">
        <v>522</v>
      </c>
      <c r="I89" s="6" t="s">
        <v>517</v>
      </c>
      <c r="J89" s="7" t="n">
        <v>2468</v>
      </c>
      <c r="K89" s="6" t="str">
        <f aca="false">IF(J89&gt;=8000,"Luxury 8k+",IF(J89&gt;=5000,"Premium 5-8k",IF(J89&gt;=3000,"Upper-mid 3-5k","Entry-premium 2-3k")))</f>
        <v>Entry-premium 2-3k</v>
      </c>
      <c r="L89" s="8" t="s">
        <v>523</v>
      </c>
      <c r="M89" s="8" t="s">
        <v>260</v>
      </c>
      <c r="N89" s="6" t="s">
        <v>80</v>
      </c>
      <c r="O89" s="6" t="s">
        <v>81</v>
      </c>
      <c r="P89" s="6" t="s">
        <v>82</v>
      </c>
      <c r="Q89" s="6" t="s">
        <v>83</v>
      </c>
      <c r="R89" s="6" t="s">
        <v>83</v>
      </c>
      <c r="S89" s="9" t="s">
        <v>524</v>
      </c>
      <c r="T89" s="6" t="n">
        <v>64</v>
      </c>
      <c r="U89" s="6" t="s">
        <v>105</v>
      </c>
    </row>
    <row r="90" customFormat="false" ht="15" hidden="false" customHeight="false" outlineLevel="0" collapsed="false">
      <c r="A90" s="6" t="n">
        <v>89</v>
      </c>
      <c r="B90" s="6" t="s">
        <v>257</v>
      </c>
      <c r="C90" s="6" t="s">
        <v>525</v>
      </c>
      <c r="D90" s="6" t="s">
        <v>172</v>
      </c>
      <c r="E90" s="6" t="s">
        <v>515</v>
      </c>
      <c r="F90" s="6" t="s">
        <v>174</v>
      </c>
      <c r="G90" s="6" t="s">
        <v>75</v>
      </c>
      <c r="H90" s="6" t="s">
        <v>526</v>
      </c>
      <c r="I90" s="6" t="s">
        <v>517</v>
      </c>
      <c r="J90" s="7" t="n">
        <v>2468</v>
      </c>
      <c r="K90" s="6" t="str">
        <f aca="false">IF(J90&gt;=8000,"Luxury 8k+",IF(J90&gt;=5000,"Premium 5-8k",IF(J90&gt;=3000,"Upper-mid 3-5k","Entry-premium 2-3k")))</f>
        <v>Entry-premium 2-3k</v>
      </c>
      <c r="L90" s="8" t="s">
        <v>527</v>
      </c>
      <c r="M90" s="8" t="s">
        <v>260</v>
      </c>
      <c r="N90" s="6" t="s">
        <v>80</v>
      </c>
      <c r="O90" s="6" t="s">
        <v>81</v>
      </c>
      <c r="P90" s="6" t="s">
        <v>82</v>
      </c>
      <c r="Q90" s="6" t="s">
        <v>83</v>
      </c>
      <c r="R90" s="6" t="s">
        <v>83</v>
      </c>
      <c r="S90" s="9" t="s">
        <v>528</v>
      </c>
      <c r="T90" s="6" t="n">
        <v>70</v>
      </c>
      <c r="U90" s="6" t="s">
        <v>105</v>
      </c>
    </row>
    <row r="91" customFormat="false" ht="15" hidden="false" customHeight="false" outlineLevel="0" collapsed="false">
      <c r="A91" s="6" t="n">
        <v>90</v>
      </c>
      <c r="B91" s="6" t="s">
        <v>257</v>
      </c>
      <c r="C91" s="6" t="s">
        <v>529</v>
      </c>
      <c r="D91" s="6" t="s">
        <v>172</v>
      </c>
      <c r="E91" s="6" t="s">
        <v>515</v>
      </c>
      <c r="F91" s="6" t="s">
        <v>530</v>
      </c>
      <c r="G91" s="6" t="s">
        <v>317</v>
      </c>
      <c r="H91" s="6" t="s">
        <v>531</v>
      </c>
      <c r="I91" s="6" t="s">
        <v>517</v>
      </c>
      <c r="J91" s="7" t="n">
        <v>2468</v>
      </c>
      <c r="K91" s="6" t="str">
        <f aca="false">IF(J91&gt;=8000,"Luxury 8k+",IF(J91&gt;=5000,"Premium 5-8k",IF(J91&gt;=3000,"Upper-mid 3-5k","Entry-premium 2-3k")))</f>
        <v>Entry-premium 2-3k</v>
      </c>
      <c r="L91" s="8" t="s">
        <v>532</v>
      </c>
      <c r="M91" s="8" t="s">
        <v>260</v>
      </c>
      <c r="N91" s="6" t="s">
        <v>80</v>
      </c>
      <c r="O91" s="6" t="s">
        <v>81</v>
      </c>
      <c r="P91" s="6" t="s">
        <v>82</v>
      </c>
      <c r="Q91" s="6" t="s">
        <v>83</v>
      </c>
      <c r="R91" s="6" t="s">
        <v>83</v>
      </c>
      <c r="S91" s="9" t="s">
        <v>118</v>
      </c>
      <c r="T91" s="6" t="n">
        <v>58</v>
      </c>
      <c r="U91" s="6" t="s">
        <v>105</v>
      </c>
    </row>
    <row r="92" customFormat="false" ht="15" hidden="false" customHeight="false" outlineLevel="0" collapsed="false">
      <c r="A92" s="6" t="n">
        <v>91</v>
      </c>
      <c r="B92" s="6" t="s">
        <v>533</v>
      </c>
      <c r="C92" s="6" t="s">
        <v>534</v>
      </c>
      <c r="D92" s="6" t="s">
        <v>72</v>
      </c>
      <c r="E92" s="6" t="s">
        <v>73</v>
      </c>
      <c r="F92" s="6" t="s">
        <v>149</v>
      </c>
      <c r="G92" s="6" t="s">
        <v>75</v>
      </c>
      <c r="H92" s="6" t="s">
        <v>535</v>
      </c>
      <c r="I92" s="6" t="s">
        <v>92</v>
      </c>
      <c r="J92" s="7" t="n">
        <v>2400</v>
      </c>
      <c r="K92" s="6" t="str">
        <f aca="false">IF(J92&gt;=8000,"Luxury 8k+",IF(J92&gt;=5000,"Premium 5-8k",IF(J92&gt;=3000,"Upper-mid 3-5k","Entry-premium 2-3k")))</f>
        <v>Entry-premium 2-3k</v>
      </c>
      <c r="L92" s="8" t="s">
        <v>536</v>
      </c>
      <c r="M92" s="8" t="s">
        <v>537</v>
      </c>
      <c r="N92" s="6" t="s">
        <v>80</v>
      </c>
      <c r="O92" s="6" t="s">
        <v>81</v>
      </c>
      <c r="P92" s="6" t="s">
        <v>82</v>
      </c>
      <c r="Q92" s="6" t="s">
        <v>83</v>
      </c>
      <c r="R92" s="6" t="s">
        <v>83</v>
      </c>
      <c r="S92" s="9" t="s">
        <v>538</v>
      </c>
      <c r="T92" s="6" t="n">
        <v>58</v>
      </c>
      <c r="U92" s="6" t="s">
        <v>85</v>
      </c>
    </row>
    <row r="93" customFormat="false" ht="15" hidden="false" customHeight="false" outlineLevel="0" collapsed="false">
      <c r="A93" s="6" t="n">
        <v>92</v>
      </c>
      <c r="B93" s="6" t="s">
        <v>218</v>
      </c>
      <c r="C93" s="6" t="s">
        <v>539</v>
      </c>
      <c r="D93" s="6" t="s">
        <v>72</v>
      </c>
      <c r="E93" s="6" t="s">
        <v>73</v>
      </c>
      <c r="F93" s="6" t="s">
        <v>540</v>
      </c>
      <c r="G93" s="6" t="s">
        <v>75</v>
      </c>
      <c r="H93" s="6" t="s">
        <v>221</v>
      </c>
      <c r="I93" s="6" t="s">
        <v>92</v>
      </c>
      <c r="J93" s="7" t="n">
        <v>2399</v>
      </c>
      <c r="K93" s="6" t="str">
        <f aca="false">IF(J93&gt;=8000,"Luxury 8k+",IF(J93&gt;=5000,"Premium 5-8k",IF(J93&gt;=3000,"Upper-mid 3-5k","Entry-premium 2-3k")))</f>
        <v>Entry-premium 2-3k</v>
      </c>
      <c r="L93" s="8" t="s">
        <v>541</v>
      </c>
      <c r="M93" s="8" t="s">
        <v>223</v>
      </c>
      <c r="N93" s="6" t="s">
        <v>80</v>
      </c>
      <c r="O93" s="6" t="s">
        <v>81</v>
      </c>
      <c r="P93" s="6" t="s">
        <v>82</v>
      </c>
      <c r="Q93" s="6" t="s">
        <v>83</v>
      </c>
      <c r="R93" s="6" t="s">
        <v>83</v>
      </c>
      <c r="S93" s="9" t="s">
        <v>542</v>
      </c>
      <c r="T93" s="6" t="n">
        <v>78</v>
      </c>
      <c r="U93" s="6" t="s">
        <v>85</v>
      </c>
    </row>
    <row r="94" customFormat="false" ht="15" hidden="false" customHeight="false" outlineLevel="0" collapsed="false">
      <c r="A94" s="6" t="n">
        <v>93</v>
      </c>
      <c r="B94" s="6" t="s">
        <v>543</v>
      </c>
      <c r="C94" s="6" t="s">
        <v>544</v>
      </c>
      <c r="D94" s="6" t="s">
        <v>72</v>
      </c>
      <c r="E94" s="6" t="s">
        <v>73</v>
      </c>
      <c r="F94" s="6" t="s">
        <v>545</v>
      </c>
      <c r="G94" s="6" t="s">
        <v>75</v>
      </c>
      <c r="H94" s="6" t="s">
        <v>546</v>
      </c>
      <c r="I94" s="6" t="s">
        <v>547</v>
      </c>
      <c r="J94" s="7" t="n">
        <v>2370</v>
      </c>
      <c r="K94" s="6" t="str">
        <f aca="false">IF(J94&gt;=8000,"Luxury 8k+",IF(J94&gt;=5000,"Premium 5-8k",IF(J94&gt;=3000,"Upper-mid 3-5k","Entry-premium 2-3k")))</f>
        <v>Entry-premium 2-3k</v>
      </c>
      <c r="L94" s="8" t="s">
        <v>548</v>
      </c>
      <c r="M94" s="8" t="s">
        <v>549</v>
      </c>
      <c r="N94" s="6" t="s">
        <v>80</v>
      </c>
      <c r="O94" s="6" t="s">
        <v>81</v>
      </c>
      <c r="P94" s="6" t="s">
        <v>82</v>
      </c>
      <c r="Q94" s="6" t="s">
        <v>83</v>
      </c>
      <c r="R94" s="6" t="s">
        <v>83</v>
      </c>
      <c r="S94" s="9" t="s">
        <v>550</v>
      </c>
      <c r="T94" s="6" t="n">
        <v>62</v>
      </c>
      <c r="U94" s="6" t="s">
        <v>85</v>
      </c>
    </row>
    <row r="95" customFormat="false" ht="15" hidden="false" customHeight="false" outlineLevel="0" collapsed="false">
      <c r="A95" s="6" t="n">
        <v>94</v>
      </c>
      <c r="B95" s="6" t="s">
        <v>132</v>
      </c>
      <c r="C95" s="6" t="s">
        <v>551</v>
      </c>
      <c r="D95" s="6" t="s">
        <v>72</v>
      </c>
      <c r="E95" s="6" t="s">
        <v>552</v>
      </c>
      <c r="F95" s="6" t="s">
        <v>553</v>
      </c>
      <c r="G95" s="6" t="s">
        <v>75</v>
      </c>
      <c r="H95" s="6" t="s">
        <v>554</v>
      </c>
      <c r="I95" s="6" t="s">
        <v>116</v>
      </c>
      <c r="J95" s="7" t="n">
        <v>2363</v>
      </c>
      <c r="K95" s="6" t="str">
        <f aca="false">IF(J95&gt;=8000,"Luxury 8k+",IF(J95&gt;=5000,"Premium 5-8k",IF(J95&gt;=3000,"Upper-mid 3-5k","Entry-premium 2-3k")))</f>
        <v>Entry-premium 2-3k</v>
      </c>
      <c r="L95" s="8" t="s">
        <v>555</v>
      </c>
      <c r="M95" s="8" t="s">
        <v>138</v>
      </c>
      <c r="N95" s="6" t="s">
        <v>80</v>
      </c>
      <c r="O95" s="6" t="s">
        <v>81</v>
      </c>
      <c r="P95" s="6" t="s">
        <v>82</v>
      </c>
      <c r="Q95" s="6" t="s">
        <v>83</v>
      </c>
      <c r="R95" s="6" t="s">
        <v>83</v>
      </c>
      <c r="S95" s="9" t="s">
        <v>118</v>
      </c>
      <c r="T95" s="6" t="n">
        <v>44</v>
      </c>
      <c r="U95" s="6" t="s">
        <v>85</v>
      </c>
    </row>
    <row r="96" customFormat="false" ht="15" hidden="false" customHeight="false" outlineLevel="0" collapsed="false">
      <c r="A96" s="6" t="n">
        <v>95</v>
      </c>
      <c r="B96" s="6" t="s">
        <v>178</v>
      </c>
      <c r="C96" s="6" t="s">
        <v>556</v>
      </c>
      <c r="D96" s="6" t="s">
        <v>72</v>
      </c>
      <c r="E96" s="6" t="s">
        <v>193</v>
      </c>
      <c r="F96" s="6" t="s">
        <v>557</v>
      </c>
      <c r="G96" s="6" t="s">
        <v>558</v>
      </c>
      <c r="H96" s="6" t="s">
        <v>559</v>
      </c>
      <c r="I96" s="6" t="s">
        <v>205</v>
      </c>
      <c r="J96" s="7" t="n">
        <v>2299</v>
      </c>
      <c r="K96" s="6" t="str">
        <f aca="false">IF(J96&gt;=8000,"Luxury 8k+",IF(J96&gt;=5000,"Premium 5-8k",IF(J96&gt;=3000,"Upper-mid 3-5k","Entry-premium 2-3k")))</f>
        <v>Entry-premium 2-3k</v>
      </c>
      <c r="L96" s="8" t="s">
        <v>560</v>
      </c>
      <c r="M96" s="8" t="s">
        <v>183</v>
      </c>
      <c r="N96" s="6" t="s">
        <v>80</v>
      </c>
      <c r="O96" s="6" t="s">
        <v>81</v>
      </c>
      <c r="P96" s="6" t="s">
        <v>82</v>
      </c>
      <c r="Q96" s="6" t="s">
        <v>83</v>
      </c>
      <c r="R96" s="6" t="s">
        <v>83</v>
      </c>
      <c r="S96" s="9" t="s">
        <v>561</v>
      </c>
      <c r="T96" s="6" t="n">
        <v>66</v>
      </c>
      <c r="U96" s="6" t="s">
        <v>105</v>
      </c>
    </row>
    <row r="97" customFormat="false" ht="15" hidden="false" customHeight="false" outlineLevel="0" collapsed="false">
      <c r="A97" s="6" t="n">
        <v>96</v>
      </c>
      <c r="B97" s="6" t="s">
        <v>267</v>
      </c>
      <c r="C97" s="6" t="s">
        <v>562</v>
      </c>
      <c r="D97" s="6" t="s">
        <v>72</v>
      </c>
      <c r="E97" s="6" t="s">
        <v>269</v>
      </c>
      <c r="F97" s="6" t="s">
        <v>563</v>
      </c>
      <c r="G97" s="6" t="s">
        <v>564</v>
      </c>
      <c r="H97" s="6" t="s">
        <v>565</v>
      </c>
      <c r="I97" s="6" t="s">
        <v>566</v>
      </c>
      <c r="J97" s="7" t="n">
        <v>2250</v>
      </c>
      <c r="K97" s="6" t="str">
        <f aca="false">IF(J97&gt;=8000,"Luxury 8k+",IF(J97&gt;=5000,"Premium 5-8k",IF(J97&gt;=3000,"Upper-mid 3-5k","Entry-premium 2-3k")))</f>
        <v>Entry-premium 2-3k</v>
      </c>
      <c r="L97" s="8" t="s">
        <v>567</v>
      </c>
      <c r="M97" s="8" t="s">
        <v>273</v>
      </c>
      <c r="N97" s="6" t="s">
        <v>80</v>
      </c>
      <c r="O97" s="6" t="s">
        <v>81</v>
      </c>
      <c r="P97" s="6" t="s">
        <v>82</v>
      </c>
      <c r="Q97" s="6" t="s">
        <v>83</v>
      </c>
      <c r="R97" s="6" t="s">
        <v>83</v>
      </c>
      <c r="S97" s="9" t="s">
        <v>568</v>
      </c>
      <c r="T97" s="6" t="n">
        <v>78</v>
      </c>
      <c r="U97" s="6" t="s">
        <v>85</v>
      </c>
    </row>
    <row r="98" customFormat="false" ht="15" hidden="false" customHeight="false" outlineLevel="0" collapsed="false">
      <c r="A98" s="6" t="n">
        <v>97</v>
      </c>
      <c r="B98" s="6" t="s">
        <v>132</v>
      </c>
      <c r="C98" s="6" t="s">
        <v>569</v>
      </c>
      <c r="D98" s="6" t="s">
        <v>72</v>
      </c>
      <c r="E98" s="6" t="s">
        <v>193</v>
      </c>
      <c r="F98" s="6" t="s">
        <v>180</v>
      </c>
      <c r="G98" s="6" t="s">
        <v>75</v>
      </c>
      <c r="H98" s="6" t="s">
        <v>570</v>
      </c>
      <c r="I98" s="6" t="s">
        <v>205</v>
      </c>
      <c r="J98" s="7" t="n">
        <v>2235</v>
      </c>
      <c r="K98" s="6" t="str">
        <f aca="false">IF(J98&gt;=8000,"Luxury 8k+",IF(J98&gt;=5000,"Premium 5-8k",IF(J98&gt;=3000,"Upper-mid 3-5k","Entry-premium 2-3k")))</f>
        <v>Entry-premium 2-3k</v>
      </c>
      <c r="L98" s="8" t="s">
        <v>571</v>
      </c>
      <c r="M98" s="8" t="s">
        <v>138</v>
      </c>
      <c r="N98" s="6" t="s">
        <v>80</v>
      </c>
      <c r="O98" s="6" t="s">
        <v>81</v>
      </c>
      <c r="P98" s="6" t="s">
        <v>82</v>
      </c>
      <c r="Q98" s="6" t="s">
        <v>83</v>
      </c>
      <c r="R98" s="6" t="s">
        <v>83</v>
      </c>
      <c r="S98" s="9" t="s">
        <v>118</v>
      </c>
      <c r="T98" s="6" t="n">
        <v>56</v>
      </c>
      <c r="U98" s="6" t="s">
        <v>105</v>
      </c>
    </row>
    <row r="99" customFormat="false" ht="15" hidden="false" customHeight="false" outlineLevel="0" collapsed="false">
      <c r="A99" s="6" t="n">
        <v>98</v>
      </c>
      <c r="B99" s="6" t="s">
        <v>70</v>
      </c>
      <c r="C99" s="6" t="s">
        <v>572</v>
      </c>
      <c r="D99" s="6" t="s">
        <v>172</v>
      </c>
      <c r="E99" s="6" t="s">
        <v>573</v>
      </c>
      <c r="F99" s="6" t="s">
        <v>574</v>
      </c>
      <c r="G99" s="6" t="s">
        <v>575</v>
      </c>
      <c r="H99" s="6" t="s">
        <v>576</v>
      </c>
      <c r="I99" s="6" t="s">
        <v>517</v>
      </c>
      <c r="J99" s="7" t="n">
        <v>2231</v>
      </c>
      <c r="K99" s="6" t="str">
        <f aca="false">IF(J99&gt;=8000,"Luxury 8k+",IF(J99&gt;=5000,"Premium 5-8k",IF(J99&gt;=3000,"Upper-mid 3-5k","Entry-premium 2-3k")))</f>
        <v>Entry-premium 2-3k</v>
      </c>
      <c r="L99" s="8" t="s">
        <v>577</v>
      </c>
      <c r="M99" s="8" t="s">
        <v>79</v>
      </c>
      <c r="N99" s="6" t="s">
        <v>80</v>
      </c>
      <c r="O99" s="6" t="s">
        <v>81</v>
      </c>
      <c r="P99" s="6" t="s">
        <v>82</v>
      </c>
      <c r="Q99" s="6" t="s">
        <v>83</v>
      </c>
      <c r="R99" s="6" t="s">
        <v>83</v>
      </c>
      <c r="S99" s="9" t="s">
        <v>229</v>
      </c>
      <c r="T99" s="6" t="n">
        <v>52</v>
      </c>
      <c r="U99" s="6" t="s">
        <v>105</v>
      </c>
    </row>
    <row r="100" customFormat="false" ht="15" hidden="false" customHeight="false" outlineLevel="0" collapsed="false">
      <c r="A100" s="6" t="n">
        <v>99</v>
      </c>
      <c r="B100" s="6" t="s">
        <v>178</v>
      </c>
      <c r="C100" s="6" t="s">
        <v>578</v>
      </c>
      <c r="D100" s="6" t="s">
        <v>72</v>
      </c>
      <c r="E100" s="6" t="s">
        <v>579</v>
      </c>
      <c r="F100" s="6" t="s">
        <v>580</v>
      </c>
      <c r="G100" s="6" t="s">
        <v>75</v>
      </c>
      <c r="H100" s="6" t="s">
        <v>581</v>
      </c>
      <c r="I100" s="6" t="s">
        <v>517</v>
      </c>
      <c r="J100" s="7" t="n">
        <v>2200</v>
      </c>
      <c r="K100" s="6" t="str">
        <f aca="false">IF(J100&gt;=8000,"Luxury 8k+",IF(J100&gt;=5000,"Premium 5-8k",IF(J100&gt;=3000,"Upper-mid 3-5k","Entry-premium 2-3k")))</f>
        <v>Entry-premium 2-3k</v>
      </c>
      <c r="L100" s="8" t="s">
        <v>582</v>
      </c>
      <c r="M100" s="8" t="s">
        <v>183</v>
      </c>
      <c r="N100" s="6" t="s">
        <v>80</v>
      </c>
      <c r="O100" s="6" t="s">
        <v>81</v>
      </c>
      <c r="P100" s="6" t="s">
        <v>82</v>
      </c>
      <c r="Q100" s="6" t="s">
        <v>83</v>
      </c>
      <c r="R100" s="6" t="s">
        <v>83</v>
      </c>
      <c r="S100" s="9" t="s">
        <v>583</v>
      </c>
      <c r="T100" s="6" t="n">
        <v>80</v>
      </c>
      <c r="U100" s="6" t="s">
        <v>105</v>
      </c>
    </row>
    <row r="101" customFormat="false" ht="15" hidden="false" customHeight="false" outlineLevel="0" collapsed="false">
      <c r="A101" s="6" t="n">
        <v>100</v>
      </c>
      <c r="B101" s="6" t="s">
        <v>178</v>
      </c>
      <c r="C101" s="6" t="s">
        <v>584</v>
      </c>
      <c r="D101" s="6" t="s">
        <v>72</v>
      </c>
      <c r="E101" s="6" t="s">
        <v>231</v>
      </c>
      <c r="F101" s="6" t="s">
        <v>232</v>
      </c>
      <c r="G101" s="6" t="s">
        <v>75</v>
      </c>
      <c r="H101" s="6" t="s">
        <v>585</v>
      </c>
      <c r="I101" s="6" t="s">
        <v>335</v>
      </c>
      <c r="J101" s="7" t="n">
        <v>2199</v>
      </c>
      <c r="K101" s="6" t="str">
        <f aca="false">IF(J101&gt;=8000,"Luxury 8k+",IF(J101&gt;=5000,"Premium 5-8k",IF(J101&gt;=3000,"Upper-mid 3-5k","Entry-premium 2-3k")))</f>
        <v>Entry-premium 2-3k</v>
      </c>
      <c r="L101" s="8" t="s">
        <v>586</v>
      </c>
      <c r="M101" s="8" t="s">
        <v>183</v>
      </c>
      <c r="N101" s="6" t="s">
        <v>80</v>
      </c>
      <c r="O101" s="6" t="s">
        <v>81</v>
      </c>
      <c r="P101" s="6" t="s">
        <v>82</v>
      </c>
      <c r="Q101" s="6" t="s">
        <v>83</v>
      </c>
      <c r="R101" s="6" t="s">
        <v>83</v>
      </c>
      <c r="S101" s="9" t="s">
        <v>587</v>
      </c>
      <c r="T101" s="6" t="n">
        <v>76</v>
      </c>
      <c r="U101" s="6" t="s">
        <v>105</v>
      </c>
    </row>
    <row r="102" customFormat="false" ht="15" hidden="false" customHeight="false" outlineLevel="0" collapsed="false">
      <c r="A102" s="6" t="n">
        <v>101</v>
      </c>
      <c r="B102" s="6" t="s">
        <v>178</v>
      </c>
      <c r="C102" s="6" t="s">
        <v>588</v>
      </c>
      <c r="D102" s="6" t="s">
        <v>72</v>
      </c>
      <c r="E102" s="6" t="s">
        <v>193</v>
      </c>
      <c r="F102" s="6" t="s">
        <v>589</v>
      </c>
      <c r="G102" s="6" t="s">
        <v>75</v>
      </c>
      <c r="H102" s="6" t="s">
        <v>590</v>
      </c>
      <c r="I102" s="6" t="s">
        <v>205</v>
      </c>
      <c r="J102" s="7" t="n">
        <v>2199</v>
      </c>
      <c r="K102" s="6" t="str">
        <f aca="false">IF(J102&gt;=8000,"Luxury 8k+",IF(J102&gt;=5000,"Premium 5-8k",IF(J102&gt;=3000,"Upper-mid 3-5k","Entry-premium 2-3k")))</f>
        <v>Entry-premium 2-3k</v>
      </c>
      <c r="L102" s="8" t="s">
        <v>591</v>
      </c>
      <c r="M102" s="8" t="s">
        <v>183</v>
      </c>
      <c r="N102" s="6" t="s">
        <v>80</v>
      </c>
      <c r="O102" s="6" t="s">
        <v>81</v>
      </c>
      <c r="P102" s="6" t="s">
        <v>82</v>
      </c>
      <c r="Q102" s="6" t="s">
        <v>83</v>
      </c>
      <c r="R102" s="6" t="s">
        <v>83</v>
      </c>
      <c r="S102" s="9" t="s">
        <v>592</v>
      </c>
      <c r="T102" s="6" t="n">
        <v>74</v>
      </c>
      <c r="U102" s="6" t="s">
        <v>105</v>
      </c>
    </row>
    <row r="103" customFormat="false" ht="15" hidden="false" customHeight="false" outlineLevel="0" collapsed="false">
      <c r="A103" s="6" t="n">
        <v>102</v>
      </c>
      <c r="B103" s="6" t="s">
        <v>178</v>
      </c>
      <c r="C103" s="6" t="s">
        <v>593</v>
      </c>
      <c r="D103" s="6" t="s">
        <v>72</v>
      </c>
      <c r="E103" s="6" t="s">
        <v>226</v>
      </c>
      <c r="F103" s="6" t="s">
        <v>134</v>
      </c>
      <c r="G103" s="6" t="s">
        <v>135</v>
      </c>
      <c r="H103" s="6" t="s">
        <v>227</v>
      </c>
      <c r="I103" s="6" t="s">
        <v>205</v>
      </c>
      <c r="J103" s="7" t="n">
        <v>2199</v>
      </c>
      <c r="K103" s="6" t="str">
        <f aca="false">IF(J103&gt;=8000,"Luxury 8k+",IF(J103&gt;=5000,"Premium 5-8k",IF(J103&gt;=3000,"Upper-mid 3-5k","Entry-premium 2-3k")))</f>
        <v>Entry-premium 2-3k</v>
      </c>
      <c r="L103" s="8" t="s">
        <v>594</v>
      </c>
      <c r="M103" s="8" t="s">
        <v>183</v>
      </c>
      <c r="N103" s="6" t="s">
        <v>80</v>
      </c>
      <c r="O103" s="6" t="s">
        <v>81</v>
      </c>
      <c r="P103" s="6" t="s">
        <v>82</v>
      </c>
      <c r="Q103" s="6" t="s">
        <v>83</v>
      </c>
      <c r="R103" s="6" t="s">
        <v>83</v>
      </c>
      <c r="S103" s="9" t="s">
        <v>595</v>
      </c>
      <c r="T103" s="6" t="n">
        <v>76</v>
      </c>
      <c r="U103" s="6" t="s">
        <v>105</v>
      </c>
    </row>
    <row r="104" customFormat="false" ht="15" hidden="false" customHeight="false" outlineLevel="0" collapsed="false">
      <c r="A104" s="6" t="n">
        <v>103</v>
      </c>
      <c r="B104" s="6" t="s">
        <v>218</v>
      </c>
      <c r="C104" s="6" t="s">
        <v>596</v>
      </c>
      <c r="D104" s="6" t="s">
        <v>72</v>
      </c>
      <c r="E104" s="6" t="s">
        <v>193</v>
      </c>
      <c r="F104" s="6" t="s">
        <v>597</v>
      </c>
      <c r="G104" s="6" t="s">
        <v>75</v>
      </c>
      <c r="H104" s="6" t="s">
        <v>598</v>
      </c>
      <c r="I104" s="6" t="s">
        <v>205</v>
      </c>
      <c r="J104" s="7" t="n">
        <v>2150</v>
      </c>
      <c r="K104" s="6" t="str">
        <f aca="false">IF(J104&gt;=8000,"Luxury 8k+",IF(J104&gt;=5000,"Premium 5-8k",IF(J104&gt;=3000,"Upper-mid 3-5k","Entry-premium 2-3k")))</f>
        <v>Entry-premium 2-3k</v>
      </c>
      <c r="L104" s="8" t="s">
        <v>599</v>
      </c>
      <c r="M104" s="8" t="s">
        <v>223</v>
      </c>
      <c r="N104" s="6" t="s">
        <v>80</v>
      </c>
      <c r="O104" s="6" t="s">
        <v>81</v>
      </c>
      <c r="P104" s="6" t="s">
        <v>82</v>
      </c>
      <c r="Q104" s="6" t="s">
        <v>83</v>
      </c>
      <c r="R104" s="6" t="s">
        <v>83</v>
      </c>
      <c r="S104" s="9" t="s">
        <v>600</v>
      </c>
      <c r="T104" s="6" t="n">
        <v>72</v>
      </c>
      <c r="U104" s="6" t="s">
        <v>105</v>
      </c>
    </row>
    <row r="105" customFormat="false" ht="15" hidden="false" customHeight="false" outlineLevel="0" collapsed="false">
      <c r="A105" s="6" t="n">
        <v>104</v>
      </c>
      <c r="B105" s="6" t="s">
        <v>178</v>
      </c>
      <c r="C105" s="6" t="s">
        <v>601</v>
      </c>
      <c r="D105" s="6" t="s">
        <v>72</v>
      </c>
      <c r="E105" s="6" t="s">
        <v>552</v>
      </c>
      <c r="F105" s="6" t="s">
        <v>553</v>
      </c>
      <c r="G105" s="6" t="s">
        <v>75</v>
      </c>
      <c r="H105" s="6" t="s">
        <v>602</v>
      </c>
      <c r="I105" s="6" t="s">
        <v>517</v>
      </c>
      <c r="J105" s="7" t="n">
        <v>2100</v>
      </c>
      <c r="K105" s="6" t="str">
        <f aca="false">IF(J105&gt;=8000,"Luxury 8k+",IF(J105&gt;=5000,"Premium 5-8k",IF(J105&gt;=3000,"Upper-mid 3-5k","Entry-premium 2-3k")))</f>
        <v>Entry-premium 2-3k</v>
      </c>
      <c r="L105" s="8" t="s">
        <v>603</v>
      </c>
      <c r="M105" s="8" t="s">
        <v>183</v>
      </c>
      <c r="N105" s="6" t="s">
        <v>80</v>
      </c>
      <c r="O105" s="6" t="s">
        <v>81</v>
      </c>
      <c r="P105" s="6" t="s">
        <v>82</v>
      </c>
      <c r="Q105" s="6" t="s">
        <v>83</v>
      </c>
      <c r="R105" s="6" t="s">
        <v>83</v>
      </c>
      <c r="S105" s="9" t="s">
        <v>604</v>
      </c>
      <c r="T105" s="6" t="n">
        <v>58</v>
      </c>
      <c r="U105" s="6" t="s">
        <v>105</v>
      </c>
    </row>
    <row r="106" customFormat="false" ht="15" hidden="false" customHeight="false" outlineLevel="0" collapsed="false">
      <c r="A106" s="6" t="n">
        <v>105</v>
      </c>
      <c r="B106" s="6" t="s">
        <v>218</v>
      </c>
      <c r="C106" s="6" t="s">
        <v>605</v>
      </c>
      <c r="D106" s="6" t="s">
        <v>72</v>
      </c>
      <c r="E106" s="6" t="s">
        <v>73</v>
      </c>
      <c r="F106" s="6" t="s">
        <v>298</v>
      </c>
      <c r="G106" s="6" t="s">
        <v>75</v>
      </c>
      <c r="H106" s="6" t="s">
        <v>606</v>
      </c>
      <c r="I106" s="6" t="s">
        <v>163</v>
      </c>
      <c r="J106" s="7" t="n">
        <v>2100</v>
      </c>
      <c r="K106" s="6" t="str">
        <f aca="false">IF(J106&gt;=8000,"Luxury 8k+",IF(J106&gt;=5000,"Premium 5-8k",IF(J106&gt;=3000,"Upper-mid 3-5k","Entry-premium 2-3k")))</f>
        <v>Entry-premium 2-3k</v>
      </c>
      <c r="L106" s="8" t="s">
        <v>607</v>
      </c>
      <c r="M106" s="8" t="s">
        <v>223</v>
      </c>
      <c r="N106" s="6" t="s">
        <v>80</v>
      </c>
      <c r="O106" s="6" t="s">
        <v>81</v>
      </c>
      <c r="P106" s="6" t="s">
        <v>82</v>
      </c>
      <c r="Q106" s="6" t="s">
        <v>83</v>
      </c>
      <c r="R106" s="6" t="s">
        <v>83</v>
      </c>
      <c r="S106" s="9" t="s">
        <v>608</v>
      </c>
      <c r="T106" s="6" t="n">
        <v>45</v>
      </c>
      <c r="U106" s="6" t="s">
        <v>85</v>
      </c>
    </row>
    <row r="107" customFormat="false" ht="15" hidden="false" customHeight="false" outlineLevel="0" collapsed="false">
      <c r="A107" s="6" t="n">
        <v>106</v>
      </c>
      <c r="B107" s="6" t="s">
        <v>218</v>
      </c>
      <c r="C107" s="6" t="s">
        <v>609</v>
      </c>
      <c r="D107" s="6" t="s">
        <v>72</v>
      </c>
      <c r="E107" s="6" t="s">
        <v>73</v>
      </c>
      <c r="F107" s="6" t="s">
        <v>298</v>
      </c>
      <c r="G107" s="6" t="s">
        <v>75</v>
      </c>
      <c r="H107" s="6" t="s">
        <v>443</v>
      </c>
      <c r="I107" s="6" t="s">
        <v>101</v>
      </c>
      <c r="J107" s="7" t="n">
        <v>2100</v>
      </c>
      <c r="K107" s="6" t="str">
        <f aca="false">IF(J107&gt;=8000,"Luxury 8k+",IF(J107&gt;=5000,"Premium 5-8k",IF(J107&gt;=3000,"Upper-mid 3-5k","Entry-premium 2-3k")))</f>
        <v>Entry-premium 2-3k</v>
      </c>
      <c r="L107" s="8" t="s">
        <v>610</v>
      </c>
      <c r="M107" s="8" t="s">
        <v>223</v>
      </c>
      <c r="N107" s="6" t="s">
        <v>80</v>
      </c>
      <c r="O107" s="6" t="s">
        <v>81</v>
      </c>
      <c r="P107" s="6" t="s">
        <v>82</v>
      </c>
      <c r="Q107" s="6" t="s">
        <v>83</v>
      </c>
      <c r="R107" s="6" t="s">
        <v>83</v>
      </c>
      <c r="S107" s="9" t="s">
        <v>608</v>
      </c>
      <c r="T107" s="6" t="n">
        <v>45</v>
      </c>
      <c r="U107" s="6" t="s">
        <v>105</v>
      </c>
    </row>
    <row r="108" customFormat="false" ht="15" hidden="false" customHeight="false" outlineLevel="0" collapsed="false">
      <c r="A108" s="6" t="n">
        <v>107</v>
      </c>
      <c r="B108" s="6" t="s">
        <v>373</v>
      </c>
      <c r="C108" s="6" t="s">
        <v>611</v>
      </c>
      <c r="D108" s="6" t="s">
        <v>88</v>
      </c>
      <c r="E108" s="6" t="s">
        <v>611</v>
      </c>
      <c r="F108" s="6" t="s">
        <v>612</v>
      </c>
      <c r="G108" s="6" t="s">
        <v>75</v>
      </c>
      <c r="H108" s="6" t="s">
        <v>613</v>
      </c>
      <c r="I108" s="6" t="s">
        <v>335</v>
      </c>
      <c r="J108" s="7" t="n">
        <v>2079</v>
      </c>
      <c r="K108" s="6" t="str">
        <f aca="false">IF(J108&gt;=8000,"Luxury 8k+",IF(J108&gt;=5000,"Premium 5-8k",IF(J108&gt;=3000,"Upper-mid 3-5k","Entry-premium 2-3k")))</f>
        <v>Entry-premium 2-3k</v>
      </c>
      <c r="L108" s="8" t="s">
        <v>614</v>
      </c>
      <c r="M108" s="8" t="s">
        <v>377</v>
      </c>
      <c r="N108" s="6" t="s">
        <v>80</v>
      </c>
      <c r="O108" s="6" t="s">
        <v>81</v>
      </c>
      <c r="P108" s="6" t="s">
        <v>82</v>
      </c>
      <c r="Q108" s="6" t="s">
        <v>83</v>
      </c>
      <c r="R108" s="6" t="s">
        <v>83</v>
      </c>
      <c r="S108" s="9" t="s">
        <v>118</v>
      </c>
      <c r="T108" s="6" t="n">
        <v>56</v>
      </c>
      <c r="U108" s="6" t="s">
        <v>105</v>
      </c>
    </row>
    <row r="109" customFormat="false" ht="15" hidden="false" customHeight="false" outlineLevel="0" collapsed="false">
      <c r="A109" s="6" t="n">
        <v>108</v>
      </c>
      <c r="B109" s="6" t="s">
        <v>218</v>
      </c>
      <c r="C109" s="6" t="s">
        <v>615</v>
      </c>
      <c r="D109" s="6" t="s">
        <v>72</v>
      </c>
      <c r="E109" s="6" t="s">
        <v>193</v>
      </c>
      <c r="F109" s="6" t="s">
        <v>589</v>
      </c>
      <c r="G109" s="6" t="s">
        <v>75</v>
      </c>
      <c r="H109" s="6" t="s">
        <v>590</v>
      </c>
      <c r="I109" s="6" t="s">
        <v>205</v>
      </c>
      <c r="J109" s="7" t="n">
        <v>2064</v>
      </c>
      <c r="K109" s="6" t="str">
        <f aca="false">IF(J109&gt;=8000,"Luxury 8k+",IF(J109&gt;=5000,"Premium 5-8k",IF(J109&gt;=3000,"Upper-mid 3-5k","Entry-premium 2-3k")))</f>
        <v>Entry-premium 2-3k</v>
      </c>
      <c r="L109" s="8" t="s">
        <v>616</v>
      </c>
      <c r="M109" s="8" t="s">
        <v>223</v>
      </c>
      <c r="N109" s="6" t="s">
        <v>80</v>
      </c>
      <c r="O109" s="6" t="s">
        <v>81</v>
      </c>
      <c r="P109" s="6" t="s">
        <v>82</v>
      </c>
      <c r="Q109" s="6" t="s">
        <v>83</v>
      </c>
      <c r="R109" s="6" t="s">
        <v>83</v>
      </c>
      <c r="S109" s="9" t="s">
        <v>617</v>
      </c>
      <c r="T109" s="6" t="n">
        <v>65</v>
      </c>
      <c r="U109" s="6" t="s">
        <v>105</v>
      </c>
    </row>
    <row r="110" customFormat="false" ht="15" hidden="false" customHeight="false" outlineLevel="0" collapsed="false">
      <c r="A110" s="6" t="n">
        <v>109</v>
      </c>
      <c r="B110" s="6" t="s">
        <v>280</v>
      </c>
      <c r="C110" s="6" t="s">
        <v>618</v>
      </c>
      <c r="D110" s="6" t="s">
        <v>72</v>
      </c>
      <c r="E110" s="6" t="s">
        <v>142</v>
      </c>
      <c r="F110" s="6" t="s">
        <v>619</v>
      </c>
      <c r="G110" s="6" t="s">
        <v>75</v>
      </c>
      <c r="H110" s="6" t="s">
        <v>620</v>
      </c>
      <c r="I110" s="6" t="s">
        <v>116</v>
      </c>
      <c r="J110" s="7" t="n">
        <v>2053</v>
      </c>
      <c r="K110" s="6" t="str">
        <f aca="false">IF(J110&gt;=8000,"Luxury 8k+",IF(J110&gt;=5000,"Premium 5-8k",IF(J110&gt;=3000,"Upper-mid 3-5k","Entry-premium 2-3k")))</f>
        <v>Entry-premium 2-3k</v>
      </c>
      <c r="L110" s="8" t="s">
        <v>621</v>
      </c>
      <c r="M110" s="8" t="s">
        <v>286</v>
      </c>
      <c r="N110" s="6" t="s">
        <v>80</v>
      </c>
      <c r="O110" s="6" t="s">
        <v>81</v>
      </c>
      <c r="P110" s="6" t="s">
        <v>82</v>
      </c>
      <c r="Q110" s="6" t="s">
        <v>83</v>
      </c>
      <c r="R110" s="6" t="s">
        <v>83</v>
      </c>
      <c r="S110" s="9" t="s">
        <v>118</v>
      </c>
      <c r="T110" s="6" t="n">
        <v>48</v>
      </c>
      <c r="U110" s="6" t="s">
        <v>85</v>
      </c>
    </row>
    <row r="111" customFormat="false" ht="15" hidden="false" customHeight="false" outlineLevel="0" collapsed="false">
      <c r="A111" s="6" t="n">
        <v>110</v>
      </c>
      <c r="B111" s="6" t="s">
        <v>218</v>
      </c>
      <c r="C111" s="6" t="s">
        <v>622</v>
      </c>
      <c r="D111" s="6" t="s">
        <v>72</v>
      </c>
      <c r="E111" s="6" t="s">
        <v>73</v>
      </c>
      <c r="F111" s="6" t="s">
        <v>623</v>
      </c>
      <c r="G111" s="6" t="s">
        <v>317</v>
      </c>
      <c r="H111" s="6" t="s">
        <v>624</v>
      </c>
      <c r="I111" s="6" t="s">
        <v>101</v>
      </c>
      <c r="J111" s="7" t="n">
        <v>2050</v>
      </c>
      <c r="K111" s="6" t="str">
        <f aca="false">IF(J111&gt;=8000,"Luxury 8k+",IF(J111&gt;=5000,"Premium 5-8k",IF(J111&gt;=3000,"Upper-mid 3-5k","Entry-premium 2-3k")))</f>
        <v>Entry-premium 2-3k</v>
      </c>
      <c r="L111" s="8" t="s">
        <v>625</v>
      </c>
      <c r="M111" s="8" t="s">
        <v>223</v>
      </c>
      <c r="N111" s="6" t="s">
        <v>80</v>
      </c>
      <c r="O111" s="6" t="s">
        <v>81</v>
      </c>
      <c r="P111" s="6" t="s">
        <v>82</v>
      </c>
      <c r="Q111" s="6" t="s">
        <v>83</v>
      </c>
      <c r="R111" s="6" t="s">
        <v>83</v>
      </c>
      <c r="S111" s="9" t="s">
        <v>118</v>
      </c>
      <c r="T111" s="6" t="n">
        <v>44</v>
      </c>
      <c r="U111" s="6" t="s">
        <v>85</v>
      </c>
    </row>
    <row r="112" customFormat="false" ht="15" hidden="false" customHeight="false" outlineLevel="0" collapsed="false">
      <c r="A112" s="6" t="n">
        <v>111</v>
      </c>
      <c r="B112" s="6" t="s">
        <v>218</v>
      </c>
      <c r="C112" s="6" t="s">
        <v>626</v>
      </c>
      <c r="D112" s="6" t="s">
        <v>72</v>
      </c>
      <c r="E112" s="6" t="s">
        <v>579</v>
      </c>
      <c r="F112" s="6" t="s">
        <v>627</v>
      </c>
      <c r="G112" s="6" t="s">
        <v>75</v>
      </c>
      <c r="H112" s="6" t="s">
        <v>628</v>
      </c>
      <c r="I112" s="6" t="s">
        <v>116</v>
      </c>
      <c r="J112" s="7" t="n">
        <v>2000</v>
      </c>
      <c r="K112" s="6" t="str">
        <f aca="false">IF(J112&gt;=8000,"Luxury 8k+",IF(J112&gt;=5000,"Premium 5-8k",IF(J112&gt;=3000,"Upper-mid 3-5k","Entry-premium 2-3k")))</f>
        <v>Entry-premium 2-3k</v>
      </c>
      <c r="L112" s="8" t="s">
        <v>629</v>
      </c>
      <c r="M112" s="8" t="s">
        <v>223</v>
      </c>
      <c r="N112" s="6" t="s">
        <v>80</v>
      </c>
      <c r="O112" s="6" t="s">
        <v>81</v>
      </c>
      <c r="P112" s="6" t="s">
        <v>82</v>
      </c>
      <c r="Q112" s="6" t="s">
        <v>83</v>
      </c>
      <c r="R112" s="6" t="s">
        <v>83</v>
      </c>
      <c r="S112" s="9" t="s">
        <v>630</v>
      </c>
      <c r="T112" s="6" t="n">
        <v>56</v>
      </c>
      <c r="U112" s="6" t="s">
        <v>85</v>
      </c>
    </row>
    <row r="113" customFormat="false" ht="15" hidden="false" customHeight="false" outlineLevel="0" collapsed="false">
      <c r="A113" s="6" t="n">
        <v>112</v>
      </c>
      <c r="B113" s="6" t="s">
        <v>218</v>
      </c>
      <c r="C113" s="6" t="s">
        <v>631</v>
      </c>
      <c r="D113" s="6" t="s">
        <v>72</v>
      </c>
      <c r="E113" s="6" t="s">
        <v>73</v>
      </c>
      <c r="F113" s="6" t="s">
        <v>128</v>
      </c>
      <c r="G113" s="6" t="s">
        <v>75</v>
      </c>
      <c r="H113" s="6" t="s">
        <v>632</v>
      </c>
      <c r="I113" s="6" t="s">
        <v>101</v>
      </c>
      <c r="J113" s="7" t="n">
        <v>2000</v>
      </c>
      <c r="K113" s="6" t="str">
        <f aca="false">IF(J113&gt;=8000,"Luxury 8k+",IF(J113&gt;=5000,"Premium 5-8k",IF(J113&gt;=3000,"Upper-mid 3-5k","Entry-premium 2-3k")))</f>
        <v>Entry-premium 2-3k</v>
      </c>
      <c r="L113" s="8" t="s">
        <v>633</v>
      </c>
      <c r="M113" s="8" t="s">
        <v>223</v>
      </c>
      <c r="N113" s="6" t="s">
        <v>80</v>
      </c>
      <c r="O113" s="6" t="s">
        <v>81</v>
      </c>
      <c r="P113" s="6" t="s">
        <v>82</v>
      </c>
      <c r="Q113" s="6" t="s">
        <v>83</v>
      </c>
      <c r="R113" s="6" t="s">
        <v>83</v>
      </c>
      <c r="S113" s="9" t="s">
        <v>118</v>
      </c>
      <c r="T113" s="6" t="n">
        <v>44</v>
      </c>
      <c r="U113" s="6" t="s">
        <v>85</v>
      </c>
    </row>
    <row r="114" customFormat="false" ht="15" hidden="false" customHeight="false" outlineLevel="0" collapsed="false">
      <c r="A114" s="6" t="n">
        <v>113</v>
      </c>
      <c r="B114" s="6" t="s">
        <v>218</v>
      </c>
      <c r="C114" s="6" t="s">
        <v>634</v>
      </c>
      <c r="D114" s="6" t="s">
        <v>72</v>
      </c>
      <c r="E114" s="6" t="s">
        <v>73</v>
      </c>
      <c r="F114" s="6" t="s">
        <v>635</v>
      </c>
      <c r="G114" s="6" t="s">
        <v>187</v>
      </c>
      <c r="H114" s="6" t="s">
        <v>636</v>
      </c>
      <c r="I114" s="6" t="s">
        <v>101</v>
      </c>
      <c r="J114" s="7" t="n">
        <v>2000</v>
      </c>
      <c r="K114" s="6" t="str">
        <f aca="false">IF(J114&gt;=8000,"Luxury 8k+",IF(J114&gt;=5000,"Premium 5-8k",IF(J114&gt;=3000,"Upper-mid 3-5k","Entry-premium 2-3k")))</f>
        <v>Entry-premium 2-3k</v>
      </c>
      <c r="L114" s="8" t="s">
        <v>637</v>
      </c>
      <c r="M114" s="8" t="s">
        <v>223</v>
      </c>
      <c r="N114" s="6" t="s">
        <v>80</v>
      </c>
      <c r="O114" s="6" t="s">
        <v>81</v>
      </c>
      <c r="P114" s="6" t="s">
        <v>82</v>
      </c>
      <c r="Q114" s="6" t="s">
        <v>83</v>
      </c>
      <c r="R114" s="6" t="s">
        <v>83</v>
      </c>
      <c r="S114" s="9" t="s">
        <v>638</v>
      </c>
      <c r="T114" s="6" t="n">
        <v>52</v>
      </c>
      <c r="U114" s="6" t="s">
        <v>105</v>
      </c>
    </row>
    <row r="115" customFormat="false" ht="15" hidden="false" customHeight="false" outlineLevel="0" collapsed="false">
      <c r="A115" s="6" t="n">
        <v>114</v>
      </c>
      <c r="B115" s="6" t="s">
        <v>218</v>
      </c>
      <c r="C115" s="6" t="s">
        <v>639</v>
      </c>
      <c r="D115" s="6" t="s">
        <v>72</v>
      </c>
      <c r="E115" s="6" t="s">
        <v>552</v>
      </c>
      <c r="F115" s="6" t="s">
        <v>298</v>
      </c>
      <c r="G115" s="6" t="s">
        <v>75</v>
      </c>
      <c r="H115" s="6" t="s">
        <v>640</v>
      </c>
      <c r="I115" s="6" t="s">
        <v>641</v>
      </c>
      <c r="J115" s="7" t="n">
        <v>2000</v>
      </c>
      <c r="K115" s="6" t="str">
        <f aca="false">IF(J115&gt;=8000,"Luxury 8k+",IF(J115&gt;=5000,"Premium 5-8k",IF(J115&gt;=3000,"Upper-mid 3-5k","Entry-premium 2-3k")))</f>
        <v>Entry-premium 2-3k</v>
      </c>
      <c r="L115" s="8" t="s">
        <v>642</v>
      </c>
      <c r="M115" s="8" t="s">
        <v>223</v>
      </c>
      <c r="N115" s="6" t="s">
        <v>80</v>
      </c>
      <c r="O115" s="6" t="s">
        <v>81</v>
      </c>
      <c r="P115" s="6" t="s">
        <v>82</v>
      </c>
      <c r="Q115" s="6" t="s">
        <v>83</v>
      </c>
      <c r="R115" s="6" t="s">
        <v>83</v>
      </c>
      <c r="S115" s="9" t="s">
        <v>643</v>
      </c>
      <c r="T115" s="6" t="n">
        <v>48</v>
      </c>
      <c r="U115" s="6" t="s">
        <v>105</v>
      </c>
    </row>
    <row r="117" customFormat="false" ht="15" hidden="false" customHeight="false" outlineLevel="0" collapsed="false">
      <c r="B117" s="10" t="s">
        <v>644</v>
      </c>
      <c r="J117" s="11" t="n">
        <f aca="false">COUNT(J2:J115)</f>
        <v>114</v>
      </c>
    </row>
    <row r="118" customFormat="false" ht="15" hidden="false" customHeight="false" outlineLevel="0" collapsed="false">
      <c r="B118" s="10" t="s">
        <v>645</v>
      </c>
      <c r="J118" s="11" t="n">
        <f aca="false">SUMPRODUCT((COUNTIF(B2:B115,B2:B115)&gt;0)/COUNTIF(B2:B115,B2:B115))</f>
        <v>17</v>
      </c>
    </row>
    <row r="119" customFormat="false" ht="15" hidden="false" customHeight="false" outlineLevel="0" collapsed="false">
      <c r="B119" s="10" t="s">
        <v>646</v>
      </c>
      <c r="J119" s="11" t="n">
        <f aca="false">MIN(J2:J115)</f>
        <v>2000</v>
      </c>
    </row>
    <row r="120" customFormat="false" ht="15" hidden="false" customHeight="false" outlineLevel="0" collapsed="false">
      <c r="B120" s="10" t="s">
        <v>647</v>
      </c>
      <c r="J120" s="11" t="n">
        <f aca="false">ROUND(AVERAGE(J2:J115),0)</f>
        <v>4162</v>
      </c>
    </row>
    <row r="121" customFormat="false" ht="15" hidden="false" customHeight="false" outlineLevel="0" collapsed="false">
      <c r="B121" s="10" t="s">
        <v>648</v>
      </c>
      <c r="J121" s="11" t="n">
        <f aca="false">ROUND(MEDIAN(J2:J115),0)</f>
        <v>3520</v>
      </c>
    </row>
    <row r="122" customFormat="false" ht="15" hidden="false" customHeight="false" outlineLevel="0" collapsed="false">
      <c r="B122" s="10" t="s">
        <v>649</v>
      </c>
      <c r="J122" s="11" t="n">
        <f aca="false">MAX(J2:J115)</f>
        <v>13918</v>
      </c>
    </row>
    <row r="123" customFormat="false" ht="15" hidden="false" customHeight="false" outlineLevel="0" collapsed="false">
      <c r="B123" s="10" t="s">
        <v>650</v>
      </c>
      <c r="J123" s="11" t="n">
        <f aca="false">COUNTIF(D2:D115,"Skincare")</f>
        <v>76</v>
      </c>
    </row>
    <row r="124" customFormat="false" ht="15" hidden="false" customHeight="false" outlineLevel="0" collapsed="false">
      <c r="B124" s="10" t="s">
        <v>651</v>
      </c>
      <c r="J124" s="11" t="n">
        <f aca="false">COUNTIF(D2:D115,"Body Skincare")</f>
        <v>7</v>
      </c>
    </row>
    <row r="125" customFormat="false" ht="15" hidden="false" customHeight="false" outlineLevel="0" collapsed="false">
      <c r="B125" s="10" t="s">
        <v>652</v>
      </c>
      <c r="J125" s="11" t="n">
        <f aca="false">COUNTIF(D2:D115,"Cosmetics")</f>
        <v>31</v>
      </c>
    </row>
    <row r="126" customFormat="false" ht="15" hidden="false" customHeight="false" outlineLevel="0" collapsed="false">
      <c r="B126" s="10" t="s">
        <v>653</v>
      </c>
      <c r="J126" s="11" t="n">
        <f aca="false">COUNTIF(T2:T115,"&gt;=70")</f>
        <v>28</v>
      </c>
    </row>
    <row r="127" customFormat="false" ht="15" hidden="false" customHeight="false" outlineLevel="0" collapsed="false">
      <c r="B127" s="10" t="s">
        <v>654</v>
      </c>
      <c r="J127" s="11" t="n">
        <f aca="false">COUNTIF(J2:J115,"&lt;2000")</f>
        <v>0</v>
      </c>
    </row>
    <row r="129" customFormat="false" ht="15" hidden="false" customHeight="false" outlineLevel="0" collapsed="false">
      <c r="B129" s="2" t="s">
        <v>655</v>
      </c>
    </row>
  </sheetData>
  <autoFilter ref="A1:U115"/>
  <hyperlinks>
    <hyperlink ref="L2" r:id="rId1" display="https://accufixcosmetics.com/products/pigmentation-treatment-bundle"/>
    <hyperlink ref="M2" r:id="rId2" display="https://accufixcosmetics.com"/>
    <hyperlink ref="L3" r:id="rId3" display="https://conaturalintl.com/products/everyday-makeup-kit"/>
    <hyperlink ref="M3" r:id="rId4" display="https://conaturalintl.com"/>
    <hyperlink ref="L4" r:id="rId5" display="https://zeromakeup.com/products/the-eyes-on-us-drop"/>
    <hyperlink ref="M4" r:id="rId6" display="https://zeromakeup.com"/>
    <hyperlink ref="L5" r:id="rId7" display="https://zeromakeup.com/products/eyesticks-pack-of-4"/>
    <hyperlink ref="M5" r:id="rId8" display="https://zeromakeup.com"/>
    <hyperlink ref="L6" r:id="rId9" display="https://zeromakeup.com/products/lip-trio"/>
    <hyperlink ref="M6" r:id="rId10" display="https://zeromakeup.com"/>
    <hyperlink ref="L7" r:id="rId11" display="https://conaturalintl.com/products/flawless-makeup-set"/>
    <hyperlink ref="M7" r:id="rId12" display="https://conaturalintl.com"/>
    <hyperlink ref="L8" r:id="rId13" display="https://www.iloveluscious.com/products/deluxe-makeup-kit"/>
    <hyperlink ref="M8" r:id="rId14" display="https://www.iloveluscious.com"/>
    <hyperlink ref="L9" r:id="rId15" display="https://accufixcosmetics.com/products/skin-brightening-bundle"/>
    <hyperlink ref="M9" r:id="rId16" display="https://accufixcosmetics.com"/>
    <hyperlink ref="L10" r:id="rId17" display="https://kleanbeauty.co/products/acne-reset-kit"/>
    <hyperlink ref="M10" r:id="rId18" display="https://kleanbeauty.co"/>
    <hyperlink ref="L11" r:id="rId19" display="https://www.kashees.com/products/derma-glow-whitening-facial-box"/>
    <hyperlink ref="M11" r:id="rId20" display="https://www.kashees.com"/>
    <hyperlink ref="L12" r:id="rId21" display="https://accufixcosmetics.com/products/hajj-umrah-skincare-essentials"/>
    <hyperlink ref="M12" r:id="rId22" display="https://accufixcosmetics.com"/>
    <hyperlink ref="L13" r:id="rId23" display="https://conaturalintl.com/products/anti-aging-skincare-set"/>
    <hyperlink ref="M13" r:id="rId24" display="https://conaturalintl.com"/>
    <hyperlink ref="L14" r:id="rId25" display="https://accufixcosmetics.com/products/retinol-bioregenesis-age-defence-duo"/>
    <hyperlink ref="M14" r:id="rId26" display="https://accufixcosmetics.com"/>
    <hyperlink ref="L15" r:id="rId27" display="https://accufixcosmetics.com/products/head-to-toe-balance-bundle"/>
    <hyperlink ref="M15" r:id="rId28" display="https://accufixcosmetics.com"/>
    <hyperlink ref="L16" r:id="rId29" display="https://accufixcosmetics.com/products/complete-body-brightening-routine"/>
    <hyperlink ref="M16" r:id="rId30" display="https://accufixcosmetics.com"/>
    <hyperlink ref="L17" r:id="rId31" display="https://forganica.com/products/anti-aging-repair-trio"/>
    <hyperlink ref="M17" r:id="rId32" display="https://forganica.com"/>
    <hyperlink ref="L18" r:id="rId33" display="https://forganica.com/products/oily-skin-clarity-trio"/>
    <hyperlink ref="M18" r:id="rId34" display="https://forganica.com"/>
    <hyperlink ref="L19" r:id="rId35" display="https://skinsciences.com.pk/products/pdrnew"/>
    <hyperlink ref="M19" r:id="rId36" display="https://skinsciences.com.pk"/>
    <hyperlink ref="L20" r:id="rId37" display="https://zeromakeup.com/products/zero-liquid-foundation"/>
    <hyperlink ref="M20" r:id="rId38" display="https://zeromakeup.com"/>
    <hyperlink ref="L21" r:id="rId39" display="https://kleanbeauty.co/products/dark-spot-kit"/>
    <hyperlink ref="M21" r:id="rId40" display="https://kleanbeauty.co"/>
    <hyperlink ref="L22" r:id="rId41" display="https://forganica.com/products/pigmentation-glow-trio"/>
    <hyperlink ref="M22" r:id="rId42" display="https://forganica.com"/>
    <hyperlink ref="L23" r:id="rId43" display="https://slbasics.com/products/ultimate-summer-routine-kit-premium-bundle"/>
    <hyperlink ref="M23" r:id="rId44" display="https://slbasics.com"/>
    <hyperlink ref="L24" r:id="rId45" display="https://forganica.com/products/acne-treatment-routine-for-oily-acne-prone-skin"/>
    <hyperlink ref="M24" r:id="rId46" display="https://forganica.com"/>
    <hyperlink ref="L25" r:id="rId47" display="https://zeromakeup.com/products/sun100-60-60ml-bundle"/>
    <hyperlink ref="M25" r:id="rId48" display="https://zeromakeup.com"/>
    <hyperlink ref="L26" r:id="rId49" display="https://accufixcosmetics.com/products/2-step-morning-duo-textured-skin-1"/>
    <hyperlink ref="M26" r:id="rId50" display="https://accufixcosmetics.com"/>
    <hyperlink ref="L27" r:id="rId51" display="https://zeromakeup.com/products/eyesticks-pack-of-2"/>
    <hyperlink ref="M27" r:id="rId52" display="https://zeromakeup.com"/>
    <hyperlink ref="L28" r:id="rId53" display="https://www.iloveluscious.com/products/brightening-power-deal"/>
    <hyperlink ref="M28" r:id="rId54" display="https://www.iloveluscious.com"/>
    <hyperlink ref="L29" r:id="rId55" display="https://conaturalintl.com/products/acne-control-bundle"/>
    <hyperlink ref="M29" r:id="rId56" display="https://conaturalintl.com"/>
    <hyperlink ref="L30" r:id="rId57" display="https://accufixcosmetics.com/products/retinol-starter-routine"/>
    <hyperlink ref="M30" r:id="rId58" display="https://accufixcosmetics.com"/>
    <hyperlink ref="L31" r:id="rId59" display="https://blingbynadiahussain.com/products/bundle-3-full-face-glam-kit"/>
    <hyperlink ref="M31" r:id="rId60" display="https://blingbynadiahussain.com"/>
    <hyperlink ref="L32" r:id="rId61" display="https://slbasics.com/products/barrier-repair-kit"/>
    <hyperlink ref="M32" r:id="rId62" display="https://slbasics.com"/>
    <hyperlink ref="L33" r:id="rId63" display="https://jenpharm.com/products/jenpharm-dermive-oil-free-moisturizer-buy-5-get-1-free-pack-of-6-100ml"/>
    <hyperlink ref="M33" r:id="rId64" display="https://jenpharm.com"/>
    <hyperlink ref="L34" r:id="rId65" display="https://zeromakeup.com/products/lip-pencils-pack-of-3"/>
    <hyperlink ref="M34" r:id="rId66" display="https://zeromakeup.com"/>
    <hyperlink ref="L35" r:id="rId67" display="https://www.goldengirlcosmetics.com/products/scrub-cream-5ltr"/>
    <hyperlink ref="M35" r:id="rId68" display="https://www.goldengirlcosmetics.com"/>
    <hyperlink ref="L36" r:id="rId69" display="https://conaturalintl.com/products/daily-makeup-essentials"/>
    <hyperlink ref="M36" r:id="rId70" display="https://conaturalintl.com"/>
    <hyperlink ref="L37" r:id="rId71" display="https://kleanbeauty.co/products/hydration-pair💧"/>
    <hyperlink ref="M37" r:id="rId72" display="https://kleanbeauty.co"/>
    <hyperlink ref="L38" r:id="rId73" display="https://kleanbeauty.co/products/barrier-rescue-kit"/>
    <hyperlink ref="M38" r:id="rId74" display="https://kleanbeauty.co"/>
    <hyperlink ref="L39" r:id="rId75" display="https://accufixcosmetics.com/products/best-2-step-morning-duo-all-skin-types-1"/>
    <hyperlink ref="M39" r:id="rId76" display="https://accufixcosmetics.com"/>
    <hyperlink ref="L40" r:id="rId77" display="https://slbasics.com/products/summer-glow-kit"/>
    <hyperlink ref="M40" r:id="rId78" display="https://slbasics.com"/>
    <hyperlink ref="L41" r:id="rId79" display="https://conaturalintl.com/products/summer-skincare-kit"/>
    <hyperlink ref="M41" r:id="rId80" display="https://conaturalintl.com"/>
    <hyperlink ref="L42" r:id="rId81" display="https://www.iloveluscious.com/products/lip-cheek-set"/>
    <hyperlink ref="M42" r:id="rId82" display="https://www.iloveluscious.com"/>
    <hyperlink ref="L43" r:id="rId83" display="https://accufixcosmetics.com/products/basic-body-care-bundle"/>
    <hyperlink ref="M43" r:id="rId84" display="https://accufixcosmetics.com"/>
    <hyperlink ref="L44" r:id="rId85" display="https://forganica.com/products/hydrate-protect-duo"/>
    <hyperlink ref="M44" r:id="rId86" display="https://forganica.com"/>
    <hyperlink ref="L45" r:id="rId87" display="https://forganica.com/products/texture-renewal-duo"/>
    <hyperlink ref="M45" r:id="rId88" display="https://forganica.com"/>
    <hyperlink ref="L46" r:id="rId89" display="https://slbasics.com/products/summer-acne-defense-kit"/>
    <hyperlink ref="M46" r:id="rId90" display="https://slbasics.com"/>
    <hyperlink ref="L47" r:id="rId91" display="https://zeromakeup.com/products/ultra-cover-lip-gloss"/>
    <hyperlink ref="M47" r:id="rId92" display="https://zeromakeup.com"/>
    <hyperlink ref="L48" r:id="rId93" display="https://www.iloveluscious.com/products/wonder-glass-set-deal"/>
    <hyperlink ref="M48" r:id="rId94" display="https://www.iloveluscious.com"/>
    <hyperlink ref="L49" r:id="rId95" display="https://conaturalintl.com/products/sun-protection-set"/>
    <hyperlink ref="M49" r:id="rId96" display="https://conaturalintl.com"/>
    <hyperlink ref="L50" r:id="rId97" display="https://www.kashees.com/products/best-matte-lipgloss-kit-pack-of-6"/>
    <hyperlink ref="M50" r:id="rId98" display="https://www.kashees.com"/>
    <hyperlink ref="L51" r:id="rId99" display="https://www.iloveluscious.com/products/brightening-base"/>
    <hyperlink ref="M51" r:id="rId100" display="https://www.iloveluscious.com"/>
    <hyperlink ref="L52" r:id="rId101" display="https://slbasics.com/products/glow-up"/>
    <hyperlink ref="M52" r:id="rId102" display="https://slbasics.com"/>
    <hyperlink ref="L53" r:id="rId103" display="https://kleanbeauty.co/products/acne-action"/>
    <hyperlink ref="M53" r:id="rId104" display="https://kleanbeauty.co"/>
    <hyperlink ref="L54" r:id="rId105" display="https://blingbynadiahussain.com/products/bundle-1-glow-up-kit"/>
    <hyperlink ref="M54" r:id="rId106" display="https://blingbynadiahussain.com"/>
    <hyperlink ref="L55" r:id="rId107" display="https://accufixcosmetics.com/products/bioregenesis-serum"/>
    <hyperlink ref="M55" r:id="rId108" display="https://accufixcosmetics.com"/>
    <hyperlink ref="L56" r:id="rId109" display="https://forganica.com/products/hyperpigmentation-care-duo"/>
    <hyperlink ref="M56" r:id="rId110" display="https://forganica.com"/>
    <hyperlink ref="L57" r:id="rId111" display="https://masarratmakeup.com/products/cherry-cola-lip-combo-1"/>
    <hyperlink ref="M57" r:id="rId112" display="https://masarratmakeup.com"/>
    <hyperlink ref="L58" r:id="rId113" display="https://goldenpearl.com.pk/products/pack-of-2-brightening-rice-skincare-kit"/>
    <hyperlink ref="M58" r:id="rId114" display="https://goldenpearl.com.pk"/>
    <hyperlink ref="L59" r:id="rId115" display="https://masarratmakeup.com/products/eyeshadow-palette"/>
    <hyperlink ref="M59" r:id="rId116" display="https://masarratmakeup.com"/>
    <hyperlink ref="L60" r:id="rId117" display="https://masarratmakeup.com/products/the-flawless-filter-duo"/>
    <hyperlink ref="M60" r:id="rId118" display="https://masarratmakeup.com"/>
    <hyperlink ref="L61" r:id="rId119" display="https://slbasics.com/products/the-saffron-set"/>
    <hyperlink ref="M61" r:id="rId120" display="https://slbasics.com"/>
    <hyperlink ref="L62" r:id="rId121" display="https://forganica.com/products/acne-pore-control-duo"/>
    <hyperlink ref="M62" r:id="rId122" display="https://forganica.com"/>
    <hyperlink ref="L63" r:id="rId123" display="https://accufixcosmetics.com/products/dark-lips-treatment-bundle"/>
    <hyperlink ref="M63" r:id="rId124" display="https://accufixcosmetics.com"/>
    <hyperlink ref="L64" r:id="rId125" display="https://zeromakeup.com/products/shadow-liner"/>
    <hyperlink ref="M64" r:id="rId126" display="https://zeromakeup.com"/>
    <hyperlink ref="L65" r:id="rId127" display="https://accufixcosmetics.com/products/best-serum-for-glass-skin"/>
    <hyperlink ref="M65" r:id="rId128" display="https://accufixcosmetics.com"/>
    <hyperlink ref="L66" r:id="rId129" display="https://www.colorstudiopro.com/products/nudist-classic-beige-n30-foundation"/>
    <hyperlink ref="M66" r:id="rId130" display="https://www.colorstudiopro.com"/>
    <hyperlink ref="L67" r:id="rId131" display="https://kleanbeauty.co/products/skin-transformation-duo"/>
    <hyperlink ref="M67" r:id="rId132" display="https://kleanbeauty.co"/>
    <hyperlink ref="L68" r:id="rId133" display="https://zeromakeup.com/products/sun100-sunscreen"/>
    <hyperlink ref="M68" r:id="rId134" display="https://zeromakeup.com"/>
    <hyperlink ref="L69" r:id="rId135" display="https://masarratmakeup.com/products/ultra-wear-flawless-foundation"/>
    <hyperlink ref="M69" r:id="rId136" display="https://masarratmakeup.com"/>
    <hyperlink ref="L70" r:id="rId137" display="https://www.kashees.com/products/lip-gloss-fruit"/>
    <hyperlink ref="M70" r:id="rId138" display="https://www.kashees.com"/>
    <hyperlink ref="L71" r:id="rId139" display="https://accufixcosmetics.com/products/best-ceramide-moisturiser-for-strong-skin-barrier"/>
    <hyperlink ref="M71" r:id="rId140" display="https://accufixcosmetics.com"/>
    <hyperlink ref="L72" r:id="rId141" display="https://accufixcosmetics.com/products/budget-friendly-skincare-bundle"/>
    <hyperlink ref="M72" r:id="rId142" display="https://accufixcosmetics.com"/>
    <hyperlink ref="L73" r:id="rId143" display="https://conaturalintl.com/products/better-than-ubtan-face-and-body-scrub-120g-clearance-sale-flat-40-off"/>
    <hyperlink ref="M73" r:id="rId144" display="https://conaturalintl.com"/>
    <hyperlink ref="L74" r:id="rId145" display="https://zeromakeup.com/products/eyesticks-1"/>
    <hyperlink ref="M74" r:id="rId146" display="https://zeromakeup.com"/>
    <hyperlink ref="L75" r:id="rId147" display="https://kleanbeauty.co/products/bakuchiol-advanced-correcting-serum"/>
    <hyperlink ref="M75" r:id="rId148" display="https://kleanbeauty.co"/>
    <hyperlink ref="L76" r:id="rId149" display="https://kleanbeauty.co/products/hydro-glow✨"/>
    <hyperlink ref="M76" r:id="rId150" display="https://kleanbeauty.co"/>
    <hyperlink ref="L77" r:id="rId151" display="https://slbasics.com/products/the-strawberry-suite"/>
    <hyperlink ref="M77" r:id="rId152" display="https://slbasics.com"/>
    <hyperlink ref="L78" r:id="rId153" display="https://slbasics.com/products/the-orange-suite"/>
    <hyperlink ref="M78" r:id="rId154" display="https://slbasics.com"/>
    <hyperlink ref="L79" r:id="rId155" display="https://conaturalintl.com/products/white-mask-face-brightening-mask-facial-mask"/>
    <hyperlink ref="M79" r:id="rId156" display="https://conaturalintl.com"/>
    <hyperlink ref="L80" r:id="rId157" display="https://masarratmakeup.com/products/soft-girl-duo"/>
    <hyperlink ref="M80" r:id="rId158" display="https://masarratmakeup.com"/>
    <hyperlink ref="L81" r:id="rId159" display="https://masarratmakeup.com/products/cherry-cola-lip-combo-2"/>
    <hyperlink ref="M81" r:id="rId160" display="https://masarratmakeup.com"/>
    <hyperlink ref="L82" r:id="rId161" display="https://slbasics.com/products/peptide-hyaluronic-moisture-cream"/>
    <hyperlink ref="M82" r:id="rId162" display="https://slbasics.com"/>
    <hyperlink ref="L83" r:id="rId163" display="https://kleanbeauty.co/products/glass-skin-sleeping-mask"/>
    <hyperlink ref="M83" r:id="rId164" display="https://kleanbeauty.co"/>
    <hyperlink ref="L84" r:id="rId165" display="https://forganica.com/products/peptide-repair-serum"/>
    <hyperlink ref="M84" r:id="rId166" display="https://forganica.com"/>
    <hyperlink ref="L85" r:id="rId167" display="https://masarratmakeup.com/products/box-of-2-matte-luxe"/>
    <hyperlink ref="M85" r:id="rId168" display="https://masarratmakeup.com"/>
    <hyperlink ref="L86" r:id="rId169" display="https://accufixcosmetics.com/products/encapsulated-salicylic-acid-niacinamide-serum"/>
    <hyperlink ref="M86" r:id="rId170" display="https://accufixcosmetics.com"/>
    <hyperlink ref="L87" r:id="rId171" display="https://conaturalintl.com/products/contour-powder"/>
    <hyperlink ref="M87" r:id="rId172" display="https://conaturalintl.com"/>
    <hyperlink ref="L88" r:id="rId173" display="https://blingbynadiahussain.com/products/nadia-hussain-goat-milk-niacinamide-lotion"/>
    <hyperlink ref="M88" r:id="rId174" display="https://blingbynadiahussain.com"/>
    <hyperlink ref="L89" r:id="rId175" display="https://blingbynadiahussain.com/products/nadia-hussain-kojic-acid-collagen-lotion"/>
    <hyperlink ref="M89" r:id="rId176" display="https://blingbynadiahussain.com"/>
    <hyperlink ref="L90" r:id="rId177" display="https://blingbynadiahussain.com/products/nadia-hussain-vitamin-c-glutathione-lotion"/>
    <hyperlink ref="M90" r:id="rId178" display="https://blingbynadiahussain.com"/>
    <hyperlink ref="L91" r:id="rId179" display="https://blingbynadiahussain.com/products/nadia-hussain-vitamin-e-argan-oil-lotion"/>
    <hyperlink ref="M91" r:id="rId180" display="https://blingbynadiahussain.com"/>
    <hyperlink ref="L92" r:id="rId181" display="https://dermatechno.com/products/hajj-umrah-essential-kit"/>
    <hyperlink ref="M92" r:id="rId182" display="https://dermatechno.com"/>
    <hyperlink ref="L93" r:id="rId183" display="https://slbasics.com/products/summer-skin-rescue-kit-best-seller-bundle"/>
    <hyperlink ref="M93" r:id="rId184" display="https://slbasics.com"/>
    <hyperlink ref="L94" r:id="rId185" display="https://vincecare.com/products/face-and-lips-protection-combo"/>
    <hyperlink ref="M94" r:id="rId186" display="https://vincecare.com"/>
    <hyperlink ref="L95" r:id="rId187" display="https://kleanbeauty.co/products/take-off-trio"/>
    <hyperlink ref="M95" r:id="rId188" display="https://kleanbeauty.co"/>
    <hyperlink ref="L96" r:id="rId189" display="https://forganica.com/products/silymarin-antioxidant-serum-vitamin-c-serum-for-oily-and-blemish-prone-skin"/>
    <hyperlink ref="M96" r:id="rId190" display="https://forganica.com"/>
    <hyperlink ref="L97" r:id="rId191" display="https://jenpharm.com/products/dermive-urea-economy-pack"/>
    <hyperlink ref="M97" r:id="rId192" display="https://jenpharm.com"/>
    <hyperlink ref="L98" r:id="rId193" display="https://kleanbeauty.co/products/peptide-complex-serum"/>
    <hyperlink ref="M98" r:id="rId194" display="https://kleanbeauty.co"/>
    <hyperlink ref="L99" r:id="rId195" display="https://accufixcosmetics.com/products/best-hydrating-body-wash-for-dry-skin"/>
    <hyperlink ref="M99" r:id="rId196" display="https://accufixcosmetics.com"/>
    <hyperlink ref="L100" r:id="rId197" display="https://forganica.com/products/glycolic-acid-toner"/>
    <hyperlink ref="M100" r:id="rId198" display="https://forganica.com"/>
    <hyperlink ref="L101" r:id="rId199" display="https://forganica.com/products/sunblock-with-spf-50"/>
    <hyperlink ref="M101" r:id="rId200" display="https://forganica.com"/>
    <hyperlink ref="L102" r:id="rId201" display="https://forganica.com/products/hyaluronic-acid-serum"/>
    <hyperlink ref="M102" r:id="rId202" display="https://forganica.com"/>
    <hyperlink ref="L103" r:id="rId203" display="https://forganica.com/products/salicylic-acid-serum-for-acne"/>
    <hyperlink ref="M103" r:id="rId204" display="https://forganica.com"/>
    <hyperlink ref="L104" r:id="rId205" display="https://slbasics.com/products/c-bright-serum"/>
    <hyperlink ref="M104" r:id="rId206" display="https://slbasics.com"/>
    <hyperlink ref="L105" r:id="rId207" display="https://forganica.com/products/oil-to-milk-cleanser"/>
    <hyperlink ref="M105" r:id="rId208" display="https://forganica.com"/>
    <hyperlink ref="L106" r:id="rId209" display="https://slbasics.com/products/dynamic-duo"/>
    <hyperlink ref="M106" r:id="rId210" display="https://slbasics.com"/>
    <hyperlink ref="L107" r:id="rId211" display="https://slbasics.com/products/basic-b"/>
    <hyperlink ref="M107" r:id="rId212" display="https://slbasics.com"/>
    <hyperlink ref="L108" r:id="rId213" display="https://masarratmakeup.com/products/bb-cream"/>
    <hyperlink ref="M108" r:id="rId214" display="https://masarratmakeup.com"/>
    <hyperlink ref="L109" r:id="rId215" display="https://slbasics.com/products/hydra-serum"/>
    <hyperlink ref="M109" r:id="rId216" display="https://slbasics.com"/>
    <hyperlink ref="L110" r:id="rId217" display="https://www.goldengirlcosmetics.com/products/fresh-glow-facial-trio-bundle"/>
    <hyperlink ref="M110" r:id="rId218" display="https://www.goldengirlcosmetics.com"/>
    <hyperlink ref="L111" r:id="rId219" display="https://slbasics.com/products/honey-suite"/>
    <hyperlink ref="M111" r:id="rId220" display="https://slbasics.com"/>
    <hyperlink ref="L112" r:id="rId221" display="https://slbasics.com/products/toners-trio"/>
    <hyperlink ref="M112" r:id="rId222" display="https://slbasics.com"/>
    <hyperlink ref="L113" r:id="rId223" display="https://slbasics.com/products/lemon-suite"/>
    <hyperlink ref="M113" r:id="rId224" display="https://slbasics.com"/>
    <hyperlink ref="L114" r:id="rId225" display="https://slbasics.com/products/teenage-dream"/>
    <hyperlink ref="M114" r:id="rId226" display="https://slbasics.com"/>
    <hyperlink ref="L115" r:id="rId227" display="https://slbasics.com/products/2-for-2k-facewash"/>
    <hyperlink ref="M115" r:id="rId228" display="https://slbasics.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15"/>
    <col collapsed="false" customWidth="true" hidden="false" outlineLevel="0" max="4" min="4" style="0" width="13"/>
    <col collapsed="false" customWidth="true" hidden="false" outlineLevel="0" max="5" min="5" style="0" width="7"/>
    <col collapsed="false" customWidth="true" hidden="false" outlineLevel="0" max="6" min="6" style="0" width="11"/>
    <col collapsed="false" customWidth="true" hidden="false" outlineLevel="0" max="7" min="7" style="0" width="19"/>
    <col collapsed="false" customWidth="true" hidden="false" outlineLevel="0" max="8" min="8" style="0" width="20"/>
    <col collapsed="false" customWidth="true" hidden="false" outlineLevel="0" max="9" min="9" style="0" width="11"/>
    <col collapsed="false" customWidth="true" hidden="false" outlineLevel="0" max="10" min="10" style="0" width="15"/>
    <col collapsed="false" customWidth="true" hidden="false" outlineLevel="0" max="11" min="11" style="0" width="16"/>
    <col collapsed="false" customWidth="true" hidden="false" outlineLevel="0" max="12" min="12" style="0" width="58"/>
    <col collapsed="false" customWidth="true" hidden="false" outlineLevel="0" max="13" min="13" style="0" width="18"/>
    <col collapsed="false" customWidth="true" hidden="false" outlineLevel="0" max="14" min="14" style="0" width="15"/>
    <col collapsed="false" customWidth="true" hidden="false" outlineLevel="0" max="15" min="15" style="0" width="32"/>
  </cols>
  <sheetData>
    <row r="1" customFormat="false" ht="31.5" hidden="false" customHeight="true" outlineLevel="0" collapsed="false">
      <c r="A1" s="5" t="s">
        <v>656</v>
      </c>
      <c r="B1" s="5" t="s">
        <v>657</v>
      </c>
      <c r="C1" s="5" t="s">
        <v>658</v>
      </c>
      <c r="D1" s="5" t="s">
        <v>659</v>
      </c>
      <c r="E1" s="5" t="s">
        <v>660</v>
      </c>
      <c r="F1" s="5" t="s">
        <v>661</v>
      </c>
      <c r="G1" s="5" t="s">
        <v>662</v>
      </c>
      <c r="H1" s="5" t="s">
        <v>663</v>
      </c>
      <c r="I1" s="5" t="s">
        <v>664</v>
      </c>
      <c r="J1" s="5" t="s">
        <v>665</v>
      </c>
      <c r="K1" s="5" t="s">
        <v>666</v>
      </c>
      <c r="L1" s="5" t="s">
        <v>667</v>
      </c>
      <c r="M1" s="5" t="s">
        <v>668</v>
      </c>
      <c r="N1" s="5" t="s">
        <v>669</v>
      </c>
      <c r="O1" s="5" t="s">
        <v>670</v>
      </c>
    </row>
    <row r="2" customFormat="false" ht="15" hidden="false" customHeight="false" outlineLevel="0" collapsed="false">
      <c r="A2" s="6" t="n">
        <v>1</v>
      </c>
      <c r="B2" s="6" t="s">
        <v>671</v>
      </c>
      <c r="C2" s="6" t="s">
        <v>128</v>
      </c>
      <c r="D2" s="7" t="n">
        <v>22200</v>
      </c>
      <c r="E2" s="6" t="n">
        <v>10</v>
      </c>
      <c r="F2" s="12" t="n">
        <v>0.1</v>
      </c>
      <c r="G2" s="12" t="n">
        <v>0.06</v>
      </c>
      <c r="H2" s="6" t="s">
        <v>672</v>
      </c>
      <c r="I2" s="6" t="s">
        <v>80</v>
      </c>
      <c r="J2" s="6" t="str">
        <f aca="false">IF(E2&lt;=15,"Very Easy",IF(E2&lt;=25,"Easy",IF(E2&lt;=40,"Medium","Hard")))</f>
        <v>Very Easy</v>
      </c>
      <c r="K2" s="6" t="s">
        <v>673</v>
      </c>
      <c r="L2" s="13" t="s">
        <v>674</v>
      </c>
      <c r="M2" s="6" t="s">
        <v>675</v>
      </c>
      <c r="N2" s="14" t="n">
        <f aca="false">ROUND(D2/MAX(E2,1),1)</f>
        <v>2220</v>
      </c>
      <c r="O2" s="6" t="s">
        <v>676</v>
      </c>
    </row>
    <row r="3" customFormat="false" ht="15" hidden="false" customHeight="false" outlineLevel="0" collapsed="false">
      <c r="A3" s="6" t="n">
        <v>2</v>
      </c>
      <c r="B3" s="6" t="s">
        <v>677</v>
      </c>
      <c r="C3" s="6" t="s">
        <v>128</v>
      </c>
      <c r="D3" s="7" t="n">
        <v>27100</v>
      </c>
      <c r="E3" s="6" t="n">
        <v>15</v>
      </c>
      <c r="F3" s="12" t="n">
        <v>0.04</v>
      </c>
      <c r="G3" s="12" t="n">
        <v>0.06</v>
      </c>
      <c r="H3" s="6" t="s">
        <v>678</v>
      </c>
      <c r="I3" s="6" t="s">
        <v>80</v>
      </c>
      <c r="J3" s="6" t="str">
        <f aca="false">IF(E3&lt;=15,"Very Easy",IF(E3&lt;=25,"Easy",IF(E3&lt;=40,"Medium","Hard")))</f>
        <v>Very Easy</v>
      </c>
      <c r="K3" s="6" t="s">
        <v>679</v>
      </c>
      <c r="L3" s="13" t="s">
        <v>674</v>
      </c>
      <c r="M3" s="6" t="s">
        <v>675</v>
      </c>
      <c r="N3" s="14" t="n">
        <f aca="false">ROUND(D3/MAX(E3,1),1)</f>
        <v>1806.7</v>
      </c>
      <c r="O3" s="6" t="s">
        <v>676</v>
      </c>
    </row>
    <row r="4" customFormat="false" ht="15" hidden="false" customHeight="false" outlineLevel="0" collapsed="false">
      <c r="A4" s="6" t="n">
        <v>3</v>
      </c>
      <c r="B4" s="6" t="s">
        <v>680</v>
      </c>
      <c r="C4" s="6" t="s">
        <v>128</v>
      </c>
      <c r="D4" s="7" t="n">
        <v>40500</v>
      </c>
      <c r="E4" s="6" t="n">
        <v>25</v>
      </c>
      <c r="F4" s="12" t="n">
        <v>0.66</v>
      </c>
      <c r="G4" s="12" t="n">
        <v>0.33</v>
      </c>
      <c r="H4" s="6" t="s">
        <v>678</v>
      </c>
      <c r="I4" s="6" t="s">
        <v>80</v>
      </c>
      <c r="J4" s="6" t="str">
        <f aca="false">IF(E4&lt;=15,"Very Easy",IF(E4&lt;=25,"Easy",IF(E4&lt;=40,"Medium","Hard")))</f>
        <v>Easy</v>
      </c>
      <c r="K4" s="6" t="s">
        <v>681</v>
      </c>
      <c r="L4" s="13" t="s">
        <v>674</v>
      </c>
      <c r="M4" s="6" t="s">
        <v>675</v>
      </c>
      <c r="N4" s="14" t="n">
        <f aca="false">ROUND(D4/MAX(E4,1),1)</f>
        <v>1620</v>
      </c>
      <c r="O4" s="6" t="s">
        <v>682</v>
      </c>
    </row>
    <row r="5" customFormat="false" ht="15" hidden="false" customHeight="false" outlineLevel="0" collapsed="false">
      <c r="A5" s="6" t="n">
        <v>4</v>
      </c>
      <c r="B5" s="6" t="s">
        <v>683</v>
      </c>
      <c r="C5" s="6" t="s">
        <v>128</v>
      </c>
      <c r="D5" s="7" t="n">
        <v>33100</v>
      </c>
      <c r="E5" s="6" t="n">
        <v>21</v>
      </c>
      <c r="F5" s="12" t="n">
        <v>0.47</v>
      </c>
      <c r="G5" s="12" t="n">
        <v>0.01</v>
      </c>
      <c r="H5" s="6" t="s">
        <v>678</v>
      </c>
      <c r="I5" s="6" t="s">
        <v>80</v>
      </c>
      <c r="J5" s="6" t="str">
        <f aca="false">IF(E5&lt;=15,"Very Easy",IF(E5&lt;=25,"Easy",IF(E5&lt;=40,"Medium","Hard")))</f>
        <v>Easy</v>
      </c>
      <c r="K5" s="6" t="s">
        <v>681</v>
      </c>
      <c r="L5" s="13" t="s">
        <v>674</v>
      </c>
      <c r="M5" s="6" t="s">
        <v>675</v>
      </c>
      <c r="N5" s="14" t="n">
        <f aca="false">ROUND(D5/MAX(E5,1),1)</f>
        <v>1576.2</v>
      </c>
      <c r="O5" s="6" t="s">
        <v>682</v>
      </c>
    </row>
    <row r="6" customFormat="false" ht="15" hidden="false" customHeight="false" outlineLevel="0" collapsed="false">
      <c r="A6" s="6" t="n">
        <v>5</v>
      </c>
      <c r="B6" s="6" t="s">
        <v>684</v>
      </c>
      <c r="C6" s="6" t="s">
        <v>685</v>
      </c>
      <c r="D6" s="7" t="n">
        <v>33100</v>
      </c>
      <c r="E6" s="6" t="n">
        <v>25</v>
      </c>
      <c r="F6" s="12" t="n">
        <v>0.14</v>
      </c>
      <c r="G6" s="12" t="n">
        <v>0.23</v>
      </c>
      <c r="H6" s="6" t="s">
        <v>686</v>
      </c>
      <c r="I6" s="6" t="s">
        <v>80</v>
      </c>
      <c r="J6" s="6" t="str">
        <f aca="false">IF(E6&lt;=15,"Very Easy",IF(E6&lt;=25,"Easy",IF(E6&lt;=40,"Medium","Hard")))</f>
        <v>Easy</v>
      </c>
      <c r="K6" s="6" t="s">
        <v>687</v>
      </c>
      <c r="L6" s="13" t="s">
        <v>674</v>
      </c>
      <c r="M6" s="6" t="s">
        <v>675</v>
      </c>
      <c r="N6" s="14" t="n">
        <f aca="false">ROUND(D6/MAX(E6,1),1)</f>
        <v>1324</v>
      </c>
      <c r="O6" s="6" t="s">
        <v>688</v>
      </c>
    </row>
    <row r="7" customFormat="false" ht="15" hidden="false" customHeight="false" outlineLevel="0" collapsed="false">
      <c r="A7" s="6" t="n">
        <v>6</v>
      </c>
      <c r="B7" s="6" t="s">
        <v>689</v>
      </c>
      <c r="C7" s="6" t="s">
        <v>552</v>
      </c>
      <c r="D7" s="7" t="n">
        <v>22200</v>
      </c>
      <c r="E7" s="6" t="n">
        <v>17</v>
      </c>
      <c r="F7" s="12" t="n">
        <v>0.05</v>
      </c>
      <c r="G7" s="12" t="n">
        <v>0.02</v>
      </c>
      <c r="H7" s="6" t="s">
        <v>690</v>
      </c>
      <c r="I7" s="6" t="s">
        <v>80</v>
      </c>
      <c r="J7" s="6" t="str">
        <f aca="false">IF(E7&lt;=15,"Very Easy",IF(E7&lt;=25,"Easy",IF(E7&lt;=40,"Medium","Hard")))</f>
        <v>Easy</v>
      </c>
      <c r="K7" s="6" t="s">
        <v>679</v>
      </c>
      <c r="L7" s="13" t="s">
        <v>674</v>
      </c>
      <c r="M7" s="6" t="s">
        <v>675</v>
      </c>
      <c r="N7" s="14" t="n">
        <f aca="false">ROUND(D7/MAX(E7,1),1)</f>
        <v>1305.9</v>
      </c>
      <c r="O7" s="6" t="s">
        <v>682</v>
      </c>
    </row>
    <row r="8" customFormat="false" ht="15" hidden="false" customHeight="false" outlineLevel="0" collapsed="false">
      <c r="A8" s="6" t="n">
        <v>7</v>
      </c>
      <c r="B8" s="6" t="s">
        <v>691</v>
      </c>
      <c r="C8" s="6" t="s">
        <v>692</v>
      </c>
      <c r="D8" s="7" t="n">
        <v>14800</v>
      </c>
      <c r="E8" s="6" t="n">
        <v>13</v>
      </c>
      <c r="F8" s="12" t="n">
        <v>0</v>
      </c>
      <c r="G8" s="12" t="n">
        <v>0.33</v>
      </c>
      <c r="H8" s="6" t="s">
        <v>693</v>
      </c>
      <c r="I8" s="6" t="s">
        <v>80</v>
      </c>
      <c r="J8" s="6" t="str">
        <f aca="false">IF(E8&lt;=15,"Very Easy",IF(E8&lt;=25,"Easy",IF(E8&lt;=40,"Medium","Hard")))</f>
        <v>Very Easy</v>
      </c>
      <c r="K8" s="6" t="s">
        <v>694</v>
      </c>
      <c r="L8" s="13" t="s">
        <v>674</v>
      </c>
      <c r="M8" s="6" t="s">
        <v>675</v>
      </c>
      <c r="N8" s="14" t="n">
        <f aca="false">ROUND(D8/MAX(E8,1),1)</f>
        <v>1138.5</v>
      </c>
      <c r="O8" s="6" t="s">
        <v>676</v>
      </c>
    </row>
    <row r="9" customFormat="false" ht="15" hidden="false" customHeight="false" outlineLevel="0" collapsed="false">
      <c r="A9" s="6" t="n">
        <v>8</v>
      </c>
      <c r="B9" s="6" t="s">
        <v>695</v>
      </c>
      <c r="C9" s="6" t="s">
        <v>552</v>
      </c>
      <c r="D9" s="7" t="n">
        <v>14800</v>
      </c>
      <c r="E9" s="6" t="n">
        <v>13</v>
      </c>
      <c r="F9" s="12" t="n">
        <v>0.12</v>
      </c>
      <c r="G9" s="12" t="n">
        <v>0.1</v>
      </c>
      <c r="H9" s="6" t="s">
        <v>678</v>
      </c>
      <c r="I9" s="6" t="s">
        <v>80</v>
      </c>
      <c r="J9" s="6" t="str">
        <f aca="false">IF(E9&lt;=15,"Very Easy",IF(E9&lt;=25,"Easy",IF(E9&lt;=40,"Medium","Hard")))</f>
        <v>Very Easy</v>
      </c>
      <c r="K9" s="6" t="s">
        <v>681</v>
      </c>
      <c r="L9" s="13" t="s">
        <v>674</v>
      </c>
      <c r="M9" s="6" t="s">
        <v>675</v>
      </c>
      <c r="N9" s="14" t="n">
        <f aca="false">ROUND(D9/MAX(E9,1),1)</f>
        <v>1138.5</v>
      </c>
      <c r="O9" s="6" t="s">
        <v>682</v>
      </c>
    </row>
    <row r="10" customFormat="false" ht="15" hidden="false" customHeight="false" outlineLevel="0" collapsed="false">
      <c r="A10" s="6" t="n">
        <v>9</v>
      </c>
      <c r="B10" s="6" t="s">
        <v>696</v>
      </c>
      <c r="C10" s="6" t="s">
        <v>692</v>
      </c>
      <c r="D10" s="7" t="n">
        <v>22200</v>
      </c>
      <c r="E10" s="6" t="n">
        <v>20</v>
      </c>
      <c r="F10" s="12" t="n">
        <v>0</v>
      </c>
      <c r="G10" s="12" t="n">
        <v>0.33</v>
      </c>
      <c r="H10" s="6" t="s">
        <v>678</v>
      </c>
      <c r="I10" s="6" t="s">
        <v>80</v>
      </c>
      <c r="J10" s="6" t="str">
        <f aca="false">IF(E10&lt;=15,"Very Easy",IF(E10&lt;=25,"Easy",IF(E10&lt;=40,"Medium","Hard")))</f>
        <v>Easy</v>
      </c>
      <c r="K10" s="6" t="s">
        <v>679</v>
      </c>
      <c r="L10" s="13" t="s">
        <v>674</v>
      </c>
      <c r="M10" s="6" t="s">
        <v>675</v>
      </c>
      <c r="N10" s="14" t="n">
        <f aca="false">ROUND(D10/MAX(E10,1),1)</f>
        <v>1110</v>
      </c>
      <c r="O10" s="6" t="s">
        <v>682</v>
      </c>
    </row>
    <row r="11" customFormat="false" ht="15" hidden="false" customHeight="false" outlineLevel="0" collapsed="false">
      <c r="A11" s="6" t="n">
        <v>10</v>
      </c>
      <c r="B11" s="6" t="s">
        <v>697</v>
      </c>
      <c r="C11" s="6" t="s">
        <v>128</v>
      </c>
      <c r="D11" s="7" t="n">
        <v>9900</v>
      </c>
      <c r="E11" s="6" t="n">
        <v>10</v>
      </c>
      <c r="F11" s="12" t="n">
        <v>0.13</v>
      </c>
      <c r="G11" s="12" t="n">
        <v>0.09</v>
      </c>
      <c r="H11" s="6" t="s">
        <v>678</v>
      </c>
      <c r="I11" s="6" t="s">
        <v>80</v>
      </c>
      <c r="J11" s="6" t="str">
        <f aca="false">IF(E11&lt;=15,"Very Easy",IF(E11&lt;=25,"Easy",IF(E11&lt;=40,"Medium","Hard")))</f>
        <v>Very Easy</v>
      </c>
      <c r="K11" s="6" t="s">
        <v>681</v>
      </c>
      <c r="L11" s="13" t="s">
        <v>674</v>
      </c>
      <c r="M11" s="6" t="s">
        <v>675</v>
      </c>
      <c r="N11" s="14" t="n">
        <f aca="false">ROUND(D11/MAX(E11,1),1)</f>
        <v>990</v>
      </c>
      <c r="O11" s="6" t="s">
        <v>682</v>
      </c>
    </row>
    <row r="12" customFormat="false" ht="15" hidden="false" customHeight="false" outlineLevel="0" collapsed="false">
      <c r="A12" s="6" t="n">
        <v>11</v>
      </c>
      <c r="B12" s="6" t="s">
        <v>698</v>
      </c>
      <c r="C12" s="6" t="s">
        <v>692</v>
      </c>
      <c r="D12" s="7" t="n">
        <v>14800</v>
      </c>
      <c r="E12" s="6" t="n">
        <v>15</v>
      </c>
      <c r="F12" s="12" t="n">
        <v>0.31</v>
      </c>
      <c r="G12" s="12" t="n">
        <v>0.01</v>
      </c>
      <c r="H12" s="6" t="s">
        <v>678</v>
      </c>
      <c r="I12" s="6" t="s">
        <v>80</v>
      </c>
      <c r="J12" s="6" t="str">
        <f aca="false">IF(E12&lt;=15,"Very Easy",IF(E12&lt;=25,"Easy",IF(E12&lt;=40,"Medium","Hard")))</f>
        <v>Very Easy</v>
      </c>
      <c r="K12" s="6" t="s">
        <v>681</v>
      </c>
      <c r="L12" s="13" t="s">
        <v>674</v>
      </c>
      <c r="M12" s="6" t="s">
        <v>675</v>
      </c>
      <c r="N12" s="14" t="n">
        <f aca="false">ROUND(D12/MAX(E12,1),1)</f>
        <v>986.7</v>
      </c>
      <c r="O12" s="6" t="s">
        <v>682</v>
      </c>
    </row>
    <row r="13" customFormat="false" ht="15" hidden="false" customHeight="false" outlineLevel="0" collapsed="false">
      <c r="A13" s="6" t="n">
        <v>12</v>
      </c>
      <c r="B13" s="6" t="s">
        <v>699</v>
      </c>
      <c r="C13" s="6" t="s">
        <v>269</v>
      </c>
      <c r="D13" s="7" t="n">
        <v>14800</v>
      </c>
      <c r="E13" s="6" t="n">
        <v>17</v>
      </c>
      <c r="F13" s="12" t="n">
        <v>0</v>
      </c>
      <c r="G13" s="12" t="n">
        <v>0.33</v>
      </c>
      <c r="H13" s="6" t="s">
        <v>678</v>
      </c>
      <c r="I13" s="6" t="s">
        <v>80</v>
      </c>
      <c r="J13" s="6" t="str">
        <f aca="false">IF(E13&lt;=15,"Very Easy",IF(E13&lt;=25,"Easy",IF(E13&lt;=40,"Medium","Hard")))</f>
        <v>Easy</v>
      </c>
      <c r="K13" s="6" t="s">
        <v>679</v>
      </c>
      <c r="L13" s="13" t="s">
        <v>674</v>
      </c>
      <c r="M13" s="6" t="s">
        <v>675</v>
      </c>
      <c r="N13" s="14" t="n">
        <f aca="false">ROUND(D13/MAX(E13,1),1)</f>
        <v>870.6</v>
      </c>
      <c r="O13" s="6" t="s">
        <v>682</v>
      </c>
    </row>
    <row r="14" customFormat="false" ht="15" hidden="false" customHeight="false" outlineLevel="0" collapsed="false">
      <c r="A14" s="6" t="n">
        <v>13</v>
      </c>
      <c r="B14" s="6" t="s">
        <v>700</v>
      </c>
      <c r="C14" s="6" t="s">
        <v>128</v>
      </c>
      <c r="D14" s="7" t="n">
        <v>12100</v>
      </c>
      <c r="E14" s="6" t="n">
        <v>14</v>
      </c>
      <c r="F14" s="12" t="n">
        <v>0.22</v>
      </c>
      <c r="G14" s="12" t="n">
        <v>0.33</v>
      </c>
      <c r="H14" s="6" t="s">
        <v>672</v>
      </c>
      <c r="I14" s="6" t="s">
        <v>80</v>
      </c>
      <c r="J14" s="6" t="str">
        <f aca="false">IF(E14&lt;=15,"Very Easy",IF(E14&lt;=25,"Easy",IF(E14&lt;=40,"Medium","Hard")))</f>
        <v>Very Easy</v>
      </c>
      <c r="K14" s="6" t="s">
        <v>673</v>
      </c>
      <c r="L14" s="13" t="s">
        <v>674</v>
      </c>
      <c r="M14" s="6" t="s">
        <v>675</v>
      </c>
      <c r="N14" s="14" t="n">
        <f aca="false">ROUND(D14/MAX(E14,1),1)</f>
        <v>864.3</v>
      </c>
      <c r="O14" s="6" t="s">
        <v>676</v>
      </c>
    </row>
    <row r="15" customFormat="false" ht="15" hidden="false" customHeight="false" outlineLevel="0" collapsed="false">
      <c r="A15" s="6" t="n">
        <v>14</v>
      </c>
      <c r="B15" s="6" t="s">
        <v>701</v>
      </c>
      <c r="C15" s="6" t="s">
        <v>231</v>
      </c>
      <c r="D15" s="7" t="n">
        <v>8100</v>
      </c>
      <c r="E15" s="6" t="n">
        <v>10</v>
      </c>
      <c r="F15" s="12" t="n">
        <v>0.13</v>
      </c>
      <c r="G15" s="12" t="n">
        <v>0.11</v>
      </c>
      <c r="H15" s="6" t="s">
        <v>678</v>
      </c>
      <c r="I15" s="6" t="s">
        <v>80</v>
      </c>
      <c r="J15" s="6" t="str">
        <f aca="false">IF(E15&lt;=15,"Very Easy",IF(E15&lt;=25,"Easy",IF(E15&lt;=40,"Medium","Hard")))</f>
        <v>Very Easy</v>
      </c>
      <c r="K15" s="6" t="s">
        <v>681</v>
      </c>
      <c r="L15" s="13" t="s">
        <v>674</v>
      </c>
      <c r="M15" s="6" t="s">
        <v>675</v>
      </c>
      <c r="N15" s="14" t="n">
        <f aca="false">ROUND(D15/MAX(E15,1),1)</f>
        <v>810</v>
      </c>
      <c r="O15" s="6" t="s">
        <v>682</v>
      </c>
    </row>
    <row r="16" customFormat="false" ht="15" hidden="false" customHeight="false" outlineLevel="0" collapsed="false">
      <c r="A16" s="6" t="n">
        <v>15</v>
      </c>
      <c r="B16" s="6" t="s">
        <v>702</v>
      </c>
      <c r="C16" s="6" t="s">
        <v>552</v>
      </c>
      <c r="D16" s="7" t="n">
        <v>8100</v>
      </c>
      <c r="E16" s="6" t="n">
        <v>10</v>
      </c>
      <c r="F16" s="12" t="n">
        <v>0.08</v>
      </c>
      <c r="G16" s="12" t="n">
        <v>0.03</v>
      </c>
      <c r="H16" s="6" t="s">
        <v>693</v>
      </c>
      <c r="I16" s="6" t="s">
        <v>80</v>
      </c>
      <c r="J16" s="6" t="str">
        <f aca="false">IF(E16&lt;=15,"Very Easy",IF(E16&lt;=25,"Easy",IF(E16&lt;=40,"Medium","Hard")))</f>
        <v>Very Easy</v>
      </c>
      <c r="K16" s="6" t="s">
        <v>694</v>
      </c>
      <c r="L16" s="13" t="s">
        <v>674</v>
      </c>
      <c r="M16" s="6" t="s">
        <v>675</v>
      </c>
      <c r="N16" s="14" t="n">
        <f aca="false">ROUND(D16/MAX(E16,1),1)</f>
        <v>810</v>
      </c>
      <c r="O16" s="6" t="s">
        <v>676</v>
      </c>
    </row>
    <row r="17" customFormat="false" ht="15" hidden="false" customHeight="false" outlineLevel="0" collapsed="false">
      <c r="A17" s="6" t="n">
        <v>16</v>
      </c>
      <c r="B17" s="6" t="s">
        <v>703</v>
      </c>
      <c r="C17" s="6" t="s">
        <v>128</v>
      </c>
      <c r="D17" s="7" t="n">
        <v>12100</v>
      </c>
      <c r="E17" s="6" t="n">
        <v>15</v>
      </c>
      <c r="F17" s="12" t="n">
        <v>0.05</v>
      </c>
      <c r="G17" s="12" t="n">
        <v>0.03</v>
      </c>
      <c r="H17" s="6" t="s">
        <v>672</v>
      </c>
      <c r="I17" s="6" t="s">
        <v>80</v>
      </c>
      <c r="J17" s="6" t="str">
        <f aca="false">IF(E17&lt;=15,"Very Easy",IF(E17&lt;=25,"Easy",IF(E17&lt;=40,"Medium","Hard")))</f>
        <v>Very Easy</v>
      </c>
      <c r="K17" s="6" t="s">
        <v>673</v>
      </c>
      <c r="L17" s="13" t="s">
        <v>674</v>
      </c>
      <c r="M17" s="6" t="s">
        <v>675</v>
      </c>
      <c r="N17" s="14" t="n">
        <f aca="false">ROUND(D17/MAX(E17,1),1)</f>
        <v>806.7</v>
      </c>
      <c r="O17" s="6" t="s">
        <v>676</v>
      </c>
    </row>
    <row r="18" customFormat="false" ht="15" hidden="false" customHeight="false" outlineLevel="0" collapsed="false">
      <c r="A18" s="6" t="n">
        <v>17</v>
      </c>
      <c r="B18" s="6" t="s">
        <v>704</v>
      </c>
      <c r="C18" s="6" t="s">
        <v>128</v>
      </c>
      <c r="D18" s="7" t="n">
        <v>14800</v>
      </c>
      <c r="E18" s="6" t="n">
        <v>19</v>
      </c>
      <c r="F18" s="12" t="n">
        <v>0.04</v>
      </c>
      <c r="G18" s="12" t="n">
        <v>0.1</v>
      </c>
      <c r="H18" s="6" t="s">
        <v>678</v>
      </c>
      <c r="I18" s="6" t="s">
        <v>80</v>
      </c>
      <c r="J18" s="6" t="str">
        <f aca="false">IF(E18&lt;=15,"Very Easy",IF(E18&lt;=25,"Easy",IF(E18&lt;=40,"Medium","Hard")))</f>
        <v>Easy</v>
      </c>
      <c r="K18" s="6" t="s">
        <v>679</v>
      </c>
      <c r="L18" s="13" t="s">
        <v>674</v>
      </c>
      <c r="M18" s="6" t="s">
        <v>675</v>
      </c>
      <c r="N18" s="14" t="n">
        <f aca="false">ROUND(D18/MAX(E18,1),1)</f>
        <v>778.9</v>
      </c>
      <c r="O18" s="6" t="s">
        <v>682</v>
      </c>
    </row>
    <row r="19" customFormat="false" ht="15" hidden="false" customHeight="false" outlineLevel="0" collapsed="false">
      <c r="A19" s="6" t="n">
        <v>18</v>
      </c>
      <c r="B19" s="6" t="s">
        <v>705</v>
      </c>
      <c r="C19" s="6" t="s">
        <v>269</v>
      </c>
      <c r="D19" s="7" t="n">
        <v>14800</v>
      </c>
      <c r="E19" s="6" t="n">
        <v>23</v>
      </c>
      <c r="F19" s="12" t="n">
        <v>0.05</v>
      </c>
      <c r="G19" s="12" t="n">
        <v>0.19</v>
      </c>
      <c r="H19" s="6" t="s">
        <v>706</v>
      </c>
      <c r="I19" s="6" t="s">
        <v>80</v>
      </c>
      <c r="J19" s="6" t="str">
        <f aca="false">IF(E19&lt;=15,"Very Easy",IF(E19&lt;=25,"Easy",IF(E19&lt;=40,"Medium","Hard")))</f>
        <v>Easy</v>
      </c>
      <c r="K19" s="6" t="s">
        <v>687</v>
      </c>
      <c r="L19" s="13" t="s">
        <v>674</v>
      </c>
      <c r="M19" s="6" t="s">
        <v>675</v>
      </c>
      <c r="N19" s="14" t="n">
        <f aca="false">ROUND(D19/MAX(E19,1),1)</f>
        <v>643.5</v>
      </c>
      <c r="O19" s="6" t="s">
        <v>688</v>
      </c>
    </row>
    <row r="20" customFormat="false" ht="15" hidden="false" customHeight="false" outlineLevel="0" collapsed="false">
      <c r="A20" s="6" t="n">
        <v>19</v>
      </c>
      <c r="B20" s="6" t="s">
        <v>707</v>
      </c>
      <c r="C20" s="6" t="s">
        <v>685</v>
      </c>
      <c r="D20" s="7" t="n">
        <v>18100</v>
      </c>
      <c r="E20" s="6" t="n">
        <v>29</v>
      </c>
      <c r="F20" s="12" t="n">
        <v>0.07</v>
      </c>
      <c r="G20" s="12" t="n">
        <v>0.12</v>
      </c>
      <c r="H20" s="6" t="s">
        <v>678</v>
      </c>
      <c r="I20" s="6" t="s">
        <v>80</v>
      </c>
      <c r="J20" s="6" t="str">
        <f aca="false">IF(E20&lt;=15,"Very Easy",IF(E20&lt;=25,"Easy",IF(E20&lt;=40,"Medium","Hard")))</f>
        <v>Medium</v>
      </c>
      <c r="K20" s="6" t="s">
        <v>679</v>
      </c>
      <c r="L20" s="13" t="s">
        <v>674</v>
      </c>
      <c r="M20" s="6" t="s">
        <v>675</v>
      </c>
      <c r="N20" s="14" t="n">
        <f aca="false">ROUND(D20/MAX(E20,1),1)</f>
        <v>624.1</v>
      </c>
      <c r="O20" s="6" t="s">
        <v>682</v>
      </c>
    </row>
    <row r="21" customFormat="false" ht="15" hidden="false" customHeight="false" outlineLevel="0" collapsed="false">
      <c r="A21" s="6" t="n">
        <v>20</v>
      </c>
      <c r="B21" s="6" t="s">
        <v>708</v>
      </c>
      <c r="C21" s="6" t="s">
        <v>231</v>
      </c>
      <c r="D21" s="7" t="n">
        <v>12100</v>
      </c>
      <c r="E21" s="6" t="n">
        <v>20</v>
      </c>
      <c r="F21" s="12" t="n">
        <v>0.08</v>
      </c>
      <c r="G21" s="12" t="n">
        <v>0.07</v>
      </c>
      <c r="H21" s="6" t="s">
        <v>678</v>
      </c>
      <c r="I21" s="6" t="s">
        <v>80</v>
      </c>
      <c r="J21" s="6" t="str">
        <f aca="false">IF(E21&lt;=15,"Very Easy",IF(E21&lt;=25,"Easy",IF(E21&lt;=40,"Medium","Hard")))</f>
        <v>Easy</v>
      </c>
      <c r="K21" s="6" t="s">
        <v>679</v>
      </c>
      <c r="L21" s="13" t="s">
        <v>674</v>
      </c>
      <c r="M21" s="6" t="s">
        <v>675</v>
      </c>
      <c r="N21" s="14" t="n">
        <f aca="false">ROUND(D21/MAX(E21,1),1)</f>
        <v>605</v>
      </c>
      <c r="O21" s="6" t="s">
        <v>682</v>
      </c>
    </row>
    <row r="22" customFormat="false" ht="15" hidden="false" customHeight="false" outlineLevel="0" collapsed="false">
      <c r="A22" s="6" t="n">
        <v>21</v>
      </c>
      <c r="B22" s="6" t="s">
        <v>709</v>
      </c>
      <c r="C22" s="6" t="s">
        <v>128</v>
      </c>
      <c r="D22" s="7" t="n">
        <v>8100</v>
      </c>
      <c r="E22" s="6" t="n">
        <v>14</v>
      </c>
      <c r="F22" s="12" t="n">
        <v>0.11</v>
      </c>
      <c r="G22" s="12" t="n">
        <v>0.15</v>
      </c>
      <c r="H22" s="6" t="s">
        <v>693</v>
      </c>
      <c r="I22" s="6" t="s">
        <v>80</v>
      </c>
      <c r="J22" s="6" t="str">
        <f aca="false">IF(E22&lt;=15,"Very Easy",IF(E22&lt;=25,"Easy",IF(E22&lt;=40,"Medium","Hard")))</f>
        <v>Very Easy</v>
      </c>
      <c r="K22" s="6" t="s">
        <v>694</v>
      </c>
      <c r="L22" s="13" t="s">
        <v>674</v>
      </c>
      <c r="M22" s="6" t="s">
        <v>675</v>
      </c>
      <c r="N22" s="14" t="n">
        <f aca="false">ROUND(D22/MAX(E22,1),1)</f>
        <v>578.6</v>
      </c>
      <c r="O22" s="6" t="s">
        <v>676</v>
      </c>
    </row>
    <row r="23" customFormat="false" ht="15" hidden="false" customHeight="false" outlineLevel="0" collapsed="false">
      <c r="A23" s="6" t="n">
        <v>22</v>
      </c>
      <c r="B23" s="6" t="s">
        <v>710</v>
      </c>
      <c r="C23" s="6" t="s">
        <v>552</v>
      </c>
      <c r="D23" s="7" t="n">
        <v>8100</v>
      </c>
      <c r="E23" s="6" t="n">
        <v>14</v>
      </c>
      <c r="F23" s="12" t="n">
        <v>0.03</v>
      </c>
      <c r="G23" s="12" t="n">
        <v>0.04</v>
      </c>
      <c r="H23" s="6" t="s">
        <v>678</v>
      </c>
      <c r="I23" s="6" t="s">
        <v>80</v>
      </c>
      <c r="J23" s="6" t="str">
        <f aca="false">IF(E23&lt;=15,"Very Easy",IF(E23&lt;=25,"Easy",IF(E23&lt;=40,"Medium","Hard")))</f>
        <v>Very Easy</v>
      </c>
      <c r="K23" s="6" t="s">
        <v>679</v>
      </c>
      <c r="L23" s="13" t="s">
        <v>674</v>
      </c>
      <c r="M23" s="6" t="s">
        <v>675</v>
      </c>
      <c r="N23" s="14" t="n">
        <f aca="false">ROUND(D23/MAX(E23,1),1)</f>
        <v>578.6</v>
      </c>
      <c r="O23" s="6" t="s">
        <v>682</v>
      </c>
    </row>
    <row r="24" customFormat="false" ht="15" hidden="false" customHeight="false" outlineLevel="0" collapsed="false">
      <c r="A24" s="6" t="n">
        <v>23</v>
      </c>
      <c r="B24" s="6" t="s">
        <v>711</v>
      </c>
      <c r="C24" s="6" t="s">
        <v>128</v>
      </c>
      <c r="D24" s="7" t="n">
        <v>12100</v>
      </c>
      <c r="E24" s="6" t="n">
        <v>21</v>
      </c>
      <c r="F24" s="12" t="n">
        <v>0.14</v>
      </c>
      <c r="G24" s="12" t="n">
        <v>0.11</v>
      </c>
      <c r="H24" s="6" t="s">
        <v>678</v>
      </c>
      <c r="I24" s="6" t="s">
        <v>80</v>
      </c>
      <c r="J24" s="6" t="str">
        <f aca="false">IF(E24&lt;=15,"Very Easy",IF(E24&lt;=25,"Easy",IF(E24&lt;=40,"Medium","Hard")))</f>
        <v>Easy</v>
      </c>
      <c r="K24" s="6" t="s">
        <v>681</v>
      </c>
      <c r="L24" s="13" t="s">
        <v>674</v>
      </c>
      <c r="M24" s="6" t="s">
        <v>675</v>
      </c>
      <c r="N24" s="14" t="n">
        <f aca="false">ROUND(D24/MAX(E24,1),1)</f>
        <v>576.2</v>
      </c>
      <c r="O24" s="6" t="s">
        <v>682</v>
      </c>
    </row>
    <row r="25" customFormat="false" ht="15" hidden="false" customHeight="false" outlineLevel="0" collapsed="false">
      <c r="A25" s="6" t="n">
        <v>24</v>
      </c>
      <c r="B25" s="6" t="s">
        <v>712</v>
      </c>
      <c r="C25" s="6" t="s">
        <v>128</v>
      </c>
      <c r="D25" s="7" t="n">
        <v>14800</v>
      </c>
      <c r="E25" s="6" t="n">
        <v>26</v>
      </c>
      <c r="F25" s="12" t="n">
        <v>0.15</v>
      </c>
      <c r="G25" s="12" t="n">
        <v>0.02</v>
      </c>
      <c r="H25" s="6" t="s">
        <v>678</v>
      </c>
      <c r="I25" s="6" t="s">
        <v>80</v>
      </c>
      <c r="J25" s="6" t="str">
        <f aca="false">IF(E25&lt;=15,"Very Easy",IF(E25&lt;=25,"Easy",IF(E25&lt;=40,"Medium","Hard")))</f>
        <v>Medium</v>
      </c>
      <c r="K25" s="6" t="s">
        <v>681</v>
      </c>
      <c r="L25" s="13" t="s">
        <v>674</v>
      </c>
      <c r="M25" s="6" t="s">
        <v>675</v>
      </c>
      <c r="N25" s="14" t="n">
        <f aca="false">ROUND(D25/MAX(E25,1),1)</f>
        <v>569.2</v>
      </c>
      <c r="O25" s="6" t="s">
        <v>682</v>
      </c>
    </row>
    <row r="26" customFormat="false" ht="15" hidden="false" customHeight="false" outlineLevel="0" collapsed="false">
      <c r="A26" s="6" t="n">
        <v>25</v>
      </c>
      <c r="B26" s="6" t="s">
        <v>713</v>
      </c>
      <c r="C26" s="6" t="s">
        <v>714</v>
      </c>
      <c r="D26" s="7" t="n">
        <v>4400</v>
      </c>
      <c r="E26" s="6" t="n">
        <v>8</v>
      </c>
      <c r="F26" s="12" t="n">
        <v>0.08</v>
      </c>
      <c r="G26" s="12" t="n">
        <v>0.2</v>
      </c>
      <c r="H26" s="6" t="s">
        <v>672</v>
      </c>
      <c r="I26" s="6" t="s">
        <v>80</v>
      </c>
      <c r="J26" s="6" t="str">
        <f aca="false">IF(E26&lt;=15,"Very Easy",IF(E26&lt;=25,"Easy",IF(E26&lt;=40,"Medium","Hard")))</f>
        <v>Very Easy</v>
      </c>
      <c r="K26" s="6" t="s">
        <v>673</v>
      </c>
      <c r="L26" s="13" t="s">
        <v>715</v>
      </c>
      <c r="M26" s="6" t="s">
        <v>716</v>
      </c>
      <c r="N26" s="14" t="n">
        <f aca="false">ROUND(D26/MAX(E26,1),1)</f>
        <v>550</v>
      </c>
      <c r="O26" s="6" t="s">
        <v>676</v>
      </c>
    </row>
    <row r="27" customFormat="false" ht="15" hidden="false" customHeight="false" outlineLevel="0" collapsed="false">
      <c r="A27" s="6" t="n">
        <v>26</v>
      </c>
      <c r="B27" s="6" t="s">
        <v>717</v>
      </c>
      <c r="C27" s="6" t="s">
        <v>269</v>
      </c>
      <c r="D27" s="7" t="n">
        <v>6600</v>
      </c>
      <c r="E27" s="6" t="n">
        <v>12</v>
      </c>
      <c r="F27" s="12" t="n">
        <v>0.04</v>
      </c>
      <c r="G27" s="12" t="n">
        <v>0.15</v>
      </c>
      <c r="H27" s="6" t="s">
        <v>693</v>
      </c>
      <c r="I27" s="6" t="s">
        <v>80</v>
      </c>
      <c r="J27" s="6" t="str">
        <f aca="false">IF(E27&lt;=15,"Very Easy",IF(E27&lt;=25,"Easy",IF(E27&lt;=40,"Medium","Hard")))</f>
        <v>Very Easy</v>
      </c>
      <c r="K27" s="6" t="s">
        <v>694</v>
      </c>
      <c r="L27" s="13" t="s">
        <v>674</v>
      </c>
      <c r="M27" s="6" t="s">
        <v>675</v>
      </c>
      <c r="N27" s="14" t="n">
        <f aca="false">ROUND(D27/MAX(E27,1),1)</f>
        <v>550</v>
      </c>
      <c r="O27" s="6" t="s">
        <v>676</v>
      </c>
    </row>
    <row r="28" customFormat="false" ht="15" hidden="false" customHeight="false" outlineLevel="0" collapsed="false">
      <c r="A28" s="6" t="n">
        <v>27</v>
      </c>
      <c r="B28" s="6" t="s">
        <v>718</v>
      </c>
      <c r="C28" s="6" t="s">
        <v>128</v>
      </c>
      <c r="D28" s="7" t="n">
        <v>6600</v>
      </c>
      <c r="E28" s="6" t="n">
        <v>12</v>
      </c>
      <c r="F28" s="12" t="n">
        <v>0.04</v>
      </c>
      <c r="G28" s="12" t="n">
        <v>0.04</v>
      </c>
      <c r="H28" s="6" t="s">
        <v>693</v>
      </c>
      <c r="I28" s="6" t="s">
        <v>80</v>
      </c>
      <c r="J28" s="6" t="str">
        <f aca="false">IF(E28&lt;=15,"Very Easy",IF(E28&lt;=25,"Easy",IF(E28&lt;=40,"Medium","Hard")))</f>
        <v>Very Easy</v>
      </c>
      <c r="K28" s="6" t="s">
        <v>694</v>
      </c>
      <c r="L28" s="13" t="s">
        <v>674</v>
      </c>
      <c r="M28" s="6" t="s">
        <v>675</v>
      </c>
      <c r="N28" s="14" t="n">
        <f aca="false">ROUND(D28/MAX(E28,1),1)</f>
        <v>550</v>
      </c>
      <c r="O28" s="6" t="s">
        <v>676</v>
      </c>
    </row>
    <row r="29" customFormat="false" ht="15" hidden="false" customHeight="false" outlineLevel="0" collapsed="false">
      <c r="A29" s="6" t="n">
        <v>28</v>
      </c>
      <c r="B29" s="6" t="s">
        <v>719</v>
      </c>
      <c r="C29" s="6" t="s">
        <v>552</v>
      </c>
      <c r="D29" s="7" t="n">
        <v>4400</v>
      </c>
      <c r="E29" s="6" t="n">
        <v>8</v>
      </c>
      <c r="F29" s="12" t="n">
        <v>0.05</v>
      </c>
      <c r="G29" s="12" t="n">
        <v>0.12</v>
      </c>
      <c r="H29" s="6" t="s">
        <v>678</v>
      </c>
      <c r="I29" s="6" t="s">
        <v>80</v>
      </c>
      <c r="J29" s="6" t="str">
        <f aca="false">IF(E29&lt;=15,"Very Easy",IF(E29&lt;=25,"Easy",IF(E29&lt;=40,"Medium","Hard")))</f>
        <v>Very Easy</v>
      </c>
      <c r="K29" s="6" t="s">
        <v>679</v>
      </c>
      <c r="L29" s="13" t="s">
        <v>674</v>
      </c>
      <c r="M29" s="6" t="s">
        <v>675</v>
      </c>
      <c r="N29" s="14" t="n">
        <f aca="false">ROUND(D29/MAX(E29,1),1)</f>
        <v>550</v>
      </c>
      <c r="O29" s="6" t="s">
        <v>682</v>
      </c>
    </row>
    <row r="30" customFormat="false" ht="15" hidden="false" customHeight="false" outlineLevel="0" collapsed="false">
      <c r="A30" s="6" t="n">
        <v>29</v>
      </c>
      <c r="B30" s="6" t="s">
        <v>720</v>
      </c>
      <c r="C30" s="6" t="s">
        <v>247</v>
      </c>
      <c r="D30" s="7" t="n">
        <v>6600</v>
      </c>
      <c r="E30" s="6" t="n">
        <v>12</v>
      </c>
      <c r="F30" s="12" t="n">
        <v>0.02</v>
      </c>
      <c r="G30" s="12" t="n">
        <v>0.1</v>
      </c>
      <c r="H30" s="6" t="s">
        <v>693</v>
      </c>
      <c r="I30" s="6" t="s">
        <v>80</v>
      </c>
      <c r="J30" s="6" t="str">
        <f aca="false">IF(E30&lt;=15,"Very Easy",IF(E30&lt;=25,"Easy",IF(E30&lt;=40,"Medium","Hard")))</f>
        <v>Very Easy</v>
      </c>
      <c r="K30" s="6" t="s">
        <v>694</v>
      </c>
      <c r="L30" s="13" t="s">
        <v>674</v>
      </c>
      <c r="M30" s="6" t="s">
        <v>675</v>
      </c>
      <c r="N30" s="14" t="n">
        <f aca="false">ROUND(D30/MAX(E30,1),1)</f>
        <v>550</v>
      </c>
      <c r="O30" s="6" t="s">
        <v>676</v>
      </c>
    </row>
    <row r="31" customFormat="false" ht="15" hidden="false" customHeight="false" outlineLevel="0" collapsed="false">
      <c r="A31" s="6" t="n">
        <v>30</v>
      </c>
      <c r="B31" s="6" t="s">
        <v>721</v>
      </c>
      <c r="C31" s="6" t="s">
        <v>552</v>
      </c>
      <c r="D31" s="7" t="n">
        <v>6600</v>
      </c>
      <c r="E31" s="6" t="n">
        <v>13</v>
      </c>
      <c r="F31" s="12" t="n">
        <v>0.03</v>
      </c>
      <c r="G31" s="12" t="n">
        <v>0.14</v>
      </c>
      <c r="H31" s="6" t="s">
        <v>693</v>
      </c>
      <c r="I31" s="6" t="s">
        <v>80</v>
      </c>
      <c r="J31" s="6" t="str">
        <f aca="false">IF(E31&lt;=15,"Very Easy",IF(E31&lt;=25,"Easy",IF(E31&lt;=40,"Medium","Hard")))</f>
        <v>Very Easy</v>
      </c>
      <c r="K31" s="6" t="s">
        <v>694</v>
      </c>
      <c r="L31" s="13" t="s">
        <v>674</v>
      </c>
      <c r="M31" s="6" t="s">
        <v>675</v>
      </c>
      <c r="N31" s="14" t="n">
        <f aca="false">ROUND(D31/MAX(E31,1),1)</f>
        <v>507.7</v>
      </c>
      <c r="O31" s="6" t="s">
        <v>676</v>
      </c>
    </row>
    <row r="32" customFormat="false" ht="15" hidden="false" customHeight="false" outlineLevel="0" collapsed="false">
      <c r="A32" s="6" t="n">
        <v>31</v>
      </c>
      <c r="B32" s="6" t="s">
        <v>722</v>
      </c>
      <c r="C32" s="6" t="s">
        <v>552</v>
      </c>
      <c r="D32" s="7" t="n">
        <v>4400</v>
      </c>
      <c r="E32" s="6" t="n">
        <v>9</v>
      </c>
      <c r="F32" s="12" t="n">
        <v>0.04</v>
      </c>
      <c r="G32" s="12" t="n">
        <v>0.03</v>
      </c>
      <c r="H32" s="6" t="s">
        <v>678</v>
      </c>
      <c r="I32" s="6" t="s">
        <v>80</v>
      </c>
      <c r="J32" s="6" t="str">
        <f aca="false">IF(E32&lt;=15,"Very Easy",IF(E32&lt;=25,"Easy",IF(E32&lt;=40,"Medium","Hard")))</f>
        <v>Very Easy</v>
      </c>
      <c r="K32" s="6" t="s">
        <v>679</v>
      </c>
      <c r="L32" s="13" t="s">
        <v>674</v>
      </c>
      <c r="M32" s="6" t="s">
        <v>675</v>
      </c>
      <c r="N32" s="14" t="n">
        <f aca="false">ROUND(D32/MAX(E32,1),1)</f>
        <v>488.9</v>
      </c>
      <c r="O32" s="6" t="s">
        <v>682</v>
      </c>
    </row>
    <row r="33" customFormat="false" ht="15" hidden="false" customHeight="false" outlineLevel="0" collapsed="false">
      <c r="A33" s="6" t="n">
        <v>32</v>
      </c>
      <c r="B33" s="6" t="s">
        <v>723</v>
      </c>
      <c r="C33" s="6" t="s">
        <v>128</v>
      </c>
      <c r="D33" s="7" t="n">
        <v>6600</v>
      </c>
      <c r="E33" s="6" t="n">
        <v>14</v>
      </c>
      <c r="F33" s="12" t="n">
        <v>0.13</v>
      </c>
      <c r="G33" s="12" t="n">
        <v>0.09</v>
      </c>
      <c r="H33" s="6" t="s">
        <v>672</v>
      </c>
      <c r="I33" s="6" t="s">
        <v>80</v>
      </c>
      <c r="J33" s="6" t="str">
        <f aca="false">IF(E33&lt;=15,"Very Easy",IF(E33&lt;=25,"Easy",IF(E33&lt;=40,"Medium","Hard")))</f>
        <v>Very Easy</v>
      </c>
      <c r="K33" s="6" t="s">
        <v>673</v>
      </c>
      <c r="L33" s="13" t="s">
        <v>674</v>
      </c>
      <c r="M33" s="6" t="s">
        <v>675</v>
      </c>
      <c r="N33" s="14" t="n">
        <f aca="false">ROUND(D33/MAX(E33,1),1)</f>
        <v>471.4</v>
      </c>
      <c r="O33" s="6" t="s">
        <v>682</v>
      </c>
    </row>
    <row r="34" customFormat="false" ht="15" hidden="false" customHeight="false" outlineLevel="0" collapsed="false">
      <c r="A34" s="6" t="n">
        <v>33</v>
      </c>
      <c r="B34" s="6" t="s">
        <v>724</v>
      </c>
      <c r="C34" s="6" t="s">
        <v>128</v>
      </c>
      <c r="D34" s="7" t="n">
        <v>6600</v>
      </c>
      <c r="E34" s="6" t="n">
        <v>14</v>
      </c>
      <c r="F34" s="12" t="n">
        <v>0.21</v>
      </c>
      <c r="G34" s="12" t="n">
        <v>0.13</v>
      </c>
      <c r="H34" s="6" t="s">
        <v>678</v>
      </c>
      <c r="I34" s="6" t="s">
        <v>80</v>
      </c>
      <c r="J34" s="6" t="str">
        <f aca="false">IF(E34&lt;=15,"Very Easy",IF(E34&lt;=25,"Easy",IF(E34&lt;=40,"Medium","Hard")))</f>
        <v>Very Easy</v>
      </c>
      <c r="K34" s="6" t="s">
        <v>681</v>
      </c>
      <c r="L34" s="13" t="s">
        <v>674</v>
      </c>
      <c r="M34" s="6" t="s">
        <v>675</v>
      </c>
      <c r="N34" s="14" t="n">
        <f aca="false">ROUND(D34/MAX(E34,1),1)</f>
        <v>471.4</v>
      </c>
      <c r="O34" s="6" t="s">
        <v>682</v>
      </c>
    </row>
    <row r="35" customFormat="false" ht="15" hidden="false" customHeight="false" outlineLevel="0" collapsed="false">
      <c r="A35" s="6" t="n">
        <v>34</v>
      </c>
      <c r="B35" s="6" t="s">
        <v>725</v>
      </c>
      <c r="C35" s="6" t="s">
        <v>247</v>
      </c>
      <c r="D35" s="7" t="n">
        <v>6600</v>
      </c>
      <c r="E35" s="6" t="n">
        <v>14</v>
      </c>
      <c r="F35" s="12" t="n">
        <v>0.03</v>
      </c>
      <c r="G35" s="12" t="n">
        <v>0.33</v>
      </c>
      <c r="H35" s="6" t="s">
        <v>690</v>
      </c>
      <c r="I35" s="6" t="s">
        <v>80</v>
      </c>
      <c r="J35" s="6" t="str">
        <f aca="false">IF(E35&lt;=15,"Very Easy",IF(E35&lt;=25,"Easy",IF(E35&lt;=40,"Medium","Hard")))</f>
        <v>Very Easy</v>
      </c>
      <c r="K35" s="6" t="s">
        <v>679</v>
      </c>
      <c r="L35" s="13" t="s">
        <v>674</v>
      </c>
      <c r="M35" s="6" t="s">
        <v>675</v>
      </c>
      <c r="N35" s="14" t="n">
        <f aca="false">ROUND(D35/MAX(E35,1),1)</f>
        <v>471.4</v>
      </c>
      <c r="O35" s="6" t="s">
        <v>682</v>
      </c>
    </row>
    <row r="36" customFormat="false" ht="15" hidden="false" customHeight="false" outlineLevel="0" collapsed="false">
      <c r="A36" s="6" t="n">
        <v>35</v>
      </c>
      <c r="B36" s="6" t="s">
        <v>726</v>
      </c>
      <c r="C36" s="6" t="s">
        <v>552</v>
      </c>
      <c r="D36" s="7" t="n">
        <v>5400</v>
      </c>
      <c r="E36" s="6" t="n">
        <v>13</v>
      </c>
      <c r="F36" s="12" t="n">
        <v>0.13</v>
      </c>
      <c r="G36" s="12" t="n">
        <v>0.09</v>
      </c>
      <c r="H36" s="6" t="s">
        <v>727</v>
      </c>
      <c r="I36" s="6" t="s">
        <v>80</v>
      </c>
      <c r="J36" s="6" t="str">
        <f aca="false">IF(E36&lt;=15,"Very Easy",IF(E36&lt;=25,"Easy",IF(E36&lt;=40,"Medium","Hard")))</f>
        <v>Very Easy</v>
      </c>
      <c r="K36" s="6" t="s">
        <v>681</v>
      </c>
      <c r="L36" s="13" t="s">
        <v>674</v>
      </c>
      <c r="M36" s="6" t="s">
        <v>675</v>
      </c>
      <c r="N36" s="14" t="n">
        <f aca="false">ROUND(D36/MAX(E36,1),1)</f>
        <v>415.4</v>
      </c>
      <c r="O36" s="6" t="s">
        <v>682</v>
      </c>
    </row>
    <row r="37" customFormat="false" ht="15" hidden="false" customHeight="false" outlineLevel="0" collapsed="false">
      <c r="A37" s="6" t="n">
        <v>36</v>
      </c>
      <c r="B37" s="6" t="s">
        <v>728</v>
      </c>
      <c r="C37" s="6" t="s">
        <v>714</v>
      </c>
      <c r="D37" s="7" t="n">
        <v>2900</v>
      </c>
      <c r="E37" s="6" t="n">
        <v>7</v>
      </c>
      <c r="F37" s="12" t="n">
        <v>0.13</v>
      </c>
      <c r="G37" s="12" t="n">
        <v>0.41</v>
      </c>
      <c r="H37" s="6" t="s">
        <v>678</v>
      </c>
      <c r="I37" s="6" t="s">
        <v>80</v>
      </c>
      <c r="J37" s="6" t="str">
        <f aca="false">IF(E37&lt;=15,"Very Easy",IF(E37&lt;=25,"Easy",IF(E37&lt;=40,"Medium","Hard")))</f>
        <v>Very Easy</v>
      </c>
      <c r="K37" s="6" t="s">
        <v>681</v>
      </c>
      <c r="L37" s="13" t="s">
        <v>674</v>
      </c>
      <c r="M37" s="6" t="s">
        <v>675</v>
      </c>
      <c r="N37" s="14" t="n">
        <f aca="false">ROUND(D37/MAX(E37,1),1)</f>
        <v>414.3</v>
      </c>
      <c r="O37" s="6" t="s">
        <v>729</v>
      </c>
    </row>
    <row r="38" customFormat="false" ht="15" hidden="false" customHeight="false" outlineLevel="0" collapsed="false">
      <c r="A38" s="6" t="n">
        <v>37</v>
      </c>
      <c r="B38" s="6" t="s">
        <v>730</v>
      </c>
      <c r="C38" s="6" t="s">
        <v>269</v>
      </c>
      <c r="D38" s="7" t="n">
        <v>6600</v>
      </c>
      <c r="E38" s="6" t="n">
        <v>16</v>
      </c>
      <c r="F38" s="12" t="n">
        <v>0.19</v>
      </c>
      <c r="G38" s="12" t="n">
        <v>0.22</v>
      </c>
      <c r="H38" s="6" t="s">
        <v>678</v>
      </c>
      <c r="I38" s="6" t="s">
        <v>80</v>
      </c>
      <c r="J38" s="6" t="str">
        <f aca="false">IF(E38&lt;=15,"Very Easy",IF(E38&lt;=25,"Easy",IF(E38&lt;=40,"Medium","Hard")))</f>
        <v>Easy</v>
      </c>
      <c r="K38" s="6" t="s">
        <v>681</v>
      </c>
      <c r="L38" s="13" t="s">
        <v>674</v>
      </c>
      <c r="M38" s="6" t="s">
        <v>675</v>
      </c>
      <c r="N38" s="14" t="n">
        <f aca="false">ROUND(D38/MAX(E38,1),1)</f>
        <v>412.5</v>
      </c>
      <c r="O38" s="6" t="s">
        <v>682</v>
      </c>
    </row>
    <row r="39" customFormat="false" ht="15" hidden="false" customHeight="false" outlineLevel="0" collapsed="false">
      <c r="A39" s="6" t="n">
        <v>38</v>
      </c>
      <c r="B39" s="6" t="s">
        <v>731</v>
      </c>
      <c r="C39" s="6" t="s">
        <v>128</v>
      </c>
      <c r="D39" s="7" t="n">
        <v>8100</v>
      </c>
      <c r="E39" s="6" t="n">
        <v>20</v>
      </c>
      <c r="F39" s="12" t="n">
        <v>0.07</v>
      </c>
      <c r="G39" s="12" t="n">
        <v>0.02</v>
      </c>
      <c r="H39" s="6" t="s">
        <v>693</v>
      </c>
      <c r="I39" s="6" t="s">
        <v>80</v>
      </c>
      <c r="J39" s="6" t="str">
        <f aca="false">IF(E39&lt;=15,"Very Easy",IF(E39&lt;=25,"Easy",IF(E39&lt;=40,"Medium","Hard")))</f>
        <v>Easy</v>
      </c>
      <c r="K39" s="6" t="s">
        <v>694</v>
      </c>
      <c r="L39" s="13" t="s">
        <v>674</v>
      </c>
      <c r="M39" s="6" t="s">
        <v>675</v>
      </c>
      <c r="N39" s="14" t="n">
        <f aca="false">ROUND(D39/MAX(E39,1),1)</f>
        <v>405</v>
      </c>
      <c r="O39" s="6" t="s">
        <v>676</v>
      </c>
    </row>
    <row r="40" customFormat="false" ht="15" hidden="false" customHeight="false" outlineLevel="0" collapsed="false">
      <c r="A40" s="6" t="n">
        <v>39</v>
      </c>
      <c r="B40" s="6" t="s">
        <v>732</v>
      </c>
      <c r="C40" s="6" t="s">
        <v>128</v>
      </c>
      <c r="D40" s="7" t="n">
        <v>8100</v>
      </c>
      <c r="E40" s="6" t="n">
        <v>20</v>
      </c>
      <c r="F40" s="12" t="n">
        <v>0.12</v>
      </c>
      <c r="G40" s="12" t="n">
        <v>0.27</v>
      </c>
      <c r="H40" s="6" t="s">
        <v>733</v>
      </c>
      <c r="I40" s="6" t="s">
        <v>80</v>
      </c>
      <c r="J40" s="6" t="str">
        <f aca="false">IF(E40&lt;=15,"Very Easy",IF(E40&lt;=25,"Easy",IF(E40&lt;=40,"Medium","Hard")))</f>
        <v>Easy</v>
      </c>
      <c r="K40" s="6" t="s">
        <v>681</v>
      </c>
      <c r="L40" s="13" t="s">
        <v>674</v>
      </c>
      <c r="M40" s="6" t="s">
        <v>675</v>
      </c>
      <c r="N40" s="14" t="n">
        <f aca="false">ROUND(D40/MAX(E40,1),1)</f>
        <v>405</v>
      </c>
      <c r="O40" s="6" t="s">
        <v>729</v>
      </c>
    </row>
    <row r="41" customFormat="false" ht="15" hidden="false" customHeight="false" outlineLevel="0" collapsed="false">
      <c r="A41" s="6" t="n">
        <v>40</v>
      </c>
      <c r="B41" s="6" t="s">
        <v>734</v>
      </c>
      <c r="C41" s="6" t="s">
        <v>128</v>
      </c>
      <c r="D41" s="7" t="n">
        <v>8100</v>
      </c>
      <c r="E41" s="6" t="n">
        <v>20</v>
      </c>
      <c r="F41" s="12" t="n">
        <v>0.1</v>
      </c>
      <c r="G41" s="12" t="n">
        <v>0.13</v>
      </c>
      <c r="H41" s="6" t="s">
        <v>693</v>
      </c>
      <c r="I41" s="6" t="s">
        <v>80</v>
      </c>
      <c r="J41" s="6" t="str">
        <f aca="false">IF(E41&lt;=15,"Very Easy",IF(E41&lt;=25,"Easy",IF(E41&lt;=40,"Medium","Hard")))</f>
        <v>Easy</v>
      </c>
      <c r="K41" s="6" t="s">
        <v>694</v>
      </c>
      <c r="L41" s="13" t="s">
        <v>674</v>
      </c>
      <c r="M41" s="6" t="s">
        <v>675</v>
      </c>
      <c r="N41" s="14" t="n">
        <f aca="false">ROUND(D41/MAX(E41,1),1)</f>
        <v>405</v>
      </c>
      <c r="O41" s="6" t="s">
        <v>676</v>
      </c>
    </row>
    <row r="42" customFormat="false" ht="15" hidden="false" customHeight="false" outlineLevel="0" collapsed="false">
      <c r="A42" s="6" t="n">
        <v>41</v>
      </c>
      <c r="B42" s="6" t="s">
        <v>735</v>
      </c>
      <c r="C42" s="6" t="s">
        <v>128</v>
      </c>
      <c r="D42" s="7" t="n">
        <v>8100</v>
      </c>
      <c r="E42" s="6" t="n">
        <v>20</v>
      </c>
      <c r="F42" s="12" t="n">
        <v>0.09</v>
      </c>
      <c r="G42" s="12" t="n">
        <v>0.2</v>
      </c>
      <c r="H42" s="6" t="s">
        <v>678</v>
      </c>
      <c r="I42" s="6" t="s">
        <v>80</v>
      </c>
      <c r="J42" s="6" t="str">
        <f aca="false">IF(E42&lt;=15,"Very Easy",IF(E42&lt;=25,"Easy",IF(E42&lt;=40,"Medium","Hard")))</f>
        <v>Easy</v>
      </c>
      <c r="K42" s="6" t="s">
        <v>679</v>
      </c>
      <c r="L42" s="13" t="s">
        <v>674</v>
      </c>
      <c r="M42" s="6" t="s">
        <v>675</v>
      </c>
      <c r="N42" s="14" t="n">
        <f aca="false">ROUND(D42/MAX(E42,1),1)</f>
        <v>405</v>
      </c>
      <c r="O42" s="6" t="s">
        <v>682</v>
      </c>
    </row>
    <row r="43" customFormat="false" ht="15" hidden="false" customHeight="false" outlineLevel="0" collapsed="false">
      <c r="A43" s="6" t="n">
        <v>42</v>
      </c>
      <c r="B43" s="6" t="s">
        <v>736</v>
      </c>
      <c r="C43" s="6" t="s">
        <v>685</v>
      </c>
      <c r="D43" s="7" t="n">
        <v>2400</v>
      </c>
      <c r="E43" s="6" t="n">
        <v>6</v>
      </c>
      <c r="F43" s="12" t="n">
        <v>0.03</v>
      </c>
      <c r="G43" s="12" t="n">
        <v>0.09</v>
      </c>
      <c r="H43" s="6" t="s">
        <v>678</v>
      </c>
      <c r="I43" s="6" t="s">
        <v>80</v>
      </c>
      <c r="J43" s="6" t="str">
        <f aca="false">IF(E43&lt;=15,"Very Easy",IF(E43&lt;=25,"Easy",IF(E43&lt;=40,"Medium","Hard")))</f>
        <v>Very Easy</v>
      </c>
      <c r="K43" s="6" t="s">
        <v>679</v>
      </c>
      <c r="L43" s="13" t="s">
        <v>674</v>
      </c>
      <c r="M43" s="6" t="s">
        <v>675</v>
      </c>
      <c r="N43" s="14" t="n">
        <f aca="false">ROUND(D43/MAX(E43,1),1)</f>
        <v>400</v>
      </c>
      <c r="O43" s="6" t="s">
        <v>682</v>
      </c>
    </row>
    <row r="44" customFormat="false" ht="15" hidden="false" customHeight="false" outlineLevel="0" collapsed="false">
      <c r="A44" s="6" t="n">
        <v>43</v>
      </c>
      <c r="B44" s="6" t="s">
        <v>737</v>
      </c>
      <c r="C44" s="6" t="s">
        <v>552</v>
      </c>
      <c r="D44" s="7" t="n">
        <v>6600</v>
      </c>
      <c r="E44" s="6" t="n">
        <v>17</v>
      </c>
      <c r="F44" s="12" t="n">
        <v>0.13</v>
      </c>
      <c r="G44" s="12" t="n">
        <v>0.19</v>
      </c>
      <c r="H44" s="6" t="s">
        <v>678</v>
      </c>
      <c r="I44" s="6" t="s">
        <v>80</v>
      </c>
      <c r="J44" s="6" t="str">
        <f aca="false">IF(E44&lt;=15,"Very Easy",IF(E44&lt;=25,"Easy",IF(E44&lt;=40,"Medium","Hard")))</f>
        <v>Easy</v>
      </c>
      <c r="K44" s="6" t="s">
        <v>681</v>
      </c>
      <c r="L44" s="13" t="s">
        <v>674</v>
      </c>
      <c r="M44" s="6" t="s">
        <v>675</v>
      </c>
      <c r="N44" s="14" t="n">
        <f aca="false">ROUND(D44/MAX(E44,1),1)</f>
        <v>388.2</v>
      </c>
      <c r="O44" s="6" t="s">
        <v>682</v>
      </c>
    </row>
    <row r="45" customFormat="false" ht="15" hidden="false" customHeight="false" outlineLevel="0" collapsed="false">
      <c r="A45" s="6" t="n">
        <v>44</v>
      </c>
      <c r="B45" s="6" t="s">
        <v>738</v>
      </c>
      <c r="C45" s="6" t="s">
        <v>714</v>
      </c>
      <c r="D45" s="7" t="n">
        <v>12100</v>
      </c>
      <c r="E45" s="6" t="n">
        <v>32</v>
      </c>
      <c r="F45" s="12" t="n">
        <v>0.14</v>
      </c>
      <c r="G45" s="12" t="n">
        <v>0.33</v>
      </c>
      <c r="H45" s="6" t="s">
        <v>678</v>
      </c>
      <c r="I45" s="6" t="s">
        <v>80</v>
      </c>
      <c r="J45" s="6" t="str">
        <f aca="false">IF(E45&lt;=15,"Very Easy",IF(E45&lt;=25,"Easy",IF(E45&lt;=40,"Medium","Hard")))</f>
        <v>Medium</v>
      </c>
      <c r="K45" s="6" t="s">
        <v>681</v>
      </c>
      <c r="L45" s="13" t="s">
        <v>674</v>
      </c>
      <c r="M45" s="6" t="s">
        <v>675</v>
      </c>
      <c r="N45" s="14" t="n">
        <f aca="false">ROUND(D45/MAX(E45,1),1)</f>
        <v>378.1</v>
      </c>
      <c r="O45" s="6" t="s">
        <v>682</v>
      </c>
    </row>
    <row r="46" customFormat="false" ht="15" hidden="false" customHeight="false" outlineLevel="0" collapsed="false">
      <c r="A46" s="6" t="n">
        <v>45</v>
      </c>
      <c r="B46" s="6" t="s">
        <v>739</v>
      </c>
      <c r="C46" s="6" t="s">
        <v>740</v>
      </c>
      <c r="D46" s="7" t="n">
        <v>4400</v>
      </c>
      <c r="E46" s="6" t="n">
        <v>12</v>
      </c>
      <c r="F46" s="12" t="n">
        <v>0.16</v>
      </c>
      <c r="G46" s="12" t="n">
        <v>0.19</v>
      </c>
      <c r="H46" s="6" t="s">
        <v>672</v>
      </c>
      <c r="I46" s="6" t="s">
        <v>80</v>
      </c>
      <c r="J46" s="6" t="str">
        <f aca="false">IF(E46&lt;=15,"Very Easy",IF(E46&lt;=25,"Easy",IF(E46&lt;=40,"Medium","Hard")))</f>
        <v>Very Easy</v>
      </c>
      <c r="K46" s="6" t="s">
        <v>673</v>
      </c>
      <c r="L46" s="13" t="s">
        <v>674</v>
      </c>
      <c r="M46" s="6" t="s">
        <v>675</v>
      </c>
      <c r="N46" s="14" t="n">
        <f aca="false">ROUND(D46/MAX(E46,1),1)</f>
        <v>366.7</v>
      </c>
      <c r="O46" s="6" t="s">
        <v>682</v>
      </c>
    </row>
    <row r="47" customFormat="false" ht="15" hidden="false" customHeight="false" outlineLevel="0" collapsed="false">
      <c r="A47" s="6" t="n">
        <v>46</v>
      </c>
      <c r="B47" s="6" t="s">
        <v>741</v>
      </c>
      <c r="C47" s="6" t="s">
        <v>231</v>
      </c>
      <c r="D47" s="7" t="n">
        <v>6600</v>
      </c>
      <c r="E47" s="6" t="n">
        <v>18</v>
      </c>
      <c r="F47" s="12" t="n">
        <v>0.12</v>
      </c>
      <c r="G47" s="12" t="n">
        <v>0.18</v>
      </c>
      <c r="H47" s="6" t="s">
        <v>678</v>
      </c>
      <c r="I47" s="6" t="s">
        <v>80</v>
      </c>
      <c r="J47" s="6" t="str">
        <f aca="false">IF(E47&lt;=15,"Very Easy",IF(E47&lt;=25,"Easy",IF(E47&lt;=40,"Medium","Hard")))</f>
        <v>Easy</v>
      </c>
      <c r="K47" s="6" t="s">
        <v>681</v>
      </c>
      <c r="L47" s="13" t="s">
        <v>674</v>
      </c>
      <c r="M47" s="6" t="s">
        <v>675</v>
      </c>
      <c r="N47" s="14" t="n">
        <f aca="false">ROUND(D47/MAX(E47,1),1)</f>
        <v>366.7</v>
      </c>
      <c r="O47" s="6" t="s">
        <v>682</v>
      </c>
    </row>
    <row r="48" customFormat="false" ht="15" hidden="false" customHeight="false" outlineLevel="0" collapsed="false">
      <c r="A48" s="6" t="n">
        <v>47</v>
      </c>
      <c r="B48" s="6" t="s">
        <v>742</v>
      </c>
      <c r="C48" s="6" t="s">
        <v>714</v>
      </c>
      <c r="D48" s="7" t="n">
        <v>2900</v>
      </c>
      <c r="E48" s="6" t="n">
        <v>8</v>
      </c>
      <c r="F48" s="12" t="n">
        <v>0.04</v>
      </c>
      <c r="G48" s="12" t="n">
        <v>0.2</v>
      </c>
      <c r="H48" s="6" t="s">
        <v>693</v>
      </c>
      <c r="I48" s="6" t="s">
        <v>80</v>
      </c>
      <c r="J48" s="6" t="str">
        <f aca="false">IF(E48&lt;=15,"Very Easy",IF(E48&lt;=25,"Easy",IF(E48&lt;=40,"Medium","Hard")))</f>
        <v>Very Easy</v>
      </c>
      <c r="K48" s="6" t="s">
        <v>694</v>
      </c>
      <c r="L48" s="13" t="s">
        <v>674</v>
      </c>
      <c r="M48" s="6" t="s">
        <v>675</v>
      </c>
      <c r="N48" s="14" t="n">
        <f aca="false">ROUND(D48/MAX(E48,1),1)</f>
        <v>362.5</v>
      </c>
      <c r="O48" s="6" t="s">
        <v>676</v>
      </c>
    </row>
    <row r="49" customFormat="false" ht="15" hidden="false" customHeight="false" outlineLevel="0" collapsed="false">
      <c r="A49" s="6" t="n">
        <v>48</v>
      </c>
      <c r="B49" s="6" t="s">
        <v>743</v>
      </c>
      <c r="C49" s="6" t="s">
        <v>247</v>
      </c>
      <c r="D49" s="7" t="n">
        <v>6600</v>
      </c>
      <c r="E49" s="6" t="n">
        <v>19</v>
      </c>
      <c r="F49" s="12" t="n">
        <v>0.19</v>
      </c>
      <c r="G49" s="12" t="n">
        <v>0.21</v>
      </c>
      <c r="H49" s="6" t="s">
        <v>690</v>
      </c>
      <c r="I49" s="6" t="s">
        <v>80</v>
      </c>
      <c r="J49" s="6" t="str">
        <f aca="false">IF(E49&lt;=15,"Very Easy",IF(E49&lt;=25,"Easy",IF(E49&lt;=40,"Medium","Hard")))</f>
        <v>Easy</v>
      </c>
      <c r="K49" s="6" t="s">
        <v>681</v>
      </c>
      <c r="L49" s="13" t="s">
        <v>674</v>
      </c>
      <c r="M49" s="6" t="s">
        <v>675</v>
      </c>
      <c r="N49" s="14" t="n">
        <f aca="false">ROUND(D49/MAX(E49,1),1)</f>
        <v>347.4</v>
      </c>
      <c r="O49" s="6" t="s">
        <v>682</v>
      </c>
    </row>
    <row r="50" customFormat="false" ht="15" hidden="false" customHeight="false" outlineLevel="0" collapsed="false">
      <c r="A50" s="6" t="n">
        <v>49</v>
      </c>
      <c r="B50" s="6" t="s">
        <v>744</v>
      </c>
      <c r="C50" s="6" t="s">
        <v>52</v>
      </c>
      <c r="D50" s="7" t="n">
        <v>6600</v>
      </c>
      <c r="E50" s="6" t="n">
        <v>19</v>
      </c>
      <c r="F50" s="12" t="n">
        <v>0.13</v>
      </c>
      <c r="G50" s="12" t="n">
        <v>0.09</v>
      </c>
      <c r="H50" s="6" t="s">
        <v>686</v>
      </c>
      <c r="I50" s="6" t="s">
        <v>80</v>
      </c>
      <c r="J50" s="6" t="str">
        <f aca="false">IF(E50&lt;=15,"Very Easy",IF(E50&lt;=25,"Easy",IF(E50&lt;=40,"Medium","Hard")))</f>
        <v>Easy</v>
      </c>
      <c r="K50" s="6" t="s">
        <v>687</v>
      </c>
      <c r="L50" s="13" t="s">
        <v>674</v>
      </c>
      <c r="M50" s="6" t="s">
        <v>675</v>
      </c>
      <c r="N50" s="14" t="n">
        <f aca="false">ROUND(D50/MAX(E50,1),1)</f>
        <v>347.4</v>
      </c>
      <c r="O50" s="6" t="s">
        <v>745</v>
      </c>
    </row>
    <row r="51" customFormat="false" ht="15" hidden="false" customHeight="false" outlineLevel="0" collapsed="false">
      <c r="A51" s="6" t="n">
        <v>50</v>
      </c>
      <c r="B51" s="6" t="s">
        <v>746</v>
      </c>
      <c r="C51" s="6" t="s">
        <v>552</v>
      </c>
      <c r="D51" s="7" t="n">
        <v>4400</v>
      </c>
      <c r="E51" s="6" t="n">
        <v>13</v>
      </c>
      <c r="F51" s="12" t="n">
        <v>0.08</v>
      </c>
      <c r="G51" s="12" t="n">
        <v>0.1</v>
      </c>
      <c r="H51" s="6" t="s">
        <v>693</v>
      </c>
      <c r="I51" s="6" t="s">
        <v>80</v>
      </c>
      <c r="J51" s="6" t="str">
        <f aca="false">IF(E51&lt;=15,"Very Easy",IF(E51&lt;=25,"Easy",IF(E51&lt;=40,"Medium","Hard")))</f>
        <v>Very Easy</v>
      </c>
      <c r="K51" s="6" t="s">
        <v>694</v>
      </c>
      <c r="L51" s="13" t="s">
        <v>674</v>
      </c>
      <c r="M51" s="6" t="s">
        <v>675</v>
      </c>
      <c r="N51" s="14" t="n">
        <f aca="false">ROUND(D51/MAX(E51,1),1)</f>
        <v>338.5</v>
      </c>
      <c r="O51" s="6" t="s">
        <v>676</v>
      </c>
    </row>
    <row r="52" customFormat="false" ht="15" hidden="false" customHeight="false" outlineLevel="0" collapsed="false">
      <c r="A52" s="6" t="n">
        <v>51</v>
      </c>
      <c r="B52" s="6" t="s">
        <v>747</v>
      </c>
      <c r="C52" s="6" t="s">
        <v>552</v>
      </c>
      <c r="D52" s="7" t="n">
        <v>4400</v>
      </c>
      <c r="E52" s="6" t="n">
        <v>13</v>
      </c>
      <c r="F52" s="12" t="n">
        <v>0.2</v>
      </c>
      <c r="G52" s="12" t="n">
        <v>0.15</v>
      </c>
      <c r="H52" s="6" t="s">
        <v>678</v>
      </c>
      <c r="I52" s="6" t="s">
        <v>80</v>
      </c>
      <c r="J52" s="6" t="str">
        <f aca="false">IF(E52&lt;=15,"Very Easy",IF(E52&lt;=25,"Easy",IF(E52&lt;=40,"Medium","Hard")))</f>
        <v>Very Easy</v>
      </c>
      <c r="K52" s="6" t="s">
        <v>681</v>
      </c>
      <c r="L52" s="13" t="s">
        <v>674</v>
      </c>
      <c r="M52" s="6" t="s">
        <v>675</v>
      </c>
      <c r="N52" s="14" t="n">
        <f aca="false">ROUND(D52/MAX(E52,1),1)</f>
        <v>338.5</v>
      </c>
      <c r="O52" s="6" t="s">
        <v>682</v>
      </c>
    </row>
    <row r="53" customFormat="false" ht="15" hidden="false" customHeight="false" outlineLevel="0" collapsed="false">
      <c r="A53" s="6" t="n">
        <v>52</v>
      </c>
      <c r="B53" s="6" t="s">
        <v>748</v>
      </c>
      <c r="C53" s="6" t="s">
        <v>247</v>
      </c>
      <c r="D53" s="7" t="n">
        <v>4400</v>
      </c>
      <c r="E53" s="6" t="n">
        <v>13</v>
      </c>
      <c r="F53" s="12" t="n">
        <v>0.04</v>
      </c>
      <c r="G53" s="12" t="n">
        <v>0.03</v>
      </c>
      <c r="H53" s="6" t="s">
        <v>678</v>
      </c>
      <c r="I53" s="6" t="s">
        <v>80</v>
      </c>
      <c r="J53" s="6" t="str">
        <f aca="false">IF(E53&lt;=15,"Very Easy",IF(E53&lt;=25,"Easy",IF(E53&lt;=40,"Medium","Hard")))</f>
        <v>Very Easy</v>
      </c>
      <c r="K53" s="6" t="s">
        <v>679</v>
      </c>
      <c r="L53" s="13" t="s">
        <v>674</v>
      </c>
      <c r="M53" s="6" t="s">
        <v>675</v>
      </c>
      <c r="N53" s="14" t="n">
        <f aca="false">ROUND(D53/MAX(E53,1),1)</f>
        <v>338.5</v>
      </c>
      <c r="O53" s="6" t="s">
        <v>682</v>
      </c>
    </row>
    <row r="54" customFormat="false" ht="15" hidden="false" customHeight="false" outlineLevel="0" collapsed="false">
      <c r="A54" s="6" t="n">
        <v>53</v>
      </c>
      <c r="B54" s="6" t="s">
        <v>749</v>
      </c>
      <c r="C54" s="6" t="s">
        <v>114</v>
      </c>
      <c r="D54" s="7" t="n">
        <v>8100</v>
      </c>
      <c r="E54" s="6" t="n">
        <v>24</v>
      </c>
      <c r="F54" s="12" t="n">
        <v>0.02</v>
      </c>
      <c r="G54" s="12" t="n">
        <v>0.39</v>
      </c>
      <c r="H54" s="6" t="s">
        <v>690</v>
      </c>
      <c r="I54" s="6" t="s">
        <v>80</v>
      </c>
      <c r="J54" s="6" t="str">
        <f aca="false">IF(E54&lt;=15,"Very Easy",IF(E54&lt;=25,"Easy",IF(E54&lt;=40,"Medium","Hard")))</f>
        <v>Easy</v>
      </c>
      <c r="K54" s="6" t="s">
        <v>679</v>
      </c>
      <c r="L54" s="13" t="s">
        <v>674</v>
      </c>
      <c r="M54" s="6" t="s">
        <v>675</v>
      </c>
      <c r="N54" s="14" t="n">
        <f aca="false">ROUND(D54/MAX(E54,1),1)</f>
        <v>337.5</v>
      </c>
      <c r="O54" s="6" t="s">
        <v>682</v>
      </c>
    </row>
    <row r="55" customFormat="false" ht="15" hidden="false" customHeight="false" outlineLevel="0" collapsed="false">
      <c r="A55" s="6" t="n">
        <v>54</v>
      </c>
      <c r="B55" s="6" t="s">
        <v>750</v>
      </c>
      <c r="C55" s="6" t="s">
        <v>552</v>
      </c>
      <c r="D55" s="7" t="n">
        <v>6600</v>
      </c>
      <c r="E55" s="6" t="n">
        <v>20</v>
      </c>
      <c r="F55" s="12" t="n">
        <v>0.22</v>
      </c>
      <c r="G55" s="12" t="n">
        <v>0.23</v>
      </c>
      <c r="H55" s="6" t="s">
        <v>693</v>
      </c>
      <c r="I55" s="6" t="s">
        <v>80</v>
      </c>
      <c r="J55" s="6" t="str">
        <f aca="false">IF(E55&lt;=15,"Very Easy",IF(E55&lt;=25,"Easy",IF(E55&lt;=40,"Medium","Hard")))</f>
        <v>Easy</v>
      </c>
      <c r="K55" s="6" t="s">
        <v>694</v>
      </c>
      <c r="L55" s="13" t="s">
        <v>674</v>
      </c>
      <c r="M55" s="6" t="s">
        <v>675</v>
      </c>
      <c r="N55" s="14" t="n">
        <f aca="false">ROUND(D55/MAX(E55,1),1)</f>
        <v>330</v>
      </c>
      <c r="O55" s="6" t="s">
        <v>688</v>
      </c>
    </row>
    <row r="56" customFormat="false" ht="15" hidden="false" customHeight="false" outlineLevel="0" collapsed="false">
      <c r="A56" s="6" t="n">
        <v>55</v>
      </c>
      <c r="B56" s="6" t="s">
        <v>751</v>
      </c>
      <c r="C56" s="6" t="s">
        <v>740</v>
      </c>
      <c r="D56" s="7" t="n">
        <v>3600</v>
      </c>
      <c r="E56" s="6" t="n">
        <v>11</v>
      </c>
      <c r="F56" s="12" t="n">
        <v>0.17</v>
      </c>
      <c r="G56" s="12" t="n">
        <v>0.19</v>
      </c>
      <c r="H56" s="6" t="s">
        <v>678</v>
      </c>
      <c r="I56" s="6" t="s">
        <v>80</v>
      </c>
      <c r="J56" s="6" t="str">
        <f aca="false">IF(E56&lt;=15,"Very Easy",IF(E56&lt;=25,"Easy",IF(E56&lt;=40,"Medium","Hard")))</f>
        <v>Very Easy</v>
      </c>
      <c r="K56" s="6" t="s">
        <v>681</v>
      </c>
      <c r="L56" s="13" t="s">
        <v>674</v>
      </c>
      <c r="M56" s="6" t="s">
        <v>675</v>
      </c>
      <c r="N56" s="14" t="n">
        <f aca="false">ROUND(D56/MAX(E56,1),1)</f>
        <v>327.3</v>
      </c>
      <c r="O56" s="6" t="s">
        <v>682</v>
      </c>
    </row>
    <row r="57" customFormat="false" ht="15" hidden="false" customHeight="false" outlineLevel="0" collapsed="false">
      <c r="A57" s="6" t="n">
        <v>56</v>
      </c>
      <c r="B57" s="6" t="s">
        <v>752</v>
      </c>
      <c r="C57" s="6" t="s">
        <v>552</v>
      </c>
      <c r="D57" s="7" t="n">
        <v>12100</v>
      </c>
      <c r="E57" s="6" t="n">
        <v>37</v>
      </c>
      <c r="F57" s="12" t="n">
        <v>0.05</v>
      </c>
      <c r="G57" s="12" t="n">
        <v>0.17</v>
      </c>
      <c r="H57" s="6" t="s">
        <v>678</v>
      </c>
      <c r="I57" s="6" t="s">
        <v>80</v>
      </c>
      <c r="J57" s="6" t="str">
        <f aca="false">IF(E57&lt;=15,"Very Easy",IF(E57&lt;=25,"Easy",IF(E57&lt;=40,"Medium","Hard")))</f>
        <v>Medium</v>
      </c>
      <c r="K57" s="6" t="s">
        <v>679</v>
      </c>
      <c r="L57" s="13" t="s">
        <v>674</v>
      </c>
      <c r="M57" s="6" t="s">
        <v>675</v>
      </c>
      <c r="N57" s="14" t="n">
        <f aca="false">ROUND(D57/MAX(E57,1),1)</f>
        <v>327</v>
      </c>
      <c r="O57" s="6" t="s">
        <v>682</v>
      </c>
    </row>
    <row r="58" customFormat="false" ht="15" hidden="false" customHeight="false" outlineLevel="0" collapsed="false">
      <c r="A58" s="6" t="n">
        <v>57</v>
      </c>
      <c r="B58" s="6" t="s">
        <v>753</v>
      </c>
      <c r="C58" s="6" t="s">
        <v>128</v>
      </c>
      <c r="D58" s="7" t="n">
        <v>8100</v>
      </c>
      <c r="E58" s="6" t="n">
        <v>25</v>
      </c>
      <c r="F58" s="12" t="n">
        <v>0.05</v>
      </c>
      <c r="G58" s="12" t="n">
        <v>0.03</v>
      </c>
      <c r="H58" s="6" t="s">
        <v>733</v>
      </c>
      <c r="I58" s="6" t="s">
        <v>80</v>
      </c>
      <c r="J58" s="6" t="str">
        <f aca="false">IF(E58&lt;=15,"Very Easy",IF(E58&lt;=25,"Easy",IF(E58&lt;=40,"Medium","Hard")))</f>
        <v>Easy</v>
      </c>
      <c r="K58" s="6" t="s">
        <v>679</v>
      </c>
      <c r="L58" s="13" t="s">
        <v>674</v>
      </c>
      <c r="M58" s="6" t="s">
        <v>675</v>
      </c>
      <c r="N58" s="14" t="n">
        <f aca="false">ROUND(D58/MAX(E58,1),1)</f>
        <v>324</v>
      </c>
      <c r="O58" s="6" t="s">
        <v>682</v>
      </c>
    </row>
    <row r="59" customFormat="false" ht="15" hidden="false" customHeight="false" outlineLevel="0" collapsed="false">
      <c r="A59" s="6" t="n">
        <v>58</v>
      </c>
      <c r="B59" s="6" t="s">
        <v>754</v>
      </c>
      <c r="C59" s="6" t="s">
        <v>552</v>
      </c>
      <c r="D59" s="7" t="n">
        <v>2900</v>
      </c>
      <c r="E59" s="6" t="n">
        <v>9</v>
      </c>
      <c r="F59" s="12" t="n">
        <v>0.14</v>
      </c>
      <c r="G59" s="12" t="n">
        <v>0.15</v>
      </c>
      <c r="H59" s="6" t="s">
        <v>678</v>
      </c>
      <c r="I59" s="6" t="s">
        <v>80</v>
      </c>
      <c r="J59" s="6" t="str">
        <f aca="false">IF(E59&lt;=15,"Very Easy",IF(E59&lt;=25,"Easy",IF(E59&lt;=40,"Medium","Hard")))</f>
        <v>Very Easy</v>
      </c>
      <c r="K59" s="6" t="s">
        <v>681</v>
      </c>
      <c r="L59" s="13" t="s">
        <v>674</v>
      </c>
      <c r="M59" s="6" t="s">
        <v>675</v>
      </c>
      <c r="N59" s="14" t="n">
        <f aca="false">ROUND(D59/MAX(E59,1),1)</f>
        <v>322.2</v>
      </c>
      <c r="O59" s="6" t="s">
        <v>682</v>
      </c>
    </row>
    <row r="60" customFormat="false" ht="15" hidden="false" customHeight="false" outlineLevel="0" collapsed="false">
      <c r="A60" s="6" t="n">
        <v>59</v>
      </c>
      <c r="B60" s="6" t="s">
        <v>755</v>
      </c>
      <c r="C60" s="6" t="s">
        <v>552</v>
      </c>
      <c r="D60" s="7" t="n">
        <v>12100</v>
      </c>
      <c r="E60" s="6" t="n">
        <v>38</v>
      </c>
      <c r="F60" s="12" t="n">
        <v>0.14</v>
      </c>
      <c r="G60" s="12" t="n">
        <v>0.13</v>
      </c>
      <c r="H60" s="6" t="s">
        <v>678</v>
      </c>
      <c r="I60" s="6" t="s">
        <v>80</v>
      </c>
      <c r="J60" s="6" t="str">
        <f aca="false">IF(E60&lt;=15,"Very Easy",IF(E60&lt;=25,"Easy",IF(E60&lt;=40,"Medium","Hard")))</f>
        <v>Medium</v>
      </c>
      <c r="K60" s="6" t="s">
        <v>681</v>
      </c>
      <c r="L60" s="13" t="s">
        <v>674</v>
      </c>
      <c r="M60" s="6" t="s">
        <v>675</v>
      </c>
      <c r="N60" s="14" t="n">
        <f aca="false">ROUND(D60/MAX(E60,1),1)</f>
        <v>318.4</v>
      </c>
      <c r="O60" s="6" t="s">
        <v>682</v>
      </c>
    </row>
    <row r="61" customFormat="false" ht="15" hidden="false" customHeight="false" outlineLevel="0" collapsed="false">
      <c r="A61" s="6" t="n">
        <v>60</v>
      </c>
      <c r="B61" s="6" t="s">
        <v>756</v>
      </c>
      <c r="C61" s="6" t="s">
        <v>269</v>
      </c>
      <c r="D61" s="7" t="n">
        <v>5400</v>
      </c>
      <c r="E61" s="6" t="n">
        <v>17</v>
      </c>
      <c r="F61" s="12" t="n">
        <v>0.18</v>
      </c>
      <c r="G61" s="12" t="n">
        <v>0.17</v>
      </c>
      <c r="H61" s="6" t="s">
        <v>678</v>
      </c>
      <c r="I61" s="6" t="s">
        <v>80</v>
      </c>
      <c r="J61" s="6" t="str">
        <f aca="false">IF(E61&lt;=15,"Very Easy",IF(E61&lt;=25,"Easy",IF(E61&lt;=40,"Medium","Hard")))</f>
        <v>Easy</v>
      </c>
      <c r="K61" s="6" t="s">
        <v>681</v>
      </c>
      <c r="L61" s="13" t="s">
        <v>674</v>
      </c>
      <c r="M61" s="6" t="s">
        <v>675</v>
      </c>
      <c r="N61" s="14" t="n">
        <f aca="false">ROUND(D61/MAX(E61,1),1)</f>
        <v>317.6</v>
      </c>
      <c r="O61" s="6" t="s">
        <v>682</v>
      </c>
    </row>
    <row r="62" customFormat="false" ht="15" hidden="false" customHeight="false" outlineLevel="0" collapsed="false">
      <c r="A62" s="6" t="n">
        <v>61</v>
      </c>
      <c r="B62" s="6" t="s">
        <v>757</v>
      </c>
      <c r="C62" s="6" t="s">
        <v>231</v>
      </c>
      <c r="D62" s="7" t="n">
        <v>4400</v>
      </c>
      <c r="E62" s="6" t="n">
        <v>14</v>
      </c>
      <c r="F62" s="12" t="n">
        <v>0.11</v>
      </c>
      <c r="G62" s="12" t="n">
        <v>0.29</v>
      </c>
      <c r="H62" s="6" t="s">
        <v>672</v>
      </c>
      <c r="I62" s="6" t="s">
        <v>80</v>
      </c>
      <c r="J62" s="6" t="str">
        <f aca="false">IF(E62&lt;=15,"Very Easy",IF(E62&lt;=25,"Easy",IF(E62&lt;=40,"Medium","Hard")))</f>
        <v>Very Easy</v>
      </c>
      <c r="K62" s="6" t="s">
        <v>673</v>
      </c>
      <c r="L62" s="13" t="s">
        <v>758</v>
      </c>
      <c r="M62" s="6" t="n">
        <v>39</v>
      </c>
      <c r="N62" s="14" t="n">
        <f aca="false">ROUND(D62/MAX(E62,1),1)</f>
        <v>314.3</v>
      </c>
      <c r="O62" s="6" t="s">
        <v>729</v>
      </c>
    </row>
    <row r="63" customFormat="false" ht="15" hidden="false" customHeight="false" outlineLevel="0" collapsed="false">
      <c r="A63" s="6" t="n">
        <v>62</v>
      </c>
      <c r="B63" s="6" t="s">
        <v>759</v>
      </c>
      <c r="C63" s="6" t="s">
        <v>128</v>
      </c>
      <c r="D63" s="7" t="n">
        <v>6600</v>
      </c>
      <c r="E63" s="6" t="n">
        <v>21</v>
      </c>
      <c r="F63" s="12" t="n">
        <v>0.13</v>
      </c>
      <c r="G63" s="12" t="n">
        <v>0.04</v>
      </c>
      <c r="H63" s="6" t="s">
        <v>678</v>
      </c>
      <c r="I63" s="6" t="s">
        <v>80</v>
      </c>
      <c r="J63" s="6" t="str">
        <f aca="false">IF(E63&lt;=15,"Very Easy",IF(E63&lt;=25,"Easy",IF(E63&lt;=40,"Medium","Hard")))</f>
        <v>Easy</v>
      </c>
      <c r="K63" s="6" t="s">
        <v>681</v>
      </c>
      <c r="L63" s="13" t="s">
        <v>674</v>
      </c>
      <c r="M63" s="6" t="s">
        <v>675</v>
      </c>
      <c r="N63" s="14" t="n">
        <f aca="false">ROUND(D63/MAX(E63,1),1)</f>
        <v>314.3</v>
      </c>
      <c r="O63" s="6" t="s">
        <v>682</v>
      </c>
    </row>
    <row r="64" customFormat="false" ht="15" hidden="false" customHeight="false" outlineLevel="0" collapsed="false">
      <c r="A64" s="6" t="n">
        <v>63</v>
      </c>
      <c r="B64" s="6" t="s">
        <v>760</v>
      </c>
      <c r="C64" s="6" t="s">
        <v>714</v>
      </c>
      <c r="D64" s="7" t="n">
        <v>12100</v>
      </c>
      <c r="E64" s="6" t="n">
        <v>40</v>
      </c>
      <c r="F64" s="12" t="n">
        <v>0.17</v>
      </c>
      <c r="G64" s="12" t="n">
        <v>0.29</v>
      </c>
      <c r="H64" s="6" t="s">
        <v>678</v>
      </c>
      <c r="I64" s="6" t="s">
        <v>80</v>
      </c>
      <c r="J64" s="6" t="str">
        <f aca="false">IF(E64&lt;=15,"Very Easy",IF(E64&lt;=25,"Easy",IF(E64&lt;=40,"Medium","Hard")))</f>
        <v>Medium</v>
      </c>
      <c r="K64" s="6" t="s">
        <v>681</v>
      </c>
      <c r="L64" s="13" t="s">
        <v>674</v>
      </c>
      <c r="M64" s="6" t="s">
        <v>675</v>
      </c>
      <c r="N64" s="14" t="n">
        <f aca="false">ROUND(D64/MAX(E64,1),1)</f>
        <v>302.5</v>
      </c>
      <c r="O64" s="6" t="s">
        <v>682</v>
      </c>
    </row>
    <row r="65" customFormat="false" ht="15" hidden="false" customHeight="false" outlineLevel="0" collapsed="false">
      <c r="A65" s="6" t="n">
        <v>64</v>
      </c>
      <c r="B65" s="6" t="s">
        <v>761</v>
      </c>
      <c r="C65" s="6" t="s">
        <v>231</v>
      </c>
      <c r="D65" s="7" t="n">
        <v>9900</v>
      </c>
      <c r="E65" s="6" t="n">
        <v>33</v>
      </c>
      <c r="F65" s="12" t="n">
        <v>0.18</v>
      </c>
      <c r="G65" s="12" t="n">
        <v>0.07</v>
      </c>
      <c r="H65" s="6" t="s">
        <v>678</v>
      </c>
      <c r="I65" s="6" t="s">
        <v>80</v>
      </c>
      <c r="J65" s="6" t="str">
        <f aca="false">IF(E65&lt;=15,"Very Easy",IF(E65&lt;=25,"Easy",IF(E65&lt;=40,"Medium","Hard")))</f>
        <v>Medium</v>
      </c>
      <c r="K65" s="6" t="s">
        <v>681</v>
      </c>
      <c r="L65" s="13" t="s">
        <v>674</v>
      </c>
      <c r="M65" s="6" t="s">
        <v>675</v>
      </c>
      <c r="N65" s="14" t="n">
        <f aca="false">ROUND(D65/MAX(E65,1),1)</f>
        <v>300</v>
      </c>
      <c r="O65" s="6" t="s">
        <v>682</v>
      </c>
    </row>
    <row r="66" customFormat="false" ht="15" hidden="false" customHeight="false" outlineLevel="0" collapsed="false">
      <c r="A66" s="6" t="n">
        <v>65</v>
      </c>
      <c r="B66" s="6" t="s">
        <v>762</v>
      </c>
      <c r="C66" s="6" t="s">
        <v>269</v>
      </c>
      <c r="D66" s="7" t="n">
        <v>3600</v>
      </c>
      <c r="E66" s="6" t="n">
        <v>12</v>
      </c>
      <c r="F66" s="12" t="n">
        <v>0.03</v>
      </c>
      <c r="G66" s="12" t="n">
        <v>0.05</v>
      </c>
      <c r="H66" s="6" t="s">
        <v>678</v>
      </c>
      <c r="I66" s="6" t="s">
        <v>80</v>
      </c>
      <c r="J66" s="6" t="str">
        <f aca="false">IF(E66&lt;=15,"Very Easy",IF(E66&lt;=25,"Easy",IF(E66&lt;=40,"Medium","Hard")))</f>
        <v>Very Easy</v>
      </c>
      <c r="K66" s="6" t="s">
        <v>679</v>
      </c>
      <c r="L66" s="13" t="s">
        <v>674</v>
      </c>
      <c r="M66" s="6" t="s">
        <v>675</v>
      </c>
      <c r="N66" s="14" t="n">
        <f aca="false">ROUND(D66/MAX(E66,1),1)</f>
        <v>300</v>
      </c>
      <c r="O66" s="6" t="s">
        <v>676</v>
      </c>
    </row>
    <row r="67" customFormat="false" ht="15" hidden="false" customHeight="false" outlineLevel="0" collapsed="false">
      <c r="A67" s="6" t="n">
        <v>66</v>
      </c>
      <c r="B67" s="6" t="s">
        <v>763</v>
      </c>
      <c r="C67" s="6" t="s">
        <v>552</v>
      </c>
      <c r="D67" s="7" t="n">
        <v>3600</v>
      </c>
      <c r="E67" s="6" t="n">
        <v>12</v>
      </c>
      <c r="F67" s="12" t="n">
        <v>0.13</v>
      </c>
      <c r="G67" s="12" t="n">
        <v>0.11</v>
      </c>
      <c r="H67" s="6" t="s">
        <v>678</v>
      </c>
      <c r="I67" s="6" t="s">
        <v>80</v>
      </c>
      <c r="J67" s="6" t="str">
        <f aca="false">IF(E67&lt;=15,"Very Easy",IF(E67&lt;=25,"Easy",IF(E67&lt;=40,"Medium","Hard")))</f>
        <v>Very Easy</v>
      </c>
      <c r="K67" s="6" t="s">
        <v>681</v>
      </c>
      <c r="L67" s="13" t="s">
        <v>674</v>
      </c>
      <c r="M67" s="6" t="s">
        <v>675</v>
      </c>
      <c r="N67" s="14" t="n">
        <f aca="false">ROUND(D67/MAX(E67,1),1)</f>
        <v>300</v>
      </c>
      <c r="O67" s="6" t="s">
        <v>682</v>
      </c>
    </row>
    <row r="68" customFormat="false" ht="15" hidden="false" customHeight="false" outlineLevel="0" collapsed="false">
      <c r="A68" s="6" t="n">
        <v>67</v>
      </c>
      <c r="B68" s="6" t="s">
        <v>764</v>
      </c>
      <c r="C68" s="6" t="s">
        <v>247</v>
      </c>
      <c r="D68" s="7" t="n">
        <v>3600</v>
      </c>
      <c r="E68" s="6" t="n">
        <v>12</v>
      </c>
      <c r="F68" s="12" t="n">
        <v>0.02</v>
      </c>
      <c r="G68" s="12" t="n">
        <v>0.1</v>
      </c>
      <c r="H68" s="6" t="s">
        <v>693</v>
      </c>
      <c r="I68" s="6" t="s">
        <v>80</v>
      </c>
      <c r="J68" s="6" t="str">
        <f aca="false">IF(E68&lt;=15,"Very Easy",IF(E68&lt;=25,"Easy",IF(E68&lt;=40,"Medium","Hard")))</f>
        <v>Very Easy</v>
      </c>
      <c r="K68" s="6" t="s">
        <v>694</v>
      </c>
      <c r="L68" s="13" t="s">
        <v>674</v>
      </c>
      <c r="M68" s="6" t="s">
        <v>675</v>
      </c>
      <c r="N68" s="14" t="n">
        <f aca="false">ROUND(D68/MAX(E68,1),1)</f>
        <v>300</v>
      </c>
      <c r="O68" s="6" t="s">
        <v>676</v>
      </c>
    </row>
    <row r="69" customFormat="false" ht="15" hidden="false" customHeight="false" outlineLevel="0" collapsed="false">
      <c r="A69" s="6" t="n">
        <v>68</v>
      </c>
      <c r="B69" s="6" t="s">
        <v>765</v>
      </c>
      <c r="C69" s="6" t="s">
        <v>740</v>
      </c>
      <c r="D69" s="7" t="n">
        <v>4400</v>
      </c>
      <c r="E69" s="6" t="n">
        <v>15</v>
      </c>
      <c r="F69" s="12" t="n">
        <v>0.13</v>
      </c>
      <c r="G69" s="12" t="n">
        <v>0.24</v>
      </c>
      <c r="H69" s="6" t="s">
        <v>693</v>
      </c>
      <c r="I69" s="6" t="s">
        <v>80</v>
      </c>
      <c r="J69" s="6" t="str">
        <f aca="false">IF(E69&lt;=15,"Very Easy",IF(E69&lt;=25,"Easy",IF(E69&lt;=40,"Medium","Hard")))</f>
        <v>Very Easy</v>
      </c>
      <c r="K69" s="6" t="s">
        <v>694</v>
      </c>
      <c r="L69" s="13" t="s">
        <v>674</v>
      </c>
      <c r="M69" s="6" t="s">
        <v>675</v>
      </c>
      <c r="N69" s="14" t="n">
        <f aca="false">ROUND(D69/MAX(E69,1),1)</f>
        <v>293.3</v>
      </c>
      <c r="O69" s="6" t="s">
        <v>676</v>
      </c>
    </row>
    <row r="70" customFormat="false" ht="15" hidden="false" customHeight="false" outlineLevel="0" collapsed="false">
      <c r="A70" s="6" t="n">
        <v>69</v>
      </c>
      <c r="B70" s="6" t="s">
        <v>766</v>
      </c>
      <c r="C70" s="6" t="s">
        <v>714</v>
      </c>
      <c r="D70" s="7" t="n">
        <v>4400</v>
      </c>
      <c r="E70" s="6" t="n">
        <v>15</v>
      </c>
      <c r="F70" s="12" t="n">
        <v>0.04</v>
      </c>
      <c r="G70" s="12" t="n">
        <v>0.22</v>
      </c>
      <c r="H70" s="6" t="s">
        <v>693</v>
      </c>
      <c r="I70" s="6" t="s">
        <v>80</v>
      </c>
      <c r="J70" s="6" t="str">
        <f aca="false">IF(E70&lt;=15,"Very Easy",IF(E70&lt;=25,"Easy",IF(E70&lt;=40,"Medium","Hard")))</f>
        <v>Very Easy</v>
      </c>
      <c r="K70" s="6" t="s">
        <v>694</v>
      </c>
      <c r="L70" s="13" t="s">
        <v>674</v>
      </c>
      <c r="M70" s="6" t="s">
        <v>675</v>
      </c>
      <c r="N70" s="14" t="n">
        <f aca="false">ROUND(D70/MAX(E70,1),1)</f>
        <v>293.3</v>
      </c>
      <c r="O70" s="6" t="s">
        <v>676</v>
      </c>
    </row>
    <row r="71" customFormat="false" ht="15" hidden="false" customHeight="false" outlineLevel="0" collapsed="false">
      <c r="A71" s="6" t="n">
        <v>70</v>
      </c>
      <c r="B71" s="6" t="s">
        <v>767</v>
      </c>
      <c r="C71" s="6" t="s">
        <v>552</v>
      </c>
      <c r="D71" s="7" t="n">
        <v>6600</v>
      </c>
      <c r="E71" s="6" t="n">
        <v>23</v>
      </c>
      <c r="F71" s="12" t="n">
        <v>0.11</v>
      </c>
      <c r="G71" s="12" t="n">
        <v>0.17</v>
      </c>
      <c r="H71" s="6" t="s">
        <v>672</v>
      </c>
      <c r="I71" s="6" t="s">
        <v>80</v>
      </c>
      <c r="J71" s="6" t="str">
        <f aca="false">IF(E71&lt;=15,"Very Easy",IF(E71&lt;=25,"Easy",IF(E71&lt;=40,"Medium","Hard")))</f>
        <v>Easy</v>
      </c>
      <c r="K71" s="6" t="s">
        <v>673</v>
      </c>
      <c r="L71" s="13" t="s">
        <v>674</v>
      </c>
      <c r="M71" s="6" t="s">
        <v>675</v>
      </c>
      <c r="N71" s="14" t="n">
        <f aca="false">ROUND(D71/MAX(E71,1),1)</f>
        <v>287</v>
      </c>
      <c r="O71" s="6" t="s">
        <v>729</v>
      </c>
    </row>
    <row r="72" customFormat="false" ht="15" hidden="false" customHeight="false" outlineLevel="0" collapsed="false">
      <c r="A72" s="6" t="n">
        <v>71</v>
      </c>
      <c r="B72" s="6" t="s">
        <v>768</v>
      </c>
      <c r="C72" s="6" t="s">
        <v>552</v>
      </c>
      <c r="D72" s="7" t="n">
        <v>6600</v>
      </c>
      <c r="E72" s="6" t="n">
        <v>23</v>
      </c>
      <c r="F72" s="12" t="n">
        <v>0.14</v>
      </c>
      <c r="G72" s="12" t="n">
        <v>0.34</v>
      </c>
      <c r="H72" s="6" t="s">
        <v>678</v>
      </c>
      <c r="I72" s="6" t="s">
        <v>80</v>
      </c>
      <c r="J72" s="6" t="str">
        <f aca="false">IF(E72&lt;=15,"Very Easy",IF(E72&lt;=25,"Easy",IF(E72&lt;=40,"Medium","Hard")))</f>
        <v>Easy</v>
      </c>
      <c r="K72" s="6" t="s">
        <v>681</v>
      </c>
      <c r="L72" s="13" t="s">
        <v>674</v>
      </c>
      <c r="M72" s="6" t="s">
        <v>675</v>
      </c>
      <c r="N72" s="14" t="n">
        <f aca="false">ROUND(D72/MAX(E72,1),1)</f>
        <v>287</v>
      </c>
      <c r="O72" s="6" t="s">
        <v>682</v>
      </c>
    </row>
    <row r="73" customFormat="false" ht="15" hidden="false" customHeight="false" outlineLevel="0" collapsed="false">
      <c r="A73" s="6" t="n">
        <v>72</v>
      </c>
      <c r="B73" s="6" t="s">
        <v>769</v>
      </c>
      <c r="C73" s="6" t="s">
        <v>740</v>
      </c>
      <c r="D73" s="7" t="n">
        <v>5400</v>
      </c>
      <c r="E73" s="6" t="n">
        <v>19</v>
      </c>
      <c r="F73" s="12" t="n">
        <v>0.04</v>
      </c>
      <c r="G73" s="12" t="n">
        <v>0.06</v>
      </c>
      <c r="H73" s="6" t="s">
        <v>678</v>
      </c>
      <c r="I73" s="6" t="s">
        <v>80</v>
      </c>
      <c r="J73" s="6" t="str">
        <f aca="false">IF(E73&lt;=15,"Very Easy",IF(E73&lt;=25,"Easy",IF(E73&lt;=40,"Medium","Hard")))</f>
        <v>Easy</v>
      </c>
      <c r="K73" s="6" t="s">
        <v>679</v>
      </c>
      <c r="L73" s="13" t="s">
        <v>674</v>
      </c>
      <c r="M73" s="6" t="s">
        <v>675</v>
      </c>
      <c r="N73" s="14" t="n">
        <f aca="false">ROUND(D73/MAX(E73,1),1)</f>
        <v>284.2</v>
      </c>
      <c r="O73" s="6" t="s">
        <v>682</v>
      </c>
    </row>
    <row r="74" customFormat="false" ht="15" hidden="false" customHeight="false" outlineLevel="0" collapsed="false">
      <c r="A74" s="6" t="n">
        <v>73</v>
      </c>
      <c r="B74" s="6" t="s">
        <v>770</v>
      </c>
      <c r="C74" s="6" t="s">
        <v>552</v>
      </c>
      <c r="D74" s="7" t="n">
        <v>5400</v>
      </c>
      <c r="E74" s="6" t="n">
        <v>19</v>
      </c>
      <c r="F74" s="12" t="n">
        <v>0.09</v>
      </c>
      <c r="G74" s="12" t="n">
        <v>0.06</v>
      </c>
      <c r="H74" s="6" t="s">
        <v>678</v>
      </c>
      <c r="I74" s="6" t="s">
        <v>80</v>
      </c>
      <c r="J74" s="6" t="str">
        <f aca="false">IF(E74&lt;=15,"Very Easy",IF(E74&lt;=25,"Easy",IF(E74&lt;=40,"Medium","Hard")))</f>
        <v>Easy</v>
      </c>
      <c r="K74" s="6" t="s">
        <v>679</v>
      </c>
      <c r="L74" s="13" t="s">
        <v>674</v>
      </c>
      <c r="M74" s="6" t="s">
        <v>675</v>
      </c>
      <c r="N74" s="14" t="n">
        <f aca="false">ROUND(D74/MAX(E74,1),1)</f>
        <v>284.2</v>
      </c>
      <c r="O74" s="6" t="s">
        <v>682</v>
      </c>
    </row>
    <row r="75" customFormat="false" ht="15" hidden="false" customHeight="false" outlineLevel="0" collapsed="false">
      <c r="A75" s="6" t="n">
        <v>74</v>
      </c>
      <c r="B75" s="6" t="s">
        <v>771</v>
      </c>
      <c r="C75" s="6" t="s">
        <v>714</v>
      </c>
      <c r="D75" s="7" t="n">
        <v>8100</v>
      </c>
      <c r="E75" s="6" t="n">
        <v>29</v>
      </c>
      <c r="F75" s="12" t="n">
        <v>0.1</v>
      </c>
      <c r="G75" s="12" t="n">
        <v>0.25</v>
      </c>
      <c r="H75" s="6" t="s">
        <v>678</v>
      </c>
      <c r="I75" s="6" t="s">
        <v>80</v>
      </c>
      <c r="J75" s="6" t="str">
        <f aca="false">IF(E75&lt;=15,"Very Easy",IF(E75&lt;=25,"Easy",IF(E75&lt;=40,"Medium","Hard")))</f>
        <v>Medium</v>
      </c>
      <c r="K75" s="6" t="s">
        <v>681</v>
      </c>
      <c r="L75" s="13" t="s">
        <v>674</v>
      </c>
      <c r="M75" s="6" t="s">
        <v>675</v>
      </c>
      <c r="N75" s="14" t="n">
        <f aca="false">ROUND(D75/MAX(E75,1),1)</f>
        <v>279.3</v>
      </c>
      <c r="O75" s="6" t="s">
        <v>682</v>
      </c>
    </row>
    <row r="76" customFormat="false" ht="15" hidden="false" customHeight="false" outlineLevel="0" collapsed="false">
      <c r="A76" s="6" t="n">
        <v>75</v>
      </c>
      <c r="B76" s="6" t="s">
        <v>772</v>
      </c>
      <c r="C76" s="6" t="s">
        <v>714</v>
      </c>
      <c r="D76" s="7" t="n">
        <v>3600</v>
      </c>
      <c r="E76" s="6" t="n">
        <v>13</v>
      </c>
      <c r="F76" s="12" t="n">
        <v>0.04</v>
      </c>
      <c r="G76" s="12" t="n">
        <v>0.25</v>
      </c>
      <c r="H76" s="6" t="s">
        <v>678</v>
      </c>
      <c r="I76" s="6" t="s">
        <v>80</v>
      </c>
      <c r="J76" s="6" t="str">
        <f aca="false">IF(E76&lt;=15,"Very Easy",IF(E76&lt;=25,"Easy",IF(E76&lt;=40,"Medium","Hard")))</f>
        <v>Very Easy</v>
      </c>
      <c r="K76" s="6" t="s">
        <v>679</v>
      </c>
      <c r="L76" s="13" t="s">
        <v>674</v>
      </c>
      <c r="M76" s="6" t="s">
        <v>675</v>
      </c>
      <c r="N76" s="14" t="n">
        <f aca="false">ROUND(D76/MAX(E76,1),1)</f>
        <v>276.9</v>
      </c>
      <c r="O76" s="6" t="s">
        <v>682</v>
      </c>
    </row>
    <row r="77" customFormat="false" ht="15" hidden="false" customHeight="false" outlineLevel="0" collapsed="false">
      <c r="A77" s="6" t="n">
        <v>76</v>
      </c>
      <c r="B77" s="6" t="s">
        <v>773</v>
      </c>
      <c r="C77" s="6" t="s">
        <v>552</v>
      </c>
      <c r="D77" s="7" t="n">
        <v>3600</v>
      </c>
      <c r="E77" s="6" t="n">
        <v>13</v>
      </c>
      <c r="F77" s="12" t="n">
        <v>0.02</v>
      </c>
      <c r="G77" s="12" t="n">
        <v>0.02</v>
      </c>
      <c r="H77" s="6" t="s">
        <v>672</v>
      </c>
      <c r="I77" s="6" t="s">
        <v>80</v>
      </c>
      <c r="J77" s="6" t="str">
        <f aca="false">IF(E77&lt;=15,"Very Easy",IF(E77&lt;=25,"Easy",IF(E77&lt;=40,"Medium","Hard")))</f>
        <v>Very Easy</v>
      </c>
      <c r="K77" s="6" t="s">
        <v>673</v>
      </c>
      <c r="L77" s="13" t="s">
        <v>674</v>
      </c>
      <c r="M77" s="6" t="s">
        <v>675</v>
      </c>
      <c r="N77" s="14" t="n">
        <f aca="false">ROUND(D77/MAX(E77,1),1)</f>
        <v>276.9</v>
      </c>
      <c r="O77" s="6" t="s">
        <v>676</v>
      </c>
    </row>
    <row r="78" customFormat="false" ht="15" hidden="false" customHeight="false" outlineLevel="0" collapsed="false">
      <c r="A78" s="6" t="n">
        <v>77</v>
      </c>
      <c r="B78" s="6" t="s">
        <v>774</v>
      </c>
      <c r="C78" s="6" t="s">
        <v>579</v>
      </c>
      <c r="D78" s="7" t="n">
        <v>3600</v>
      </c>
      <c r="E78" s="6" t="n">
        <v>13</v>
      </c>
      <c r="F78" s="12" t="n">
        <v>0.17</v>
      </c>
      <c r="G78" s="12" t="n">
        <v>0.26</v>
      </c>
      <c r="H78" s="6" t="s">
        <v>678</v>
      </c>
      <c r="I78" s="6" t="s">
        <v>80</v>
      </c>
      <c r="J78" s="6" t="str">
        <f aca="false">IF(E78&lt;=15,"Very Easy",IF(E78&lt;=25,"Easy",IF(E78&lt;=40,"Medium","Hard")))</f>
        <v>Very Easy</v>
      </c>
      <c r="K78" s="6" t="s">
        <v>681</v>
      </c>
      <c r="L78" s="13" t="s">
        <v>674</v>
      </c>
      <c r="M78" s="6" t="s">
        <v>675</v>
      </c>
      <c r="N78" s="14" t="n">
        <f aca="false">ROUND(D78/MAX(E78,1),1)</f>
        <v>276.9</v>
      </c>
      <c r="O78" s="6" t="s">
        <v>682</v>
      </c>
    </row>
    <row r="79" customFormat="false" ht="15" hidden="false" customHeight="false" outlineLevel="0" collapsed="false">
      <c r="A79" s="6" t="n">
        <v>78</v>
      </c>
      <c r="B79" s="6" t="s">
        <v>775</v>
      </c>
      <c r="C79" s="6" t="s">
        <v>714</v>
      </c>
      <c r="D79" s="7" t="n">
        <v>4400</v>
      </c>
      <c r="E79" s="6" t="n">
        <v>16</v>
      </c>
      <c r="F79" s="12" t="n">
        <v>0.13</v>
      </c>
      <c r="G79" s="12" t="n">
        <v>0.35</v>
      </c>
      <c r="H79" s="6" t="s">
        <v>678</v>
      </c>
      <c r="I79" s="6" t="s">
        <v>80</v>
      </c>
      <c r="J79" s="6" t="str">
        <f aca="false">IF(E79&lt;=15,"Very Easy",IF(E79&lt;=25,"Easy",IF(E79&lt;=40,"Medium","Hard")))</f>
        <v>Easy</v>
      </c>
      <c r="K79" s="6" t="s">
        <v>681</v>
      </c>
      <c r="L79" s="13" t="s">
        <v>674</v>
      </c>
      <c r="M79" s="6" t="s">
        <v>675</v>
      </c>
      <c r="N79" s="14" t="n">
        <f aca="false">ROUND(D79/MAX(E79,1),1)</f>
        <v>275</v>
      </c>
      <c r="O79" s="6" t="s">
        <v>682</v>
      </c>
    </row>
    <row r="80" customFormat="false" ht="15" hidden="false" customHeight="false" outlineLevel="0" collapsed="false">
      <c r="A80" s="6" t="n">
        <v>79</v>
      </c>
      <c r="B80" s="6" t="s">
        <v>776</v>
      </c>
      <c r="C80" s="6" t="s">
        <v>269</v>
      </c>
      <c r="D80" s="7" t="n">
        <v>4400</v>
      </c>
      <c r="E80" s="6" t="n">
        <v>16</v>
      </c>
      <c r="F80" s="12" t="n">
        <v>0.04</v>
      </c>
      <c r="G80" s="12" t="n">
        <v>0.06</v>
      </c>
      <c r="H80" s="6" t="s">
        <v>678</v>
      </c>
      <c r="I80" s="6" t="s">
        <v>80</v>
      </c>
      <c r="J80" s="6" t="str">
        <f aca="false">IF(E80&lt;=15,"Very Easy",IF(E80&lt;=25,"Easy",IF(E80&lt;=40,"Medium","Hard")))</f>
        <v>Easy</v>
      </c>
      <c r="K80" s="6" t="s">
        <v>679</v>
      </c>
      <c r="L80" s="13" t="s">
        <v>674</v>
      </c>
      <c r="M80" s="6" t="s">
        <v>675</v>
      </c>
      <c r="N80" s="14" t="n">
        <f aca="false">ROUND(D80/MAX(E80,1),1)</f>
        <v>275</v>
      </c>
      <c r="O80" s="6" t="s">
        <v>682</v>
      </c>
    </row>
    <row r="81" customFormat="false" ht="15" hidden="false" customHeight="false" outlineLevel="0" collapsed="false">
      <c r="A81" s="6" t="n">
        <v>80</v>
      </c>
      <c r="B81" s="6" t="s">
        <v>777</v>
      </c>
      <c r="C81" s="6" t="s">
        <v>552</v>
      </c>
      <c r="D81" s="7" t="n">
        <v>6600</v>
      </c>
      <c r="E81" s="6" t="n">
        <v>24</v>
      </c>
      <c r="F81" s="12" t="n">
        <v>0.08</v>
      </c>
      <c r="G81" s="12" t="n">
        <v>0.02</v>
      </c>
      <c r="H81" s="6" t="s">
        <v>678</v>
      </c>
      <c r="I81" s="6" t="s">
        <v>80</v>
      </c>
      <c r="J81" s="6" t="str">
        <f aca="false">IF(E81&lt;=15,"Very Easy",IF(E81&lt;=25,"Easy",IF(E81&lt;=40,"Medium","Hard")))</f>
        <v>Easy</v>
      </c>
      <c r="K81" s="6" t="s">
        <v>679</v>
      </c>
      <c r="L81" s="13" t="s">
        <v>674</v>
      </c>
      <c r="M81" s="6" t="s">
        <v>675</v>
      </c>
      <c r="N81" s="14" t="n">
        <f aca="false">ROUND(D81/MAX(E81,1),1)</f>
        <v>275</v>
      </c>
      <c r="O81" s="6" t="s">
        <v>682</v>
      </c>
    </row>
    <row r="82" customFormat="false" ht="15" hidden="false" customHeight="false" outlineLevel="0" collapsed="false">
      <c r="A82" s="6" t="n">
        <v>81</v>
      </c>
      <c r="B82" s="6" t="s">
        <v>778</v>
      </c>
      <c r="C82" s="6" t="s">
        <v>269</v>
      </c>
      <c r="D82" s="7" t="n">
        <v>1900</v>
      </c>
      <c r="E82" s="6" t="n">
        <v>7</v>
      </c>
      <c r="F82" s="12" t="n">
        <v>0.07</v>
      </c>
      <c r="G82" s="12" t="n">
        <v>0.06</v>
      </c>
      <c r="H82" s="6" t="s">
        <v>678</v>
      </c>
      <c r="I82" s="6" t="s">
        <v>80</v>
      </c>
      <c r="J82" s="6" t="str">
        <f aca="false">IF(E82&lt;=15,"Very Easy",IF(E82&lt;=25,"Easy",IF(E82&lt;=40,"Medium","Hard")))</f>
        <v>Very Easy</v>
      </c>
      <c r="K82" s="6" t="s">
        <v>679</v>
      </c>
      <c r="L82" s="13" t="s">
        <v>674</v>
      </c>
      <c r="M82" s="6" t="s">
        <v>675</v>
      </c>
      <c r="N82" s="14" t="n">
        <f aca="false">ROUND(D82/MAX(E82,1),1)</f>
        <v>271.4</v>
      </c>
      <c r="O82" s="6" t="s">
        <v>682</v>
      </c>
    </row>
    <row r="83" customFormat="false" ht="15" hidden="false" customHeight="false" outlineLevel="0" collapsed="false">
      <c r="A83" s="6" t="n">
        <v>82</v>
      </c>
      <c r="B83" s="6" t="s">
        <v>779</v>
      </c>
      <c r="C83" s="6" t="s">
        <v>269</v>
      </c>
      <c r="D83" s="7" t="n">
        <v>5400</v>
      </c>
      <c r="E83" s="6" t="n">
        <v>20</v>
      </c>
      <c r="F83" s="12" t="n">
        <v>0.13</v>
      </c>
      <c r="G83" s="12" t="n">
        <v>0.12</v>
      </c>
      <c r="H83" s="6" t="s">
        <v>693</v>
      </c>
      <c r="I83" s="6" t="s">
        <v>80</v>
      </c>
      <c r="J83" s="6" t="str">
        <f aca="false">IF(E83&lt;=15,"Very Easy",IF(E83&lt;=25,"Easy",IF(E83&lt;=40,"Medium","Hard")))</f>
        <v>Easy</v>
      </c>
      <c r="K83" s="6" t="s">
        <v>694</v>
      </c>
      <c r="L83" s="13" t="s">
        <v>674</v>
      </c>
      <c r="M83" s="6" t="s">
        <v>675</v>
      </c>
      <c r="N83" s="14" t="n">
        <f aca="false">ROUND(D83/MAX(E83,1),1)</f>
        <v>270</v>
      </c>
      <c r="O83" s="6" t="s">
        <v>676</v>
      </c>
    </row>
    <row r="84" customFormat="false" ht="15" hidden="false" customHeight="false" outlineLevel="0" collapsed="false">
      <c r="A84" s="6" t="n">
        <v>83</v>
      </c>
      <c r="B84" s="6" t="s">
        <v>780</v>
      </c>
      <c r="C84" s="6" t="s">
        <v>128</v>
      </c>
      <c r="D84" s="7" t="n">
        <v>2400</v>
      </c>
      <c r="E84" s="6" t="n">
        <v>9</v>
      </c>
      <c r="F84" s="12" t="n">
        <v>0.13</v>
      </c>
      <c r="G84" s="12" t="n">
        <v>0.23</v>
      </c>
      <c r="H84" s="6" t="s">
        <v>678</v>
      </c>
      <c r="I84" s="6" t="s">
        <v>80</v>
      </c>
      <c r="J84" s="6" t="str">
        <f aca="false">IF(E84&lt;=15,"Very Easy",IF(E84&lt;=25,"Easy",IF(E84&lt;=40,"Medium","Hard")))</f>
        <v>Very Easy</v>
      </c>
      <c r="K84" s="6" t="s">
        <v>681</v>
      </c>
      <c r="L84" s="13" t="s">
        <v>674</v>
      </c>
      <c r="M84" s="6" t="s">
        <v>675</v>
      </c>
      <c r="N84" s="14" t="n">
        <f aca="false">ROUND(D84/MAX(E84,1),1)</f>
        <v>266.7</v>
      </c>
      <c r="O84" s="6" t="s">
        <v>682</v>
      </c>
    </row>
    <row r="85" customFormat="false" ht="15" hidden="false" customHeight="false" outlineLevel="0" collapsed="false">
      <c r="A85" s="6" t="n">
        <v>84</v>
      </c>
      <c r="B85" s="6" t="s">
        <v>781</v>
      </c>
      <c r="C85" s="6" t="s">
        <v>740</v>
      </c>
      <c r="D85" s="7" t="n">
        <v>2900</v>
      </c>
      <c r="E85" s="6" t="n">
        <v>11</v>
      </c>
      <c r="F85" s="12" t="n">
        <v>0.07</v>
      </c>
      <c r="G85" s="12" t="n">
        <v>0.03</v>
      </c>
      <c r="H85" s="6" t="s">
        <v>672</v>
      </c>
      <c r="I85" s="6" t="s">
        <v>80</v>
      </c>
      <c r="J85" s="6" t="str">
        <f aca="false">IF(E85&lt;=15,"Very Easy",IF(E85&lt;=25,"Easy",IF(E85&lt;=40,"Medium","Hard")))</f>
        <v>Very Easy</v>
      </c>
      <c r="K85" s="6" t="s">
        <v>673</v>
      </c>
      <c r="L85" s="13" t="s">
        <v>674</v>
      </c>
      <c r="M85" s="6" t="s">
        <v>675</v>
      </c>
      <c r="N85" s="14" t="n">
        <f aca="false">ROUND(D85/MAX(E85,1),1)</f>
        <v>263.6</v>
      </c>
      <c r="O85" s="6" t="s">
        <v>676</v>
      </c>
    </row>
    <row r="86" customFormat="false" ht="15" hidden="false" customHeight="false" outlineLevel="0" collapsed="false">
      <c r="A86" s="6" t="n">
        <v>85</v>
      </c>
      <c r="B86" s="6" t="s">
        <v>782</v>
      </c>
      <c r="C86" s="6" t="s">
        <v>552</v>
      </c>
      <c r="D86" s="7" t="n">
        <v>2900</v>
      </c>
      <c r="E86" s="6" t="n">
        <v>11</v>
      </c>
      <c r="F86" s="12" t="n">
        <v>0.07</v>
      </c>
      <c r="G86" s="12" t="n">
        <v>0.02</v>
      </c>
      <c r="H86" s="6" t="s">
        <v>693</v>
      </c>
      <c r="I86" s="6" t="s">
        <v>80</v>
      </c>
      <c r="J86" s="6" t="str">
        <f aca="false">IF(E86&lt;=15,"Very Easy",IF(E86&lt;=25,"Easy",IF(E86&lt;=40,"Medium","Hard")))</f>
        <v>Very Easy</v>
      </c>
      <c r="K86" s="6" t="s">
        <v>694</v>
      </c>
      <c r="L86" s="13" t="s">
        <v>674</v>
      </c>
      <c r="M86" s="6" t="s">
        <v>675</v>
      </c>
      <c r="N86" s="14" t="n">
        <f aca="false">ROUND(D86/MAX(E86,1),1)</f>
        <v>263.6</v>
      </c>
      <c r="O86" s="6" t="s">
        <v>676</v>
      </c>
    </row>
    <row r="87" customFormat="false" ht="15" hidden="false" customHeight="false" outlineLevel="0" collapsed="false">
      <c r="A87" s="6" t="n">
        <v>86</v>
      </c>
      <c r="B87" s="6" t="s">
        <v>783</v>
      </c>
      <c r="C87" s="6" t="s">
        <v>552</v>
      </c>
      <c r="D87" s="7" t="n">
        <v>2900</v>
      </c>
      <c r="E87" s="6" t="n">
        <v>11</v>
      </c>
      <c r="F87" s="12" t="n">
        <v>0.09</v>
      </c>
      <c r="G87" s="12" t="n">
        <v>0.12</v>
      </c>
      <c r="H87" s="6" t="s">
        <v>693</v>
      </c>
      <c r="I87" s="6" t="s">
        <v>80</v>
      </c>
      <c r="J87" s="6" t="str">
        <f aca="false">IF(E87&lt;=15,"Very Easy",IF(E87&lt;=25,"Easy",IF(E87&lt;=40,"Medium","Hard")))</f>
        <v>Very Easy</v>
      </c>
      <c r="K87" s="6" t="s">
        <v>694</v>
      </c>
      <c r="L87" s="13" t="s">
        <v>674</v>
      </c>
      <c r="M87" s="6" t="s">
        <v>675</v>
      </c>
      <c r="N87" s="14" t="n">
        <f aca="false">ROUND(D87/MAX(E87,1),1)</f>
        <v>263.6</v>
      </c>
      <c r="O87" s="6" t="s">
        <v>676</v>
      </c>
    </row>
    <row r="88" customFormat="false" ht="15" hidden="false" customHeight="false" outlineLevel="0" collapsed="false">
      <c r="A88" s="6" t="n">
        <v>87</v>
      </c>
      <c r="B88" s="6" t="s">
        <v>784</v>
      </c>
      <c r="C88" s="6" t="s">
        <v>269</v>
      </c>
      <c r="D88" s="7" t="n">
        <v>8100</v>
      </c>
      <c r="E88" s="6" t="n">
        <v>31</v>
      </c>
      <c r="F88" s="12" t="n">
        <v>0.06</v>
      </c>
      <c r="G88" s="12" t="n">
        <v>0.09</v>
      </c>
      <c r="H88" s="6" t="s">
        <v>678</v>
      </c>
      <c r="I88" s="6" t="s">
        <v>80</v>
      </c>
      <c r="J88" s="6" t="str">
        <f aca="false">IF(E88&lt;=15,"Very Easy",IF(E88&lt;=25,"Easy",IF(E88&lt;=40,"Medium","Hard")))</f>
        <v>Medium</v>
      </c>
      <c r="K88" s="6" t="s">
        <v>679</v>
      </c>
      <c r="L88" s="13" t="s">
        <v>674</v>
      </c>
      <c r="M88" s="6" t="s">
        <v>675</v>
      </c>
      <c r="N88" s="14" t="n">
        <f aca="false">ROUND(D88/MAX(E88,1),1)</f>
        <v>261.3</v>
      </c>
      <c r="O88" s="6" t="s">
        <v>682</v>
      </c>
    </row>
    <row r="89" customFormat="false" ht="15" hidden="false" customHeight="false" outlineLevel="0" collapsed="false">
      <c r="A89" s="6" t="n">
        <v>88</v>
      </c>
      <c r="B89" s="6" t="s">
        <v>785</v>
      </c>
      <c r="C89" s="6" t="s">
        <v>269</v>
      </c>
      <c r="D89" s="7" t="n">
        <v>9900</v>
      </c>
      <c r="E89" s="6" t="n">
        <v>38</v>
      </c>
      <c r="F89" s="12" t="n">
        <v>0.15</v>
      </c>
      <c r="G89" s="12" t="n">
        <v>0.12</v>
      </c>
      <c r="H89" s="6" t="s">
        <v>678</v>
      </c>
      <c r="I89" s="6" t="s">
        <v>80</v>
      </c>
      <c r="J89" s="6" t="str">
        <f aca="false">IF(E89&lt;=15,"Very Easy",IF(E89&lt;=25,"Easy",IF(E89&lt;=40,"Medium","Hard")))</f>
        <v>Medium</v>
      </c>
      <c r="K89" s="6" t="s">
        <v>681</v>
      </c>
      <c r="L89" s="13" t="s">
        <v>674</v>
      </c>
      <c r="M89" s="6" t="s">
        <v>675</v>
      </c>
      <c r="N89" s="14" t="n">
        <f aca="false">ROUND(D89/MAX(E89,1),1)</f>
        <v>260.5</v>
      </c>
      <c r="O89" s="6" t="s">
        <v>682</v>
      </c>
    </row>
    <row r="90" customFormat="false" ht="15" hidden="false" customHeight="false" outlineLevel="0" collapsed="false">
      <c r="A90" s="6" t="n">
        <v>89</v>
      </c>
      <c r="B90" s="6" t="s">
        <v>786</v>
      </c>
      <c r="C90" s="6" t="s">
        <v>552</v>
      </c>
      <c r="D90" s="7" t="n">
        <v>4400</v>
      </c>
      <c r="E90" s="6" t="n">
        <v>17</v>
      </c>
      <c r="F90" s="12" t="n">
        <v>0.09</v>
      </c>
      <c r="G90" s="12" t="n">
        <v>0.04</v>
      </c>
      <c r="H90" s="6" t="s">
        <v>678</v>
      </c>
      <c r="I90" s="6" t="s">
        <v>80</v>
      </c>
      <c r="J90" s="6" t="str">
        <f aca="false">IF(E90&lt;=15,"Very Easy",IF(E90&lt;=25,"Easy",IF(E90&lt;=40,"Medium","Hard")))</f>
        <v>Easy</v>
      </c>
      <c r="K90" s="6" t="s">
        <v>679</v>
      </c>
      <c r="L90" s="13" t="s">
        <v>674</v>
      </c>
      <c r="M90" s="6" t="s">
        <v>675</v>
      </c>
      <c r="N90" s="14" t="n">
        <f aca="false">ROUND(D90/MAX(E90,1),1)</f>
        <v>258.8</v>
      </c>
      <c r="O90" s="6" t="s">
        <v>682</v>
      </c>
    </row>
    <row r="91" customFormat="false" ht="15" hidden="false" customHeight="false" outlineLevel="0" collapsed="false">
      <c r="A91" s="6" t="n">
        <v>90</v>
      </c>
      <c r="B91" s="6" t="s">
        <v>787</v>
      </c>
      <c r="C91" s="6" t="s">
        <v>247</v>
      </c>
      <c r="D91" s="7" t="n">
        <v>4400</v>
      </c>
      <c r="E91" s="6" t="n">
        <v>17</v>
      </c>
      <c r="F91" s="12" t="n">
        <v>0.13</v>
      </c>
      <c r="G91" s="12" t="n">
        <v>0.03</v>
      </c>
      <c r="H91" s="6" t="s">
        <v>788</v>
      </c>
      <c r="I91" s="6" t="s">
        <v>80</v>
      </c>
      <c r="J91" s="6" t="str">
        <f aca="false">IF(E91&lt;=15,"Very Easy",IF(E91&lt;=25,"Easy",IF(E91&lt;=40,"Medium","Hard")))</f>
        <v>Easy</v>
      </c>
      <c r="K91" s="6" t="s">
        <v>681</v>
      </c>
      <c r="L91" s="13" t="s">
        <v>674</v>
      </c>
      <c r="M91" s="6" t="s">
        <v>675</v>
      </c>
      <c r="N91" s="14" t="n">
        <f aca="false">ROUND(D91/MAX(E91,1),1)</f>
        <v>258.8</v>
      </c>
      <c r="O91" s="6" t="s">
        <v>676</v>
      </c>
    </row>
    <row r="92" customFormat="false" ht="15" hidden="false" customHeight="false" outlineLevel="0" collapsed="false">
      <c r="A92" s="6" t="n">
        <v>91</v>
      </c>
      <c r="B92" s="6" t="s">
        <v>789</v>
      </c>
      <c r="C92" s="6" t="s">
        <v>269</v>
      </c>
      <c r="D92" s="7" t="n">
        <v>3600</v>
      </c>
      <c r="E92" s="6" t="n">
        <v>14</v>
      </c>
      <c r="F92" s="12" t="n">
        <v>0.05</v>
      </c>
      <c r="G92" s="12" t="n">
        <v>0.06</v>
      </c>
      <c r="H92" s="6" t="s">
        <v>693</v>
      </c>
      <c r="I92" s="6" t="s">
        <v>80</v>
      </c>
      <c r="J92" s="6" t="str">
        <f aca="false">IF(E92&lt;=15,"Very Easy",IF(E92&lt;=25,"Easy",IF(E92&lt;=40,"Medium","Hard")))</f>
        <v>Very Easy</v>
      </c>
      <c r="K92" s="6" t="s">
        <v>694</v>
      </c>
      <c r="L92" s="13" t="s">
        <v>674</v>
      </c>
      <c r="M92" s="6" t="s">
        <v>675</v>
      </c>
      <c r="N92" s="14" t="n">
        <f aca="false">ROUND(D92/MAX(E92,1),1)</f>
        <v>257.1</v>
      </c>
      <c r="O92" s="6" t="s">
        <v>676</v>
      </c>
    </row>
    <row r="93" customFormat="false" ht="15" hidden="false" customHeight="false" outlineLevel="0" collapsed="false">
      <c r="A93" s="6" t="n">
        <v>92</v>
      </c>
      <c r="B93" s="6" t="s">
        <v>790</v>
      </c>
      <c r="C93" s="6" t="s">
        <v>552</v>
      </c>
      <c r="D93" s="7" t="n">
        <v>3600</v>
      </c>
      <c r="E93" s="6" t="n">
        <v>14</v>
      </c>
      <c r="F93" s="12" t="n">
        <v>0.11</v>
      </c>
      <c r="G93" s="12" t="n">
        <v>0.15</v>
      </c>
      <c r="H93" s="6" t="s">
        <v>672</v>
      </c>
      <c r="I93" s="6" t="s">
        <v>80</v>
      </c>
      <c r="J93" s="6" t="str">
        <f aca="false">IF(E93&lt;=15,"Very Easy",IF(E93&lt;=25,"Easy",IF(E93&lt;=40,"Medium","Hard")))</f>
        <v>Very Easy</v>
      </c>
      <c r="K93" s="6" t="s">
        <v>673</v>
      </c>
      <c r="L93" s="13" t="s">
        <v>674</v>
      </c>
      <c r="M93" s="6" t="s">
        <v>675</v>
      </c>
      <c r="N93" s="14" t="n">
        <f aca="false">ROUND(D93/MAX(E93,1),1)</f>
        <v>257.1</v>
      </c>
      <c r="O93" s="6" t="s">
        <v>729</v>
      </c>
    </row>
    <row r="94" customFormat="false" ht="15" hidden="false" customHeight="false" outlineLevel="0" collapsed="false">
      <c r="A94" s="6" t="n">
        <v>93</v>
      </c>
      <c r="B94" s="6" t="s">
        <v>791</v>
      </c>
      <c r="C94" s="6" t="s">
        <v>714</v>
      </c>
      <c r="D94" s="7" t="n">
        <v>5400</v>
      </c>
      <c r="E94" s="6" t="n">
        <v>22</v>
      </c>
      <c r="F94" s="12" t="n">
        <v>0.12</v>
      </c>
      <c r="G94" s="12" t="n">
        <v>0.15</v>
      </c>
      <c r="H94" s="6" t="s">
        <v>678</v>
      </c>
      <c r="I94" s="6" t="s">
        <v>80</v>
      </c>
      <c r="J94" s="6" t="str">
        <f aca="false">IF(E94&lt;=15,"Very Easy",IF(E94&lt;=25,"Easy",IF(E94&lt;=40,"Medium","Hard")))</f>
        <v>Easy</v>
      </c>
      <c r="K94" s="6" t="s">
        <v>681</v>
      </c>
      <c r="L94" s="13" t="s">
        <v>674</v>
      </c>
      <c r="M94" s="6" t="s">
        <v>675</v>
      </c>
      <c r="N94" s="14" t="n">
        <f aca="false">ROUND(D94/MAX(E94,1),1)</f>
        <v>245.5</v>
      </c>
      <c r="O94" s="6" t="s">
        <v>682</v>
      </c>
    </row>
    <row r="95" customFormat="false" ht="15" hidden="false" customHeight="false" outlineLevel="0" collapsed="false">
      <c r="A95" s="6" t="n">
        <v>94</v>
      </c>
      <c r="B95" s="6" t="s">
        <v>792</v>
      </c>
      <c r="C95" s="6" t="s">
        <v>552</v>
      </c>
      <c r="D95" s="7" t="n">
        <v>2900</v>
      </c>
      <c r="E95" s="6" t="n">
        <v>12</v>
      </c>
      <c r="F95" s="12" t="n">
        <v>0.03</v>
      </c>
      <c r="G95" s="12" t="n">
        <v>0.21</v>
      </c>
      <c r="H95" s="6" t="s">
        <v>678</v>
      </c>
      <c r="I95" s="6" t="s">
        <v>80</v>
      </c>
      <c r="J95" s="6" t="str">
        <f aca="false">IF(E95&lt;=15,"Very Easy",IF(E95&lt;=25,"Easy",IF(E95&lt;=40,"Medium","Hard")))</f>
        <v>Very Easy</v>
      </c>
      <c r="K95" s="6" t="s">
        <v>679</v>
      </c>
      <c r="L95" s="13" t="s">
        <v>674</v>
      </c>
      <c r="M95" s="6" t="s">
        <v>675</v>
      </c>
      <c r="N95" s="14" t="n">
        <f aca="false">ROUND(D95/MAX(E95,1),1)</f>
        <v>241.7</v>
      </c>
      <c r="O95" s="6" t="s">
        <v>682</v>
      </c>
    </row>
    <row r="96" customFormat="false" ht="15" hidden="false" customHeight="false" outlineLevel="0" collapsed="false">
      <c r="A96" s="6" t="n">
        <v>95</v>
      </c>
      <c r="B96" s="6" t="s">
        <v>793</v>
      </c>
      <c r="C96" s="6" t="s">
        <v>231</v>
      </c>
      <c r="D96" s="7" t="n">
        <v>3600</v>
      </c>
      <c r="E96" s="6" t="n">
        <v>15</v>
      </c>
      <c r="F96" s="12" t="n">
        <v>0.08</v>
      </c>
      <c r="G96" s="12" t="n">
        <v>0.3</v>
      </c>
      <c r="H96" s="6" t="s">
        <v>678</v>
      </c>
      <c r="I96" s="6" t="s">
        <v>80</v>
      </c>
      <c r="J96" s="6" t="str">
        <f aca="false">IF(E96&lt;=15,"Very Easy",IF(E96&lt;=25,"Easy",IF(E96&lt;=40,"Medium","Hard")))</f>
        <v>Very Easy</v>
      </c>
      <c r="K96" s="6" t="s">
        <v>679</v>
      </c>
      <c r="L96" s="13" t="s">
        <v>674</v>
      </c>
      <c r="M96" s="6" t="s">
        <v>675</v>
      </c>
      <c r="N96" s="14" t="n">
        <f aca="false">ROUND(D96/MAX(E96,1),1)</f>
        <v>240</v>
      </c>
      <c r="O96" s="6" t="s">
        <v>682</v>
      </c>
    </row>
    <row r="97" customFormat="false" ht="15" hidden="false" customHeight="false" outlineLevel="0" collapsed="false">
      <c r="A97" s="6" t="n">
        <v>96</v>
      </c>
      <c r="B97" s="6" t="s">
        <v>794</v>
      </c>
      <c r="C97" s="6" t="s">
        <v>134</v>
      </c>
      <c r="D97" s="7" t="n">
        <v>1900</v>
      </c>
      <c r="E97" s="6" t="n">
        <v>8</v>
      </c>
      <c r="F97" s="12" t="n">
        <v>0.07</v>
      </c>
      <c r="G97" s="12" t="n">
        <v>0.05</v>
      </c>
      <c r="H97" s="6" t="s">
        <v>678</v>
      </c>
      <c r="I97" s="6" t="s">
        <v>80</v>
      </c>
      <c r="J97" s="6" t="str">
        <f aca="false">IF(E97&lt;=15,"Very Easy",IF(E97&lt;=25,"Easy",IF(E97&lt;=40,"Medium","Hard")))</f>
        <v>Very Easy</v>
      </c>
      <c r="K97" s="6" t="s">
        <v>679</v>
      </c>
      <c r="L97" s="13" t="s">
        <v>674</v>
      </c>
      <c r="M97" s="6" t="s">
        <v>675</v>
      </c>
      <c r="N97" s="14" t="n">
        <f aca="false">ROUND(D97/MAX(E97,1),1)</f>
        <v>237.5</v>
      </c>
      <c r="O97" s="6" t="s">
        <v>682</v>
      </c>
    </row>
    <row r="98" customFormat="false" ht="15" hidden="false" customHeight="false" outlineLevel="0" collapsed="false">
      <c r="A98" s="6" t="n">
        <v>97</v>
      </c>
      <c r="B98" s="6" t="s">
        <v>795</v>
      </c>
      <c r="C98" s="6" t="s">
        <v>714</v>
      </c>
      <c r="D98" s="7" t="n">
        <v>1600</v>
      </c>
      <c r="E98" s="6" t="n">
        <v>7</v>
      </c>
      <c r="F98" s="12" t="n">
        <v>0.14</v>
      </c>
      <c r="G98" s="12" t="n">
        <v>0.41</v>
      </c>
      <c r="H98" s="6" t="s">
        <v>672</v>
      </c>
      <c r="I98" s="6" t="s">
        <v>80</v>
      </c>
      <c r="J98" s="6" t="str">
        <f aca="false">IF(E98&lt;=15,"Very Easy",IF(E98&lt;=25,"Easy",IF(E98&lt;=40,"Medium","Hard")))</f>
        <v>Very Easy</v>
      </c>
      <c r="K98" s="6" t="s">
        <v>673</v>
      </c>
      <c r="L98" s="13" t="s">
        <v>674</v>
      </c>
      <c r="M98" s="6" t="s">
        <v>675</v>
      </c>
      <c r="N98" s="14" t="n">
        <f aca="false">ROUND(D98/MAX(E98,1),1)</f>
        <v>228.6</v>
      </c>
      <c r="O98" s="6" t="s">
        <v>729</v>
      </c>
    </row>
    <row r="99" customFormat="false" ht="15" hidden="false" customHeight="false" outlineLevel="0" collapsed="false">
      <c r="A99" s="6" t="n">
        <v>98</v>
      </c>
      <c r="B99" s="6" t="s">
        <v>796</v>
      </c>
      <c r="C99" s="6" t="s">
        <v>714</v>
      </c>
      <c r="D99" s="7" t="n">
        <v>3600</v>
      </c>
      <c r="E99" s="6" t="n">
        <v>16</v>
      </c>
      <c r="F99" s="12" t="n">
        <v>0.04</v>
      </c>
      <c r="G99" s="12" t="n">
        <v>0.15</v>
      </c>
      <c r="H99" s="6" t="s">
        <v>672</v>
      </c>
      <c r="I99" s="6" t="s">
        <v>80</v>
      </c>
      <c r="J99" s="6" t="str">
        <f aca="false">IF(E99&lt;=15,"Very Easy",IF(E99&lt;=25,"Easy",IF(E99&lt;=40,"Medium","Hard")))</f>
        <v>Easy</v>
      </c>
      <c r="K99" s="6" t="s">
        <v>673</v>
      </c>
      <c r="L99" s="13" t="s">
        <v>674</v>
      </c>
      <c r="M99" s="6" t="s">
        <v>675</v>
      </c>
      <c r="N99" s="14" t="n">
        <f aca="false">ROUND(D99/MAX(E99,1),1)</f>
        <v>225</v>
      </c>
      <c r="O99" s="6" t="s">
        <v>676</v>
      </c>
    </row>
    <row r="100" customFormat="false" ht="15" hidden="false" customHeight="false" outlineLevel="0" collapsed="false">
      <c r="A100" s="6" t="n">
        <v>99</v>
      </c>
      <c r="B100" s="6" t="s">
        <v>797</v>
      </c>
      <c r="C100" s="6" t="s">
        <v>552</v>
      </c>
      <c r="D100" s="7" t="n">
        <v>3600</v>
      </c>
      <c r="E100" s="6" t="n">
        <v>16</v>
      </c>
      <c r="F100" s="12" t="n">
        <v>0.12</v>
      </c>
      <c r="G100" s="12" t="n">
        <v>0.09</v>
      </c>
      <c r="H100" s="6" t="s">
        <v>678</v>
      </c>
      <c r="I100" s="6" t="s">
        <v>80</v>
      </c>
      <c r="J100" s="6" t="str">
        <f aca="false">IF(E100&lt;=15,"Very Easy",IF(E100&lt;=25,"Easy",IF(E100&lt;=40,"Medium","Hard")))</f>
        <v>Easy</v>
      </c>
      <c r="K100" s="6" t="s">
        <v>681</v>
      </c>
      <c r="L100" s="13" t="s">
        <v>674</v>
      </c>
      <c r="M100" s="6" t="s">
        <v>675</v>
      </c>
      <c r="N100" s="14" t="n">
        <f aca="false">ROUND(D100/MAX(E100,1),1)</f>
        <v>225</v>
      </c>
      <c r="O100" s="6" t="s">
        <v>682</v>
      </c>
    </row>
    <row r="101" customFormat="false" ht="15" hidden="false" customHeight="false" outlineLevel="0" collapsed="false">
      <c r="A101" s="6" t="n">
        <v>100</v>
      </c>
      <c r="B101" s="6" t="s">
        <v>798</v>
      </c>
      <c r="C101" s="6" t="s">
        <v>714</v>
      </c>
      <c r="D101" s="7" t="n">
        <v>2900</v>
      </c>
      <c r="E101" s="6" t="n">
        <v>13</v>
      </c>
      <c r="F101" s="12" t="n">
        <v>0.06</v>
      </c>
      <c r="G101" s="12" t="n">
        <v>0.2</v>
      </c>
      <c r="H101" s="6" t="s">
        <v>678</v>
      </c>
      <c r="I101" s="6" t="s">
        <v>80</v>
      </c>
      <c r="J101" s="6" t="str">
        <f aca="false">IF(E101&lt;=15,"Very Easy",IF(E101&lt;=25,"Easy",IF(E101&lt;=40,"Medium","Hard")))</f>
        <v>Very Easy</v>
      </c>
      <c r="K101" s="6" t="s">
        <v>679</v>
      </c>
      <c r="L101" s="13" t="s">
        <v>674</v>
      </c>
      <c r="M101" s="6" t="s">
        <v>675</v>
      </c>
      <c r="N101" s="14" t="n">
        <f aca="false">ROUND(D101/MAX(E101,1),1)</f>
        <v>223.1</v>
      </c>
      <c r="O101" s="6" t="s">
        <v>682</v>
      </c>
    </row>
    <row r="102" customFormat="false" ht="15" hidden="false" customHeight="false" outlineLevel="0" collapsed="false">
      <c r="A102" s="6" t="n">
        <v>101</v>
      </c>
      <c r="B102" s="6" t="s">
        <v>799</v>
      </c>
      <c r="C102" s="6" t="s">
        <v>552</v>
      </c>
      <c r="D102" s="7" t="n">
        <v>2900</v>
      </c>
      <c r="E102" s="6" t="n">
        <v>13</v>
      </c>
      <c r="F102" s="12" t="n">
        <v>0.08</v>
      </c>
      <c r="G102" s="12" t="n">
        <v>0.03</v>
      </c>
      <c r="H102" s="6" t="s">
        <v>733</v>
      </c>
      <c r="I102" s="6" t="s">
        <v>80</v>
      </c>
      <c r="J102" s="6" t="str">
        <f aca="false">IF(E102&lt;=15,"Very Easy",IF(E102&lt;=25,"Easy",IF(E102&lt;=40,"Medium","Hard")))</f>
        <v>Very Easy</v>
      </c>
      <c r="K102" s="6" t="s">
        <v>679</v>
      </c>
      <c r="L102" s="13" t="s">
        <v>674</v>
      </c>
      <c r="M102" s="6" t="s">
        <v>675</v>
      </c>
      <c r="N102" s="14" t="n">
        <f aca="false">ROUND(D102/MAX(E102,1),1)</f>
        <v>223.1</v>
      </c>
      <c r="O102" s="6" t="s">
        <v>682</v>
      </c>
    </row>
    <row r="103" customFormat="false" ht="15" hidden="false" customHeight="false" outlineLevel="0" collapsed="false">
      <c r="A103" s="6" t="n">
        <v>102</v>
      </c>
      <c r="B103" s="6" t="s">
        <v>800</v>
      </c>
      <c r="C103" s="6" t="s">
        <v>714</v>
      </c>
      <c r="D103" s="7" t="n">
        <v>6600</v>
      </c>
      <c r="E103" s="6" t="n">
        <v>30</v>
      </c>
      <c r="F103" s="12" t="n">
        <v>0.16</v>
      </c>
      <c r="G103" s="12" t="n">
        <v>0.12</v>
      </c>
      <c r="H103" s="6" t="s">
        <v>678</v>
      </c>
      <c r="I103" s="6" t="s">
        <v>80</v>
      </c>
      <c r="J103" s="6" t="str">
        <f aca="false">IF(E103&lt;=15,"Very Easy",IF(E103&lt;=25,"Easy",IF(E103&lt;=40,"Medium","Hard")))</f>
        <v>Medium</v>
      </c>
      <c r="K103" s="6" t="s">
        <v>681</v>
      </c>
      <c r="L103" s="13" t="s">
        <v>674</v>
      </c>
      <c r="M103" s="6" t="s">
        <v>675</v>
      </c>
      <c r="N103" s="14" t="n">
        <f aca="false">ROUND(D103/MAX(E103,1),1)</f>
        <v>220</v>
      </c>
      <c r="O103" s="6" t="s">
        <v>682</v>
      </c>
    </row>
    <row r="104" customFormat="false" ht="15" hidden="false" customHeight="false" outlineLevel="0" collapsed="false">
      <c r="A104" s="6" t="n">
        <v>103</v>
      </c>
      <c r="B104" s="6" t="s">
        <v>801</v>
      </c>
      <c r="C104" s="6" t="s">
        <v>685</v>
      </c>
      <c r="D104" s="7" t="n">
        <v>1300</v>
      </c>
      <c r="E104" s="6" t="n">
        <v>6</v>
      </c>
      <c r="F104" s="12" t="n">
        <v>0.14</v>
      </c>
      <c r="G104" s="12" t="n">
        <v>0.05</v>
      </c>
      <c r="H104" s="6" t="s">
        <v>678</v>
      </c>
      <c r="I104" s="6" t="s">
        <v>80</v>
      </c>
      <c r="J104" s="6" t="str">
        <f aca="false">IF(E104&lt;=15,"Very Easy",IF(E104&lt;=25,"Easy",IF(E104&lt;=40,"Medium","Hard")))</f>
        <v>Very Easy</v>
      </c>
      <c r="K104" s="6" t="s">
        <v>681</v>
      </c>
      <c r="L104" s="13" t="s">
        <v>674</v>
      </c>
      <c r="M104" s="6" t="s">
        <v>675</v>
      </c>
      <c r="N104" s="14" t="n">
        <f aca="false">ROUND(D104/MAX(E104,1),1)</f>
        <v>216.7</v>
      </c>
      <c r="O104" s="6" t="s">
        <v>682</v>
      </c>
    </row>
    <row r="105" customFormat="false" ht="15" hidden="false" customHeight="false" outlineLevel="0" collapsed="false">
      <c r="A105" s="6" t="n">
        <v>104</v>
      </c>
      <c r="B105" s="6" t="s">
        <v>802</v>
      </c>
      <c r="C105" s="6" t="s">
        <v>269</v>
      </c>
      <c r="D105" s="7" t="n">
        <v>5400</v>
      </c>
      <c r="E105" s="6" t="n">
        <v>25</v>
      </c>
      <c r="F105" s="12" t="n">
        <v>0.07</v>
      </c>
      <c r="G105" s="12" t="n">
        <v>0.14</v>
      </c>
      <c r="H105" s="6" t="s">
        <v>690</v>
      </c>
      <c r="I105" s="6" t="s">
        <v>80</v>
      </c>
      <c r="J105" s="6" t="str">
        <f aca="false">IF(E105&lt;=15,"Very Easy",IF(E105&lt;=25,"Easy",IF(E105&lt;=40,"Medium","Hard")))</f>
        <v>Easy</v>
      </c>
      <c r="K105" s="6" t="s">
        <v>679</v>
      </c>
      <c r="L105" s="13" t="s">
        <v>674</v>
      </c>
      <c r="M105" s="6" t="s">
        <v>675</v>
      </c>
      <c r="N105" s="14" t="n">
        <f aca="false">ROUND(D105/MAX(E105,1),1)</f>
        <v>216</v>
      </c>
      <c r="O105" s="6" t="s">
        <v>682</v>
      </c>
    </row>
    <row r="106" customFormat="false" ht="15" hidden="false" customHeight="false" outlineLevel="0" collapsed="false">
      <c r="A106" s="6" t="n">
        <v>105</v>
      </c>
      <c r="B106" s="6" t="s">
        <v>803</v>
      </c>
      <c r="C106" s="6" t="s">
        <v>134</v>
      </c>
      <c r="D106" s="7" t="n">
        <v>5400</v>
      </c>
      <c r="E106" s="6" t="n">
        <v>25</v>
      </c>
      <c r="F106" s="12" t="n">
        <v>0.08</v>
      </c>
      <c r="G106" s="12" t="n">
        <v>0.05</v>
      </c>
      <c r="H106" s="6" t="s">
        <v>678</v>
      </c>
      <c r="I106" s="6" t="s">
        <v>80</v>
      </c>
      <c r="J106" s="6" t="str">
        <f aca="false">IF(E106&lt;=15,"Very Easy",IF(E106&lt;=25,"Easy",IF(E106&lt;=40,"Medium","Hard")))</f>
        <v>Easy</v>
      </c>
      <c r="K106" s="6" t="s">
        <v>679</v>
      </c>
      <c r="L106" s="13" t="s">
        <v>674</v>
      </c>
      <c r="M106" s="6" t="s">
        <v>675</v>
      </c>
      <c r="N106" s="14" t="n">
        <f aca="false">ROUND(D106/MAX(E106,1),1)</f>
        <v>216</v>
      </c>
      <c r="O106" s="6" t="s">
        <v>682</v>
      </c>
    </row>
    <row r="107" customFormat="false" ht="15" hidden="false" customHeight="false" outlineLevel="0" collapsed="false">
      <c r="A107" s="6" t="n">
        <v>106</v>
      </c>
      <c r="B107" s="6" t="s">
        <v>804</v>
      </c>
      <c r="C107" s="6" t="s">
        <v>552</v>
      </c>
      <c r="D107" s="7" t="n">
        <v>5400</v>
      </c>
      <c r="E107" s="6" t="n">
        <v>25</v>
      </c>
      <c r="F107" s="12" t="n">
        <v>0.04</v>
      </c>
      <c r="G107" s="12" t="n">
        <v>0.08</v>
      </c>
      <c r="H107" s="6" t="s">
        <v>678</v>
      </c>
      <c r="I107" s="6" t="s">
        <v>80</v>
      </c>
      <c r="J107" s="6" t="str">
        <f aca="false">IF(E107&lt;=15,"Very Easy",IF(E107&lt;=25,"Easy",IF(E107&lt;=40,"Medium","Hard")))</f>
        <v>Easy</v>
      </c>
      <c r="K107" s="6" t="s">
        <v>679</v>
      </c>
      <c r="L107" s="13" t="s">
        <v>674</v>
      </c>
      <c r="M107" s="6" t="s">
        <v>675</v>
      </c>
      <c r="N107" s="14" t="n">
        <f aca="false">ROUND(D107/MAX(E107,1),1)</f>
        <v>216</v>
      </c>
      <c r="O107" s="6" t="s">
        <v>682</v>
      </c>
    </row>
    <row r="108" customFormat="false" ht="15" hidden="false" customHeight="false" outlineLevel="0" collapsed="false">
      <c r="A108" s="6" t="n">
        <v>107</v>
      </c>
      <c r="B108" s="6" t="s">
        <v>805</v>
      </c>
      <c r="C108" s="6" t="s">
        <v>685</v>
      </c>
      <c r="D108" s="7" t="n">
        <v>5400</v>
      </c>
      <c r="E108" s="6" t="n">
        <v>25</v>
      </c>
      <c r="F108" s="12" t="n">
        <v>0</v>
      </c>
      <c r="G108" s="12" t="n">
        <v>0.01</v>
      </c>
      <c r="H108" s="6" t="s">
        <v>678</v>
      </c>
      <c r="I108" s="6" t="s">
        <v>80</v>
      </c>
      <c r="J108" s="6" t="str">
        <f aca="false">IF(E108&lt;=15,"Very Easy",IF(E108&lt;=25,"Easy",IF(E108&lt;=40,"Medium","Hard")))</f>
        <v>Easy</v>
      </c>
      <c r="K108" s="6" t="s">
        <v>679</v>
      </c>
      <c r="L108" s="13" t="s">
        <v>674</v>
      </c>
      <c r="M108" s="6" t="s">
        <v>675</v>
      </c>
      <c r="N108" s="14" t="n">
        <f aca="false">ROUND(D108/MAX(E108,1),1)</f>
        <v>216</v>
      </c>
      <c r="O108" s="6" t="s">
        <v>806</v>
      </c>
    </row>
    <row r="109" customFormat="false" ht="15" hidden="false" customHeight="false" outlineLevel="0" collapsed="false">
      <c r="A109" s="6" t="n">
        <v>108</v>
      </c>
      <c r="B109" s="6" t="s">
        <v>807</v>
      </c>
      <c r="C109" s="6" t="s">
        <v>247</v>
      </c>
      <c r="D109" s="7" t="n">
        <v>6600</v>
      </c>
      <c r="E109" s="6" t="n">
        <v>31</v>
      </c>
      <c r="F109" s="12" t="n">
        <v>0.03</v>
      </c>
      <c r="G109" s="12" t="n">
        <v>0.28</v>
      </c>
      <c r="H109" s="6" t="s">
        <v>690</v>
      </c>
      <c r="I109" s="6" t="s">
        <v>80</v>
      </c>
      <c r="J109" s="6" t="str">
        <f aca="false">IF(E109&lt;=15,"Very Easy",IF(E109&lt;=25,"Easy",IF(E109&lt;=40,"Medium","Hard")))</f>
        <v>Medium</v>
      </c>
      <c r="K109" s="6" t="s">
        <v>679</v>
      </c>
      <c r="L109" s="13" t="s">
        <v>674</v>
      </c>
      <c r="M109" s="6" t="s">
        <v>675</v>
      </c>
      <c r="N109" s="14" t="n">
        <f aca="false">ROUND(D109/MAX(E109,1),1)</f>
        <v>212.9</v>
      </c>
      <c r="O109" s="6" t="s">
        <v>682</v>
      </c>
    </row>
    <row r="110" customFormat="false" ht="15" hidden="false" customHeight="false" outlineLevel="0" collapsed="false">
      <c r="A110" s="6" t="n">
        <v>109</v>
      </c>
      <c r="B110" s="6" t="s">
        <v>808</v>
      </c>
      <c r="C110" s="6" t="s">
        <v>552</v>
      </c>
      <c r="D110" s="7" t="n">
        <v>3600</v>
      </c>
      <c r="E110" s="6" t="n">
        <v>17</v>
      </c>
      <c r="F110" s="12" t="n">
        <v>0.08</v>
      </c>
      <c r="G110" s="12" t="n">
        <v>0.19</v>
      </c>
      <c r="H110" s="6" t="s">
        <v>690</v>
      </c>
      <c r="I110" s="6" t="s">
        <v>80</v>
      </c>
      <c r="J110" s="6" t="str">
        <f aca="false">IF(E110&lt;=15,"Very Easy",IF(E110&lt;=25,"Easy",IF(E110&lt;=40,"Medium","Hard")))</f>
        <v>Easy</v>
      </c>
      <c r="K110" s="6" t="s">
        <v>679</v>
      </c>
      <c r="L110" s="13" t="s">
        <v>674</v>
      </c>
      <c r="M110" s="6" t="s">
        <v>675</v>
      </c>
      <c r="N110" s="14" t="n">
        <f aca="false">ROUND(D110/MAX(E110,1),1)</f>
        <v>211.8</v>
      </c>
      <c r="O110" s="6" t="s">
        <v>682</v>
      </c>
    </row>
    <row r="111" customFormat="false" ht="15" hidden="false" customHeight="false" outlineLevel="0" collapsed="false">
      <c r="A111" s="6" t="n">
        <v>110</v>
      </c>
      <c r="B111" s="6" t="s">
        <v>809</v>
      </c>
      <c r="C111" s="6" t="s">
        <v>552</v>
      </c>
      <c r="D111" s="7" t="n">
        <v>3600</v>
      </c>
      <c r="E111" s="6" t="n">
        <v>17</v>
      </c>
      <c r="F111" s="12" t="n">
        <v>0.12</v>
      </c>
      <c r="G111" s="12" t="n">
        <v>0.14</v>
      </c>
      <c r="H111" s="6" t="s">
        <v>678</v>
      </c>
      <c r="I111" s="6" t="s">
        <v>80</v>
      </c>
      <c r="J111" s="6" t="str">
        <f aca="false">IF(E111&lt;=15,"Very Easy",IF(E111&lt;=25,"Easy",IF(E111&lt;=40,"Medium","Hard")))</f>
        <v>Easy</v>
      </c>
      <c r="K111" s="6" t="s">
        <v>681</v>
      </c>
      <c r="L111" s="13" t="s">
        <v>674</v>
      </c>
      <c r="M111" s="6" t="s">
        <v>675</v>
      </c>
      <c r="N111" s="14" t="n">
        <f aca="false">ROUND(D111/MAX(E111,1),1)</f>
        <v>211.8</v>
      </c>
      <c r="O111" s="6" t="s">
        <v>682</v>
      </c>
    </row>
    <row r="112" customFormat="false" ht="15" hidden="false" customHeight="false" outlineLevel="0" collapsed="false">
      <c r="A112" s="6" t="n">
        <v>111</v>
      </c>
      <c r="B112" s="6" t="s">
        <v>810</v>
      </c>
      <c r="C112" s="6" t="s">
        <v>247</v>
      </c>
      <c r="D112" s="7" t="n">
        <v>3600</v>
      </c>
      <c r="E112" s="6" t="n">
        <v>17</v>
      </c>
      <c r="F112" s="12" t="n">
        <v>0.02</v>
      </c>
      <c r="G112" s="12" t="n">
        <v>0.07</v>
      </c>
      <c r="H112" s="6" t="s">
        <v>693</v>
      </c>
      <c r="I112" s="6" t="s">
        <v>80</v>
      </c>
      <c r="J112" s="6" t="str">
        <f aca="false">IF(E112&lt;=15,"Very Easy",IF(E112&lt;=25,"Easy",IF(E112&lt;=40,"Medium","Hard")))</f>
        <v>Easy</v>
      </c>
      <c r="K112" s="6" t="s">
        <v>694</v>
      </c>
      <c r="L112" s="13" t="s">
        <v>674</v>
      </c>
      <c r="M112" s="6" t="s">
        <v>675</v>
      </c>
      <c r="N112" s="14" t="n">
        <f aca="false">ROUND(D112/MAX(E112,1),1)</f>
        <v>211.8</v>
      </c>
      <c r="O112" s="6" t="s">
        <v>676</v>
      </c>
    </row>
    <row r="113" customFormat="false" ht="15" hidden="false" customHeight="false" outlineLevel="0" collapsed="false">
      <c r="A113" s="6" t="n">
        <v>112</v>
      </c>
      <c r="B113" s="6" t="s">
        <v>811</v>
      </c>
      <c r="C113" s="6" t="s">
        <v>247</v>
      </c>
      <c r="D113" s="7" t="n">
        <v>3600</v>
      </c>
      <c r="E113" s="6" t="n">
        <v>17</v>
      </c>
      <c r="F113" s="12" t="n">
        <v>0.08</v>
      </c>
      <c r="G113" s="12" t="n">
        <v>0.16</v>
      </c>
      <c r="H113" s="6" t="s">
        <v>690</v>
      </c>
      <c r="I113" s="6" t="s">
        <v>80</v>
      </c>
      <c r="J113" s="6" t="str">
        <f aca="false">IF(E113&lt;=15,"Very Easy",IF(E113&lt;=25,"Easy",IF(E113&lt;=40,"Medium","Hard")))</f>
        <v>Easy</v>
      </c>
      <c r="K113" s="6" t="s">
        <v>679</v>
      </c>
      <c r="L113" s="13" t="s">
        <v>674</v>
      </c>
      <c r="M113" s="6" t="s">
        <v>675</v>
      </c>
      <c r="N113" s="14" t="n">
        <f aca="false">ROUND(D113/MAX(E113,1),1)</f>
        <v>211.8</v>
      </c>
      <c r="O113" s="6" t="s">
        <v>682</v>
      </c>
    </row>
    <row r="114" customFormat="false" ht="15" hidden="false" customHeight="false" outlineLevel="0" collapsed="false">
      <c r="A114" s="6" t="n">
        <v>113</v>
      </c>
      <c r="B114" s="6" t="s">
        <v>812</v>
      </c>
      <c r="C114" s="6" t="s">
        <v>247</v>
      </c>
      <c r="D114" s="7" t="n">
        <v>3600</v>
      </c>
      <c r="E114" s="6" t="n">
        <v>17</v>
      </c>
      <c r="F114" s="12" t="n">
        <v>0.01</v>
      </c>
      <c r="G114" s="12" t="n">
        <v>0.22</v>
      </c>
      <c r="H114" s="6" t="s">
        <v>693</v>
      </c>
      <c r="I114" s="6" t="s">
        <v>80</v>
      </c>
      <c r="J114" s="6" t="str">
        <f aca="false">IF(E114&lt;=15,"Very Easy",IF(E114&lt;=25,"Easy",IF(E114&lt;=40,"Medium","Hard")))</f>
        <v>Easy</v>
      </c>
      <c r="K114" s="6" t="s">
        <v>694</v>
      </c>
      <c r="L114" s="13" t="s">
        <v>674</v>
      </c>
      <c r="M114" s="6" t="s">
        <v>675</v>
      </c>
      <c r="N114" s="14" t="n">
        <f aca="false">ROUND(D114/MAX(E114,1),1)</f>
        <v>211.8</v>
      </c>
      <c r="O114" s="6" t="s">
        <v>676</v>
      </c>
    </row>
    <row r="115" customFormat="false" ht="15" hidden="false" customHeight="false" outlineLevel="0" collapsed="false">
      <c r="A115" s="6" t="n">
        <v>114</v>
      </c>
      <c r="B115" s="6" t="s">
        <v>813</v>
      </c>
      <c r="C115" s="6" t="s">
        <v>740</v>
      </c>
      <c r="D115" s="7" t="n">
        <v>4400</v>
      </c>
      <c r="E115" s="6" t="n">
        <v>21</v>
      </c>
      <c r="F115" s="12" t="n">
        <v>0.07</v>
      </c>
      <c r="G115" s="12" t="n">
        <v>0.09</v>
      </c>
      <c r="H115" s="6" t="s">
        <v>678</v>
      </c>
      <c r="I115" s="6" t="s">
        <v>80</v>
      </c>
      <c r="J115" s="6" t="str">
        <f aca="false">IF(E115&lt;=15,"Very Easy",IF(E115&lt;=25,"Easy",IF(E115&lt;=40,"Medium","Hard")))</f>
        <v>Easy</v>
      </c>
      <c r="K115" s="6" t="s">
        <v>679</v>
      </c>
      <c r="L115" s="13" t="s">
        <v>674</v>
      </c>
      <c r="M115" s="6" t="s">
        <v>675</v>
      </c>
      <c r="N115" s="14" t="n">
        <f aca="false">ROUND(D115/MAX(E115,1),1)</f>
        <v>209.5</v>
      </c>
      <c r="O115" s="6" t="s">
        <v>682</v>
      </c>
    </row>
    <row r="116" customFormat="false" ht="15" hidden="false" customHeight="false" outlineLevel="0" collapsed="false">
      <c r="A116" s="6" t="n">
        <v>115</v>
      </c>
      <c r="B116" s="6" t="s">
        <v>814</v>
      </c>
      <c r="C116" s="6" t="s">
        <v>714</v>
      </c>
      <c r="D116" s="7" t="n">
        <v>1600</v>
      </c>
      <c r="E116" s="6" t="n">
        <v>8</v>
      </c>
      <c r="F116" s="12" t="n">
        <v>0.07</v>
      </c>
      <c r="G116" s="12" t="n">
        <v>0.02</v>
      </c>
      <c r="H116" s="6" t="s">
        <v>678</v>
      </c>
      <c r="I116" s="6" t="s">
        <v>80</v>
      </c>
      <c r="J116" s="6" t="str">
        <f aca="false">IF(E116&lt;=15,"Very Easy",IF(E116&lt;=25,"Easy",IF(E116&lt;=40,"Medium","Hard")))</f>
        <v>Very Easy</v>
      </c>
      <c r="K116" s="6" t="s">
        <v>679</v>
      </c>
      <c r="L116" s="13" t="s">
        <v>674</v>
      </c>
      <c r="M116" s="6" t="s">
        <v>675</v>
      </c>
      <c r="N116" s="14" t="n">
        <f aca="false">ROUND(D116/MAX(E116,1),1)</f>
        <v>200</v>
      </c>
      <c r="O116" s="6" t="s">
        <v>682</v>
      </c>
    </row>
    <row r="117" customFormat="false" ht="15" hidden="false" customHeight="false" outlineLevel="0" collapsed="false">
      <c r="A117" s="6" t="n">
        <v>116</v>
      </c>
      <c r="B117" s="6" t="s">
        <v>815</v>
      </c>
      <c r="C117" s="6" t="s">
        <v>552</v>
      </c>
      <c r="D117" s="7" t="n">
        <v>4400</v>
      </c>
      <c r="E117" s="6" t="n">
        <v>22</v>
      </c>
      <c r="F117" s="12" t="n">
        <v>0.05</v>
      </c>
      <c r="G117" s="12" t="n">
        <v>0.1</v>
      </c>
      <c r="H117" s="6" t="s">
        <v>678</v>
      </c>
      <c r="I117" s="6" t="s">
        <v>80</v>
      </c>
      <c r="J117" s="6" t="str">
        <f aca="false">IF(E117&lt;=15,"Very Easy",IF(E117&lt;=25,"Easy",IF(E117&lt;=40,"Medium","Hard")))</f>
        <v>Easy</v>
      </c>
      <c r="K117" s="6" t="s">
        <v>679</v>
      </c>
      <c r="L117" s="13" t="s">
        <v>674</v>
      </c>
      <c r="M117" s="6" t="s">
        <v>675</v>
      </c>
      <c r="N117" s="14" t="n">
        <f aca="false">ROUND(D117/MAX(E117,1),1)</f>
        <v>200</v>
      </c>
      <c r="O117" s="6" t="s">
        <v>682</v>
      </c>
    </row>
    <row r="118" customFormat="false" ht="15" hidden="false" customHeight="false" outlineLevel="0" collapsed="false">
      <c r="A118" s="6" t="n">
        <v>117</v>
      </c>
      <c r="B118" s="6" t="s">
        <v>816</v>
      </c>
      <c r="C118" s="6" t="s">
        <v>714</v>
      </c>
      <c r="D118" s="7" t="n">
        <v>3600</v>
      </c>
      <c r="E118" s="6" t="n">
        <v>19</v>
      </c>
      <c r="F118" s="12" t="n">
        <v>0.06</v>
      </c>
      <c r="G118" s="12" t="n">
        <v>0.5</v>
      </c>
      <c r="H118" s="6" t="s">
        <v>678</v>
      </c>
      <c r="I118" s="6" t="s">
        <v>80</v>
      </c>
      <c r="J118" s="6" t="str">
        <f aca="false">IF(E118&lt;=15,"Very Easy",IF(E118&lt;=25,"Easy",IF(E118&lt;=40,"Medium","Hard")))</f>
        <v>Easy</v>
      </c>
      <c r="K118" s="6" t="s">
        <v>679</v>
      </c>
      <c r="L118" s="13" t="s">
        <v>674</v>
      </c>
      <c r="M118" s="6" t="s">
        <v>675</v>
      </c>
      <c r="N118" s="14" t="n">
        <f aca="false">ROUND(D118/MAX(E118,1),1)</f>
        <v>189.5</v>
      </c>
      <c r="O118" s="6" t="s">
        <v>682</v>
      </c>
    </row>
    <row r="119" customFormat="false" ht="15" hidden="false" customHeight="false" outlineLevel="0" collapsed="false">
      <c r="A119" s="6" t="n">
        <v>118</v>
      </c>
      <c r="B119" s="6" t="s">
        <v>817</v>
      </c>
      <c r="C119" s="6" t="s">
        <v>552</v>
      </c>
      <c r="D119" s="7" t="n">
        <v>3600</v>
      </c>
      <c r="E119" s="6" t="n">
        <v>19</v>
      </c>
      <c r="F119" s="12" t="n">
        <v>0.11</v>
      </c>
      <c r="G119" s="12" t="n">
        <v>0.17</v>
      </c>
      <c r="H119" s="6" t="s">
        <v>672</v>
      </c>
      <c r="I119" s="6" t="s">
        <v>80</v>
      </c>
      <c r="J119" s="6" t="str">
        <f aca="false">IF(E119&lt;=15,"Very Easy",IF(E119&lt;=25,"Easy",IF(E119&lt;=40,"Medium","Hard")))</f>
        <v>Easy</v>
      </c>
      <c r="K119" s="6" t="s">
        <v>673</v>
      </c>
      <c r="L119" s="13" t="s">
        <v>674</v>
      </c>
      <c r="M119" s="6" t="s">
        <v>675</v>
      </c>
      <c r="N119" s="14" t="n">
        <f aca="false">ROUND(D119/MAX(E119,1),1)</f>
        <v>189.5</v>
      </c>
      <c r="O119" s="6" t="s">
        <v>682</v>
      </c>
    </row>
    <row r="120" customFormat="false" ht="15" hidden="false" customHeight="false" outlineLevel="0" collapsed="false">
      <c r="A120" s="6" t="n">
        <v>119</v>
      </c>
      <c r="B120" s="6" t="s">
        <v>818</v>
      </c>
      <c r="C120" s="6" t="s">
        <v>552</v>
      </c>
      <c r="D120" s="7" t="n">
        <v>3600</v>
      </c>
      <c r="E120" s="6" t="n">
        <v>19</v>
      </c>
      <c r="F120" s="12" t="n">
        <v>0.04</v>
      </c>
      <c r="G120" s="12" t="n">
        <v>0.2</v>
      </c>
      <c r="H120" s="6" t="s">
        <v>686</v>
      </c>
      <c r="I120" s="6" t="s">
        <v>80</v>
      </c>
      <c r="J120" s="6" t="str">
        <f aca="false">IF(E120&lt;=15,"Very Easy",IF(E120&lt;=25,"Easy",IF(E120&lt;=40,"Medium","Hard")))</f>
        <v>Easy</v>
      </c>
      <c r="K120" s="6" t="s">
        <v>687</v>
      </c>
      <c r="L120" s="13" t="s">
        <v>674</v>
      </c>
      <c r="M120" s="6" t="s">
        <v>675</v>
      </c>
      <c r="N120" s="14" t="n">
        <f aca="false">ROUND(D120/MAX(E120,1),1)</f>
        <v>189.5</v>
      </c>
      <c r="O120" s="6" t="s">
        <v>688</v>
      </c>
    </row>
    <row r="121" customFormat="false" ht="15" hidden="false" customHeight="false" outlineLevel="0" collapsed="false">
      <c r="A121" s="6" t="n">
        <v>120</v>
      </c>
      <c r="B121" s="6" t="s">
        <v>819</v>
      </c>
      <c r="C121" s="6" t="s">
        <v>714</v>
      </c>
      <c r="D121" s="7" t="n">
        <v>1300</v>
      </c>
      <c r="E121" s="6" t="n">
        <v>7</v>
      </c>
      <c r="F121" s="12" t="n">
        <v>0.07</v>
      </c>
      <c r="G121" s="12" t="n">
        <v>0.43</v>
      </c>
      <c r="H121" s="6" t="s">
        <v>678</v>
      </c>
      <c r="I121" s="6" t="s">
        <v>80</v>
      </c>
      <c r="J121" s="6" t="str">
        <f aca="false">IF(E121&lt;=15,"Very Easy",IF(E121&lt;=25,"Easy",IF(E121&lt;=40,"Medium","Hard")))</f>
        <v>Very Easy</v>
      </c>
      <c r="K121" s="6" t="s">
        <v>679</v>
      </c>
      <c r="L121" s="13" t="s">
        <v>674</v>
      </c>
      <c r="M121" s="6" t="s">
        <v>675</v>
      </c>
      <c r="N121" s="14" t="n">
        <f aca="false">ROUND(D121/MAX(E121,1),1)</f>
        <v>185.7</v>
      </c>
      <c r="O121" s="6" t="s">
        <v>729</v>
      </c>
    </row>
    <row r="122" customFormat="false" ht="15" hidden="false" customHeight="false" outlineLevel="0" collapsed="false">
      <c r="A122" s="6" t="n">
        <v>121</v>
      </c>
      <c r="B122" s="6" t="s">
        <v>820</v>
      </c>
      <c r="C122" s="6" t="s">
        <v>740</v>
      </c>
      <c r="D122" s="7" t="n">
        <v>1300</v>
      </c>
      <c r="E122" s="6" t="n">
        <v>7</v>
      </c>
      <c r="F122" s="12" t="n">
        <v>0.04</v>
      </c>
      <c r="G122" s="12" t="n">
        <v>0.05</v>
      </c>
      <c r="H122" s="6" t="s">
        <v>693</v>
      </c>
      <c r="I122" s="6" t="s">
        <v>80</v>
      </c>
      <c r="J122" s="6" t="str">
        <f aca="false">IF(E122&lt;=15,"Very Easy",IF(E122&lt;=25,"Easy",IF(E122&lt;=40,"Medium","Hard")))</f>
        <v>Very Easy</v>
      </c>
      <c r="K122" s="6" t="s">
        <v>694</v>
      </c>
      <c r="L122" s="13" t="s">
        <v>674</v>
      </c>
      <c r="M122" s="6" t="s">
        <v>675</v>
      </c>
      <c r="N122" s="14" t="n">
        <f aca="false">ROUND(D122/MAX(E122,1),1)</f>
        <v>185.7</v>
      </c>
      <c r="O122" s="6" t="s">
        <v>676</v>
      </c>
    </row>
    <row r="123" customFormat="false" ht="15" hidden="false" customHeight="false" outlineLevel="0" collapsed="false">
      <c r="A123" s="6" t="n">
        <v>122</v>
      </c>
      <c r="B123" s="6" t="s">
        <v>821</v>
      </c>
      <c r="C123" s="6" t="s">
        <v>231</v>
      </c>
      <c r="D123" s="7" t="n">
        <v>1300</v>
      </c>
      <c r="E123" s="6" t="n">
        <v>7</v>
      </c>
      <c r="F123" s="12" t="n">
        <v>0.03</v>
      </c>
      <c r="G123" s="12" t="n">
        <v>0.17</v>
      </c>
      <c r="H123" s="6" t="s">
        <v>727</v>
      </c>
      <c r="I123" s="6" t="s">
        <v>80</v>
      </c>
      <c r="J123" s="6" t="str">
        <f aca="false">IF(E123&lt;=15,"Very Easy",IF(E123&lt;=25,"Easy",IF(E123&lt;=40,"Medium","Hard")))</f>
        <v>Very Easy</v>
      </c>
      <c r="K123" s="6" t="s">
        <v>679</v>
      </c>
      <c r="L123" s="13" t="s">
        <v>674</v>
      </c>
      <c r="M123" s="6" t="s">
        <v>675</v>
      </c>
      <c r="N123" s="14" t="n">
        <f aca="false">ROUND(D123/MAX(E123,1),1)</f>
        <v>185.7</v>
      </c>
      <c r="O123" s="6" t="s">
        <v>682</v>
      </c>
    </row>
    <row r="124" customFormat="false" ht="15" hidden="false" customHeight="false" outlineLevel="0" collapsed="false">
      <c r="A124" s="6" t="n">
        <v>123</v>
      </c>
      <c r="B124" s="6" t="s">
        <v>822</v>
      </c>
      <c r="C124" s="6" t="s">
        <v>714</v>
      </c>
      <c r="D124" s="7" t="n">
        <v>2400</v>
      </c>
      <c r="E124" s="6" t="n">
        <v>13</v>
      </c>
      <c r="F124" s="12" t="n">
        <v>0.17</v>
      </c>
      <c r="G124" s="12" t="n">
        <v>0.26</v>
      </c>
      <c r="H124" s="6" t="s">
        <v>678</v>
      </c>
      <c r="I124" s="6" t="s">
        <v>80</v>
      </c>
      <c r="J124" s="6" t="str">
        <f aca="false">IF(E124&lt;=15,"Very Easy",IF(E124&lt;=25,"Easy",IF(E124&lt;=40,"Medium","Hard")))</f>
        <v>Very Easy</v>
      </c>
      <c r="K124" s="6" t="s">
        <v>681</v>
      </c>
      <c r="L124" s="13" t="s">
        <v>674</v>
      </c>
      <c r="M124" s="6" t="s">
        <v>675</v>
      </c>
      <c r="N124" s="14" t="n">
        <f aca="false">ROUND(D124/MAX(E124,1),1)</f>
        <v>184.6</v>
      </c>
      <c r="O124" s="6" t="s">
        <v>682</v>
      </c>
    </row>
    <row r="125" customFormat="false" ht="15" hidden="false" customHeight="false" outlineLevel="0" collapsed="false">
      <c r="A125" s="6" t="n">
        <v>124</v>
      </c>
      <c r="B125" s="6" t="s">
        <v>823</v>
      </c>
      <c r="C125" s="6" t="s">
        <v>269</v>
      </c>
      <c r="D125" s="7" t="n">
        <v>4400</v>
      </c>
      <c r="E125" s="6" t="n">
        <v>24</v>
      </c>
      <c r="F125" s="12" t="n">
        <v>0.12</v>
      </c>
      <c r="G125" s="12" t="n">
        <v>0.08</v>
      </c>
      <c r="H125" s="6" t="s">
        <v>733</v>
      </c>
      <c r="I125" s="6" t="s">
        <v>80</v>
      </c>
      <c r="J125" s="6" t="str">
        <f aca="false">IF(E125&lt;=15,"Very Easy",IF(E125&lt;=25,"Easy",IF(E125&lt;=40,"Medium","Hard")))</f>
        <v>Easy</v>
      </c>
      <c r="K125" s="6" t="s">
        <v>681</v>
      </c>
      <c r="L125" s="13" t="s">
        <v>674</v>
      </c>
      <c r="M125" s="6" t="s">
        <v>675</v>
      </c>
      <c r="N125" s="14" t="n">
        <f aca="false">ROUND(D125/MAX(E125,1),1)</f>
        <v>183.3</v>
      </c>
      <c r="O125" s="6" t="s">
        <v>682</v>
      </c>
    </row>
    <row r="126" customFormat="false" ht="15" hidden="false" customHeight="false" outlineLevel="0" collapsed="false">
      <c r="A126" s="6" t="n">
        <v>125</v>
      </c>
      <c r="B126" s="6" t="s">
        <v>824</v>
      </c>
      <c r="C126" s="6" t="s">
        <v>114</v>
      </c>
      <c r="D126" s="7" t="n">
        <v>6600</v>
      </c>
      <c r="E126" s="6" t="n">
        <v>36</v>
      </c>
      <c r="F126" s="12" t="n">
        <v>0.05</v>
      </c>
      <c r="G126" s="12" t="n">
        <v>0.06</v>
      </c>
      <c r="H126" s="6" t="s">
        <v>678</v>
      </c>
      <c r="I126" s="6" t="s">
        <v>80</v>
      </c>
      <c r="J126" s="6" t="str">
        <f aca="false">IF(E126&lt;=15,"Very Easy",IF(E126&lt;=25,"Easy",IF(E126&lt;=40,"Medium","Hard")))</f>
        <v>Medium</v>
      </c>
      <c r="K126" s="6" t="s">
        <v>679</v>
      </c>
      <c r="L126" s="13" t="s">
        <v>674</v>
      </c>
      <c r="M126" s="6" t="s">
        <v>675</v>
      </c>
      <c r="N126" s="14" t="n">
        <f aca="false">ROUND(D126/MAX(E126,1),1)</f>
        <v>183.3</v>
      </c>
      <c r="O126" s="6" t="s">
        <v>682</v>
      </c>
    </row>
    <row r="127" customFormat="false" ht="15" hidden="false" customHeight="false" outlineLevel="0" collapsed="false">
      <c r="A127" s="6" t="n">
        <v>126</v>
      </c>
      <c r="B127" s="6" t="s">
        <v>825</v>
      </c>
      <c r="C127" s="6" t="s">
        <v>552</v>
      </c>
      <c r="D127" s="7" t="n">
        <v>2900</v>
      </c>
      <c r="E127" s="6" t="n">
        <v>16</v>
      </c>
      <c r="F127" s="12" t="n">
        <v>0.06</v>
      </c>
      <c r="G127" s="12" t="n">
        <v>0.06</v>
      </c>
      <c r="H127" s="6" t="s">
        <v>678</v>
      </c>
      <c r="I127" s="6" t="s">
        <v>80</v>
      </c>
      <c r="J127" s="6" t="str">
        <f aca="false">IF(E127&lt;=15,"Very Easy",IF(E127&lt;=25,"Easy",IF(E127&lt;=40,"Medium","Hard")))</f>
        <v>Easy</v>
      </c>
      <c r="K127" s="6" t="s">
        <v>679</v>
      </c>
      <c r="L127" s="13" t="s">
        <v>674</v>
      </c>
      <c r="M127" s="6" t="s">
        <v>675</v>
      </c>
      <c r="N127" s="14" t="n">
        <f aca="false">ROUND(D127/MAX(E127,1),1)</f>
        <v>181.3</v>
      </c>
      <c r="O127" s="6" t="s">
        <v>682</v>
      </c>
    </row>
    <row r="128" customFormat="false" ht="15" hidden="false" customHeight="false" outlineLevel="0" collapsed="false">
      <c r="A128" s="6" t="n">
        <v>127</v>
      </c>
      <c r="B128" s="6" t="s">
        <v>826</v>
      </c>
      <c r="C128" s="6" t="s">
        <v>114</v>
      </c>
      <c r="D128" s="7" t="n">
        <v>2900</v>
      </c>
      <c r="E128" s="6" t="n">
        <v>16</v>
      </c>
      <c r="F128" s="12" t="n">
        <v>0.02</v>
      </c>
      <c r="G128" s="12" t="n">
        <v>0.13</v>
      </c>
      <c r="H128" s="6" t="s">
        <v>693</v>
      </c>
      <c r="I128" s="6" t="s">
        <v>80</v>
      </c>
      <c r="J128" s="6" t="str">
        <f aca="false">IF(E128&lt;=15,"Very Easy",IF(E128&lt;=25,"Easy",IF(E128&lt;=40,"Medium","Hard")))</f>
        <v>Easy</v>
      </c>
      <c r="K128" s="6" t="s">
        <v>694</v>
      </c>
      <c r="L128" s="13" t="s">
        <v>674</v>
      </c>
      <c r="M128" s="6" t="s">
        <v>675</v>
      </c>
      <c r="N128" s="14" t="n">
        <f aca="false">ROUND(D128/MAX(E128,1),1)</f>
        <v>181.3</v>
      </c>
      <c r="O128" s="6" t="s">
        <v>676</v>
      </c>
    </row>
    <row r="129" customFormat="false" ht="15" hidden="false" customHeight="false" outlineLevel="0" collapsed="false">
      <c r="A129" s="6" t="n">
        <v>128</v>
      </c>
      <c r="B129" s="6" t="s">
        <v>827</v>
      </c>
      <c r="C129" s="6" t="s">
        <v>269</v>
      </c>
      <c r="D129" s="7" t="n">
        <v>3600</v>
      </c>
      <c r="E129" s="6" t="n">
        <v>20</v>
      </c>
      <c r="F129" s="12" t="n">
        <v>0.12</v>
      </c>
      <c r="G129" s="12" t="n">
        <v>0.25</v>
      </c>
      <c r="H129" s="6" t="s">
        <v>672</v>
      </c>
      <c r="I129" s="6" t="s">
        <v>80</v>
      </c>
      <c r="J129" s="6" t="str">
        <f aca="false">IF(E129&lt;=15,"Very Easy",IF(E129&lt;=25,"Easy",IF(E129&lt;=40,"Medium","Hard")))</f>
        <v>Easy</v>
      </c>
      <c r="K129" s="6" t="s">
        <v>673</v>
      </c>
      <c r="L129" s="13" t="s">
        <v>674</v>
      </c>
      <c r="M129" s="6" t="s">
        <v>675</v>
      </c>
      <c r="N129" s="14" t="n">
        <f aca="false">ROUND(D129/MAX(E129,1),1)</f>
        <v>180</v>
      </c>
      <c r="O129" s="6" t="s">
        <v>729</v>
      </c>
    </row>
    <row r="130" customFormat="false" ht="15" hidden="false" customHeight="false" outlineLevel="0" collapsed="false">
      <c r="A130" s="6" t="n">
        <v>129</v>
      </c>
      <c r="B130" s="6" t="s">
        <v>828</v>
      </c>
      <c r="C130" s="6" t="s">
        <v>685</v>
      </c>
      <c r="D130" s="7" t="n">
        <v>3600</v>
      </c>
      <c r="E130" s="6" t="n">
        <v>20</v>
      </c>
      <c r="F130" s="12" t="n">
        <v>0.02</v>
      </c>
      <c r="G130" s="12" t="n">
        <v>0.29</v>
      </c>
      <c r="H130" s="6" t="s">
        <v>686</v>
      </c>
      <c r="I130" s="6" t="s">
        <v>80</v>
      </c>
      <c r="J130" s="6" t="str">
        <f aca="false">IF(E130&lt;=15,"Very Easy",IF(E130&lt;=25,"Easy",IF(E130&lt;=40,"Medium","Hard")))</f>
        <v>Easy</v>
      </c>
      <c r="K130" s="6" t="s">
        <v>687</v>
      </c>
      <c r="L130" s="13" t="s">
        <v>674</v>
      </c>
      <c r="M130" s="6" t="s">
        <v>675</v>
      </c>
      <c r="N130" s="14" t="n">
        <f aca="false">ROUND(D130/MAX(E130,1),1)</f>
        <v>180</v>
      </c>
      <c r="O130" s="6" t="s">
        <v>688</v>
      </c>
    </row>
    <row r="131" customFormat="false" ht="15" hidden="false" customHeight="false" outlineLevel="0" collapsed="false">
      <c r="A131" s="6" t="n">
        <v>130</v>
      </c>
      <c r="B131" s="6" t="s">
        <v>829</v>
      </c>
      <c r="C131" s="6" t="s">
        <v>692</v>
      </c>
      <c r="D131" s="7" t="n">
        <v>6600</v>
      </c>
      <c r="E131" s="6" t="n">
        <v>37</v>
      </c>
      <c r="F131" s="12" t="n">
        <v>0.14</v>
      </c>
      <c r="G131" s="12" t="n">
        <v>0.03</v>
      </c>
      <c r="H131" s="6" t="s">
        <v>678</v>
      </c>
      <c r="I131" s="6" t="s">
        <v>80</v>
      </c>
      <c r="J131" s="6" t="str">
        <f aca="false">IF(E131&lt;=15,"Very Easy",IF(E131&lt;=25,"Easy",IF(E131&lt;=40,"Medium","Hard")))</f>
        <v>Medium</v>
      </c>
      <c r="K131" s="6" t="s">
        <v>681</v>
      </c>
      <c r="L131" s="13" t="s">
        <v>674</v>
      </c>
      <c r="M131" s="6" t="s">
        <v>675</v>
      </c>
      <c r="N131" s="14" t="n">
        <f aca="false">ROUND(D131/MAX(E131,1),1)</f>
        <v>178.4</v>
      </c>
      <c r="O131" s="6" t="s">
        <v>682</v>
      </c>
    </row>
    <row r="132" customFormat="false" ht="15" hidden="false" customHeight="false" outlineLevel="0" collapsed="false">
      <c r="A132" s="6" t="n">
        <v>131</v>
      </c>
      <c r="B132" s="6" t="s">
        <v>830</v>
      </c>
      <c r="C132" s="6" t="s">
        <v>231</v>
      </c>
      <c r="D132" s="7" t="n">
        <v>1600</v>
      </c>
      <c r="E132" s="6" t="n">
        <v>9</v>
      </c>
      <c r="F132" s="12" t="n">
        <v>0.14</v>
      </c>
      <c r="G132" s="12" t="n">
        <v>0.05</v>
      </c>
      <c r="H132" s="6" t="s">
        <v>678</v>
      </c>
      <c r="I132" s="6" t="s">
        <v>80</v>
      </c>
      <c r="J132" s="6" t="str">
        <f aca="false">IF(E132&lt;=15,"Very Easy",IF(E132&lt;=25,"Easy",IF(E132&lt;=40,"Medium","Hard")))</f>
        <v>Very Easy</v>
      </c>
      <c r="K132" s="6" t="s">
        <v>681</v>
      </c>
      <c r="L132" s="13" t="s">
        <v>674</v>
      </c>
      <c r="M132" s="6" t="s">
        <v>675</v>
      </c>
      <c r="N132" s="14" t="n">
        <f aca="false">ROUND(D132/MAX(E132,1),1)</f>
        <v>177.8</v>
      </c>
      <c r="O132" s="6" t="s">
        <v>682</v>
      </c>
    </row>
    <row r="133" customFormat="false" ht="15" hidden="false" customHeight="false" outlineLevel="0" collapsed="false">
      <c r="A133" s="6" t="n">
        <v>132</v>
      </c>
      <c r="B133" s="6" t="s">
        <v>831</v>
      </c>
      <c r="C133" s="6" t="s">
        <v>685</v>
      </c>
      <c r="D133" s="7" t="n">
        <v>4400</v>
      </c>
      <c r="E133" s="6" t="n">
        <v>25</v>
      </c>
      <c r="F133" s="12" t="n">
        <v>0.07</v>
      </c>
      <c r="G133" s="12" t="n">
        <v>0.07</v>
      </c>
      <c r="H133" s="6" t="s">
        <v>733</v>
      </c>
      <c r="I133" s="6" t="s">
        <v>80</v>
      </c>
      <c r="J133" s="6" t="str">
        <f aca="false">IF(E133&lt;=15,"Very Easy",IF(E133&lt;=25,"Easy",IF(E133&lt;=40,"Medium","Hard")))</f>
        <v>Easy</v>
      </c>
      <c r="K133" s="6" t="s">
        <v>679</v>
      </c>
      <c r="L133" s="13" t="s">
        <v>674</v>
      </c>
      <c r="M133" s="6" t="s">
        <v>675</v>
      </c>
      <c r="N133" s="14" t="n">
        <f aca="false">ROUND(D133/MAX(E133,1),1)</f>
        <v>176</v>
      </c>
      <c r="O133" s="6" t="s">
        <v>682</v>
      </c>
    </row>
    <row r="134" customFormat="false" ht="15" hidden="false" customHeight="false" outlineLevel="0" collapsed="false">
      <c r="A134" s="6" t="n">
        <v>133</v>
      </c>
      <c r="B134" s="6" t="s">
        <v>832</v>
      </c>
      <c r="C134" s="6" t="s">
        <v>714</v>
      </c>
      <c r="D134" s="7" t="n">
        <v>1900</v>
      </c>
      <c r="E134" s="6" t="n">
        <v>11</v>
      </c>
      <c r="F134" s="12" t="n">
        <v>0.13</v>
      </c>
      <c r="G134" s="12" t="n">
        <v>0.26</v>
      </c>
      <c r="H134" s="6" t="s">
        <v>678</v>
      </c>
      <c r="I134" s="6" t="s">
        <v>80</v>
      </c>
      <c r="J134" s="6" t="str">
        <f aca="false">IF(E134&lt;=15,"Very Easy",IF(E134&lt;=25,"Easy",IF(E134&lt;=40,"Medium","Hard")))</f>
        <v>Very Easy</v>
      </c>
      <c r="K134" s="6" t="s">
        <v>681</v>
      </c>
      <c r="L134" s="13" t="s">
        <v>674</v>
      </c>
      <c r="M134" s="6" t="s">
        <v>675</v>
      </c>
      <c r="N134" s="14" t="n">
        <f aca="false">ROUND(D134/MAX(E134,1),1)</f>
        <v>172.7</v>
      </c>
      <c r="O134" s="6" t="s">
        <v>682</v>
      </c>
    </row>
    <row r="135" customFormat="false" ht="15" hidden="false" customHeight="false" outlineLevel="0" collapsed="false">
      <c r="A135" s="6" t="n">
        <v>134</v>
      </c>
      <c r="B135" s="6" t="s">
        <v>833</v>
      </c>
      <c r="C135" s="6" t="s">
        <v>714</v>
      </c>
      <c r="D135" s="7" t="n">
        <v>1900</v>
      </c>
      <c r="E135" s="6" t="n">
        <v>11</v>
      </c>
      <c r="F135" s="12" t="n">
        <v>0.02</v>
      </c>
      <c r="G135" s="12" t="n">
        <v>0.16</v>
      </c>
      <c r="H135" s="6" t="s">
        <v>678</v>
      </c>
      <c r="I135" s="6" t="s">
        <v>80</v>
      </c>
      <c r="J135" s="6" t="str">
        <f aca="false">IF(E135&lt;=15,"Very Easy",IF(E135&lt;=25,"Easy",IF(E135&lt;=40,"Medium","Hard")))</f>
        <v>Very Easy</v>
      </c>
      <c r="K135" s="6" t="s">
        <v>679</v>
      </c>
      <c r="L135" s="13" t="s">
        <v>674</v>
      </c>
      <c r="M135" s="6" t="s">
        <v>675</v>
      </c>
      <c r="N135" s="14" t="n">
        <f aca="false">ROUND(D135/MAX(E135,1),1)</f>
        <v>172.7</v>
      </c>
      <c r="O135" s="6" t="s">
        <v>676</v>
      </c>
    </row>
    <row r="136" customFormat="false" ht="15" hidden="false" customHeight="false" outlineLevel="0" collapsed="false">
      <c r="A136" s="6" t="n">
        <v>135</v>
      </c>
      <c r="B136" s="6" t="s">
        <v>834</v>
      </c>
      <c r="C136" s="6" t="s">
        <v>740</v>
      </c>
      <c r="D136" s="7" t="n">
        <v>2400</v>
      </c>
      <c r="E136" s="6" t="n">
        <v>14</v>
      </c>
      <c r="F136" s="12" t="n">
        <v>0.05</v>
      </c>
      <c r="G136" s="12" t="n">
        <v>0.14</v>
      </c>
      <c r="H136" s="6" t="s">
        <v>690</v>
      </c>
      <c r="I136" s="6" t="s">
        <v>80</v>
      </c>
      <c r="J136" s="6" t="str">
        <f aca="false">IF(E136&lt;=15,"Very Easy",IF(E136&lt;=25,"Easy",IF(E136&lt;=40,"Medium","Hard")))</f>
        <v>Very Easy</v>
      </c>
      <c r="K136" s="6" t="s">
        <v>679</v>
      </c>
      <c r="L136" s="13" t="s">
        <v>674</v>
      </c>
      <c r="M136" s="6" t="s">
        <v>675</v>
      </c>
      <c r="N136" s="14" t="n">
        <f aca="false">ROUND(D136/MAX(E136,1),1)</f>
        <v>171.4</v>
      </c>
      <c r="O136" s="6" t="s">
        <v>682</v>
      </c>
    </row>
    <row r="137" customFormat="false" ht="15" hidden="false" customHeight="false" outlineLevel="0" collapsed="false">
      <c r="A137" s="6" t="n">
        <v>136</v>
      </c>
      <c r="B137" s="6" t="s">
        <v>835</v>
      </c>
      <c r="C137" s="6" t="s">
        <v>714</v>
      </c>
      <c r="D137" s="7" t="n">
        <v>2400</v>
      </c>
      <c r="E137" s="6" t="n">
        <v>14</v>
      </c>
      <c r="F137" s="12" t="n">
        <v>0.09</v>
      </c>
      <c r="G137" s="12" t="n">
        <v>0.16</v>
      </c>
      <c r="H137" s="6" t="s">
        <v>672</v>
      </c>
      <c r="I137" s="6" t="s">
        <v>80</v>
      </c>
      <c r="J137" s="6" t="str">
        <f aca="false">IF(E137&lt;=15,"Very Easy",IF(E137&lt;=25,"Easy",IF(E137&lt;=40,"Medium","Hard")))</f>
        <v>Very Easy</v>
      </c>
      <c r="K137" s="6" t="s">
        <v>673</v>
      </c>
      <c r="L137" s="13" t="s">
        <v>674</v>
      </c>
      <c r="M137" s="6" t="s">
        <v>675</v>
      </c>
      <c r="N137" s="14" t="n">
        <f aca="false">ROUND(D137/MAX(E137,1),1)</f>
        <v>171.4</v>
      </c>
      <c r="O137" s="6" t="s">
        <v>676</v>
      </c>
    </row>
    <row r="138" customFormat="false" ht="15" hidden="false" customHeight="false" outlineLevel="0" collapsed="false">
      <c r="A138" s="6" t="n">
        <v>137</v>
      </c>
      <c r="B138" s="6" t="s">
        <v>836</v>
      </c>
      <c r="C138" s="6" t="s">
        <v>552</v>
      </c>
      <c r="D138" s="7" t="n">
        <v>4400</v>
      </c>
      <c r="E138" s="6" t="n">
        <v>26</v>
      </c>
      <c r="F138" s="12" t="n">
        <v>0.11</v>
      </c>
      <c r="G138" s="12" t="n">
        <v>0.12</v>
      </c>
      <c r="H138" s="6" t="s">
        <v>733</v>
      </c>
      <c r="I138" s="6" t="s">
        <v>80</v>
      </c>
      <c r="J138" s="6" t="str">
        <f aca="false">IF(E138&lt;=15,"Very Easy",IF(E138&lt;=25,"Easy",IF(E138&lt;=40,"Medium","Hard")))</f>
        <v>Medium</v>
      </c>
      <c r="K138" s="6" t="s">
        <v>681</v>
      </c>
      <c r="L138" s="13" t="s">
        <v>674</v>
      </c>
      <c r="M138" s="6" t="s">
        <v>675</v>
      </c>
      <c r="N138" s="14" t="n">
        <f aca="false">ROUND(D138/MAX(E138,1),1)</f>
        <v>169.2</v>
      </c>
      <c r="O138" s="6" t="s">
        <v>682</v>
      </c>
    </row>
    <row r="139" customFormat="false" ht="15" hidden="false" customHeight="false" outlineLevel="0" collapsed="false">
      <c r="A139" s="6" t="n">
        <v>138</v>
      </c>
      <c r="B139" s="6" t="s">
        <v>837</v>
      </c>
      <c r="C139" s="6" t="s">
        <v>714</v>
      </c>
      <c r="D139" s="7" t="n">
        <v>1300</v>
      </c>
      <c r="E139" s="6" t="n">
        <v>8</v>
      </c>
      <c r="F139" s="12" t="n">
        <v>0.03</v>
      </c>
      <c r="G139" s="12" t="n">
        <v>0.38</v>
      </c>
      <c r="H139" s="6" t="s">
        <v>693</v>
      </c>
      <c r="I139" s="6" t="s">
        <v>80</v>
      </c>
      <c r="J139" s="6" t="str">
        <f aca="false">IF(E139&lt;=15,"Very Easy",IF(E139&lt;=25,"Easy",IF(E139&lt;=40,"Medium","Hard")))</f>
        <v>Very Easy</v>
      </c>
      <c r="K139" s="6" t="s">
        <v>694</v>
      </c>
      <c r="L139" s="13" t="s">
        <v>674</v>
      </c>
      <c r="M139" s="6" t="s">
        <v>675</v>
      </c>
      <c r="N139" s="14" t="n">
        <f aca="false">ROUND(D139/MAX(E139,1),1)</f>
        <v>162.5</v>
      </c>
      <c r="O139" s="6" t="s">
        <v>676</v>
      </c>
    </row>
    <row r="140" customFormat="false" ht="15" hidden="false" customHeight="false" outlineLevel="0" collapsed="false">
      <c r="A140" s="6" t="n">
        <v>139</v>
      </c>
      <c r="B140" s="6" t="s">
        <v>838</v>
      </c>
      <c r="C140" s="6" t="s">
        <v>231</v>
      </c>
      <c r="D140" s="7" t="n">
        <v>2900</v>
      </c>
      <c r="E140" s="6" t="n">
        <v>18</v>
      </c>
      <c r="F140" s="12" t="n">
        <v>0.06</v>
      </c>
      <c r="G140" s="12" t="n">
        <v>0.12</v>
      </c>
      <c r="H140" s="6" t="s">
        <v>678</v>
      </c>
      <c r="I140" s="6" t="s">
        <v>80</v>
      </c>
      <c r="J140" s="6" t="str">
        <f aca="false">IF(E140&lt;=15,"Very Easy",IF(E140&lt;=25,"Easy",IF(E140&lt;=40,"Medium","Hard")))</f>
        <v>Easy</v>
      </c>
      <c r="K140" s="6" t="s">
        <v>679</v>
      </c>
      <c r="L140" s="13" t="s">
        <v>674</v>
      </c>
      <c r="M140" s="6" t="s">
        <v>675</v>
      </c>
      <c r="N140" s="14" t="n">
        <f aca="false">ROUND(D140/MAX(E140,1),1)</f>
        <v>161.1</v>
      </c>
      <c r="O140" s="6" t="s">
        <v>682</v>
      </c>
    </row>
    <row r="141" customFormat="false" ht="15" hidden="false" customHeight="false" outlineLevel="0" collapsed="false">
      <c r="A141" s="6" t="n">
        <v>140</v>
      </c>
      <c r="B141" s="6" t="s">
        <v>839</v>
      </c>
      <c r="C141" s="6" t="s">
        <v>269</v>
      </c>
      <c r="D141" s="7" t="n">
        <v>2900</v>
      </c>
      <c r="E141" s="6" t="n">
        <v>18</v>
      </c>
      <c r="F141" s="12" t="n">
        <v>0.15</v>
      </c>
      <c r="G141" s="12" t="n">
        <v>0.03</v>
      </c>
      <c r="H141" s="6" t="s">
        <v>678</v>
      </c>
      <c r="I141" s="6" t="s">
        <v>80</v>
      </c>
      <c r="J141" s="6" t="str">
        <f aca="false">IF(E141&lt;=15,"Very Easy",IF(E141&lt;=25,"Easy",IF(E141&lt;=40,"Medium","Hard")))</f>
        <v>Easy</v>
      </c>
      <c r="K141" s="6" t="s">
        <v>681</v>
      </c>
      <c r="L141" s="13" t="s">
        <v>674</v>
      </c>
      <c r="M141" s="6" t="s">
        <v>675</v>
      </c>
      <c r="N141" s="14" t="n">
        <f aca="false">ROUND(D141/MAX(E141,1),1)</f>
        <v>161.1</v>
      </c>
      <c r="O141" s="6" t="s">
        <v>682</v>
      </c>
    </row>
    <row r="142" customFormat="false" ht="15" hidden="false" customHeight="false" outlineLevel="0" collapsed="false">
      <c r="A142" s="6" t="n">
        <v>141</v>
      </c>
      <c r="B142" s="6" t="s">
        <v>840</v>
      </c>
      <c r="C142" s="6" t="s">
        <v>114</v>
      </c>
      <c r="D142" s="7" t="n">
        <v>2900</v>
      </c>
      <c r="E142" s="6" t="n">
        <v>18</v>
      </c>
      <c r="F142" s="12" t="n">
        <v>0.01</v>
      </c>
      <c r="G142" s="12" t="n">
        <v>0.33</v>
      </c>
      <c r="H142" s="6" t="s">
        <v>690</v>
      </c>
      <c r="I142" s="6" t="s">
        <v>80</v>
      </c>
      <c r="J142" s="6" t="str">
        <f aca="false">IF(E142&lt;=15,"Very Easy",IF(E142&lt;=25,"Easy",IF(E142&lt;=40,"Medium","Hard")))</f>
        <v>Easy</v>
      </c>
      <c r="K142" s="6" t="s">
        <v>679</v>
      </c>
      <c r="L142" s="13" t="s">
        <v>674</v>
      </c>
      <c r="M142" s="6" t="s">
        <v>675</v>
      </c>
      <c r="N142" s="14" t="n">
        <f aca="false">ROUND(D142/MAX(E142,1),1)</f>
        <v>161.1</v>
      </c>
      <c r="O142" s="6" t="s">
        <v>682</v>
      </c>
    </row>
    <row r="143" customFormat="false" ht="15" hidden="false" customHeight="false" outlineLevel="0" collapsed="false">
      <c r="A143" s="6" t="n">
        <v>142</v>
      </c>
      <c r="B143" s="6" t="s">
        <v>841</v>
      </c>
      <c r="C143" s="6" t="s">
        <v>740</v>
      </c>
      <c r="D143" s="7" t="n">
        <v>1600</v>
      </c>
      <c r="E143" s="6" t="n">
        <v>10</v>
      </c>
      <c r="F143" s="12" t="n">
        <v>0.13</v>
      </c>
      <c r="G143" s="12" t="n">
        <v>0.28</v>
      </c>
      <c r="H143" s="6" t="s">
        <v>672</v>
      </c>
      <c r="I143" s="6" t="s">
        <v>80</v>
      </c>
      <c r="J143" s="6" t="str">
        <f aca="false">IF(E143&lt;=15,"Very Easy",IF(E143&lt;=25,"Easy",IF(E143&lt;=40,"Medium","Hard")))</f>
        <v>Very Easy</v>
      </c>
      <c r="K143" s="6" t="s">
        <v>673</v>
      </c>
      <c r="L143" s="13" t="s">
        <v>674</v>
      </c>
      <c r="M143" s="6" t="s">
        <v>675</v>
      </c>
      <c r="N143" s="14" t="n">
        <f aca="false">ROUND(D143/MAX(E143,1),1)</f>
        <v>160</v>
      </c>
      <c r="O143" s="6" t="s">
        <v>729</v>
      </c>
    </row>
    <row r="144" customFormat="false" ht="15" hidden="false" customHeight="false" outlineLevel="0" collapsed="false">
      <c r="A144" s="6" t="n">
        <v>143</v>
      </c>
      <c r="B144" s="6" t="s">
        <v>842</v>
      </c>
      <c r="C144" s="6" t="s">
        <v>231</v>
      </c>
      <c r="D144" s="7" t="n">
        <v>1600</v>
      </c>
      <c r="E144" s="6" t="n">
        <v>10</v>
      </c>
      <c r="F144" s="12" t="n">
        <v>0.05</v>
      </c>
      <c r="G144" s="12" t="n">
        <v>0.1</v>
      </c>
      <c r="H144" s="6" t="s">
        <v>693</v>
      </c>
      <c r="I144" s="6" t="s">
        <v>80</v>
      </c>
      <c r="J144" s="6" t="str">
        <f aca="false">IF(E144&lt;=15,"Very Easy",IF(E144&lt;=25,"Easy",IF(E144&lt;=40,"Medium","Hard")))</f>
        <v>Very Easy</v>
      </c>
      <c r="K144" s="6" t="s">
        <v>694</v>
      </c>
      <c r="L144" s="13" t="s">
        <v>674</v>
      </c>
      <c r="M144" s="6" t="s">
        <v>675</v>
      </c>
      <c r="N144" s="14" t="n">
        <f aca="false">ROUND(D144/MAX(E144,1),1)</f>
        <v>160</v>
      </c>
      <c r="O144" s="6" t="s">
        <v>676</v>
      </c>
    </row>
    <row r="145" customFormat="false" ht="15" hidden="false" customHeight="false" outlineLevel="0" collapsed="false">
      <c r="A145" s="6" t="n">
        <v>144</v>
      </c>
      <c r="B145" s="6" t="s">
        <v>843</v>
      </c>
      <c r="C145" s="6" t="s">
        <v>114</v>
      </c>
      <c r="D145" s="7" t="n">
        <v>2400</v>
      </c>
      <c r="E145" s="6" t="n">
        <v>15</v>
      </c>
      <c r="F145" s="12" t="n">
        <v>0.05</v>
      </c>
      <c r="G145" s="12" t="n">
        <v>0.08</v>
      </c>
      <c r="H145" s="6" t="s">
        <v>788</v>
      </c>
      <c r="I145" s="6" t="s">
        <v>80</v>
      </c>
      <c r="J145" s="6" t="str">
        <f aca="false">IF(E145&lt;=15,"Very Easy",IF(E145&lt;=25,"Easy",IF(E145&lt;=40,"Medium","Hard")))</f>
        <v>Very Easy</v>
      </c>
      <c r="K145" s="6" t="s">
        <v>679</v>
      </c>
      <c r="L145" s="13" t="s">
        <v>674</v>
      </c>
      <c r="M145" s="6" t="s">
        <v>675</v>
      </c>
      <c r="N145" s="14" t="n">
        <f aca="false">ROUND(D145/MAX(E145,1),1)</f>
        <v>160</v>
      </c>
      <c r="O145" s="6" t="s">
        <v>682</v>
      </c>
    </row>
    <row r="146" customFormat="false" ht="15" hidden="false" customHeight="false" outlineLevel="0" collapsed="false">
      <c r="A146" s="6" t="n">
        <v>145</v>
      </c>
      <c r="B146" s="6" t="s">
        <v>844</v>
      </c>
      <c r="C146" s="6" t="s">
        <v>740</v>
      </c>
      <c r="D146" s="7" t="n">
        <v>1900</v>
      </c>
      <c r="E146" s="6" t="n">
        <v>12</v>
      </c>
      <c r="F146" s="12" t="n">
        <v>0.17</v>
      </c>
      <c r="G146" s="12" t="n">
        <v>0.36</v>
      </c>
      <c r="H146" s="6" t="s">
        <v>678</v>
      </c>
      <c r="I146" s="6" t="s">
        <v>80</v>
      </c>
      <c r="J146" s="6" t="str">
        <f aca="false">IF(E146&lt;=15,"Very Easy",IF(E146&lt;=25,"Easy",IF(E146&lt;=40,"Medium","Hard")))</f>
        <v>Very Easy</v>
      </c>
      <c r="K146" s="6" t="s">
        <v>681</v>
      </c>
      <c r="L146" s="13" t="s">
        <v>674</v>
      </c>
      <c r="M146" s="6" t="s">
        <v>675</v>
      </c>
      <c r="N146" s="14" t="n">
        <f aca="false">ROUND(D146/MAX(E146,1),1)</f>
        <v>158.3</v>
      </c>
      <c r="O146" s="6" t="s">
        <v>682</v>
      </c>
    </row>
    <row r="147" customFormat="false" ht="15" hidden="false" customHeight="false" outlineLevel="0" collapsed="false">
      <c r="A147" s="6" t="n">
        <v>146</v>
      </c>
      <c r="B147" s="6" t="s">
        <v>845</v>
      </c>
      <c r="C147" s="6" t="s">
        <v>552</v>
      </c>
      <c r="D147" s="7" t="n">
        <v>2900</v>
      </c>
      <c r="E147" s="6" t="n">
        <v>19</v>
      </c>
      <c r="F147" s="12" t="n">
        <v>0.12</v>
      </c>
      <c r="G147" s="12" t="n">
        <v>0.25</v>
      </c>
      <c r="H147" s="6" t="s">
        <v>690</v>
      </c>
      <c r="I147" s="6" t="s">
        <v>80</v>
      </c>
      <c r="J147" s="6" t="str">
        <f aca="false">IF(E147&lt;=15,"Very Easy",IF(E147&lt;=25,"Easy",IF(E147&lt;=40,"Medium","Hard")))</f>
        <v>Easy</v>
      </c>
      <c r="K147" s="6" t="s">
        <v>681</v>
      </c>
      <c r="L147" s="13" t="s">
        <v>674</v>
      </c>
      <c r="M147" s="6" t="s">
        <v>675</v>
      </c>
      <c r="N147" s="14" t="n">
        <f aca="false">ROUND(D147/MAX(E147,1),1)</f>
        <v>152.6</v>
      </c>
      <c r="O147" s="6" t="s">
        <v>682</v>
      </c>
    </row>
    <row r="148" customFormat="false" ht="15" hidden="false" customHeight="false" outlineLevel="0" collapsed="false">
      <c r="A148" s="6" t="n">
        <v>147</v>
      </c>
      <c r="B148" s="6" t="s">
        <v>846</v>
      </c>
      <c r="C148" s="6" t="s">
        <v>231</v>
      </c>
      <c r="D148" s="7" t="n">
        <v>2400</v>
      </c>
      <c r="E148" s="6" t="n">
        <v>16</v>
      </c>
      <c r="F148" s="12" t="n">
        <v>0.12</v>
      </c>
      <c r="G148" s="12" t="n">
        <v>0.19</v>
      </c>
      <c r="H148" s="6" t="s">
        <v>733</v>
      </c>
      <c r="I148" s="6" t="s">
        <v>80</v>
      </c>
      <c r="J148" s="6" t="str">
        <f aca="false">IF(E148&lt;=15,"Very Easy",IF(E148&lt;=25,"Easy",IF(E148&lt;=40,"Medium","Hard")))</f>
        <v>Easy</v>
      </c>
      <c r="K148" s="6" t="s">
        <v>681</v>
      </c>
      <c r="L148" s="13" t="s">
        <v>674</v>
      </c>
      <c r="M148" s="6" t="s">
        <v>675</v>
      </c>
      <c r="N148" s="14" t="n">
        <f aca="false">ROUND(D148/MAX(E148,1),1)</f>
        <v>150</v>
      </c>
      <c r="O148" s="6" t="s">
        <v>682</v>
      </c>
    </row>
    <row r="149" customFormat="false" ht="15" hidden="false" customHeight="false" outlineLevel="0" collapsed="false">
      <c r="A149" s="6" t="n">
        <v>148</v>
      </c>
      <c r="B149" s="6" t="s">
        <v>847</v>
      </c>
      <c r="C149" s="6" t="s">
        <v>114</v>
      </c>
      <c r="D149" s="7" t="n">
        <v>880</v>
      </c>
      <c r="E149" s="6" t="n">
        <v>6</v>
      </c>
      <c r="F149" s="12" t="n">
        <v>0.02</v>
      </c>
      <c r="G149" s="12" t="n">
        <v>0.17</v>
      </c>
      <c r="H149" s="6" t="s">
        <v>690</v>
      </c>
      <c r="I149" s="6" t="s">
        <v>80</v>
      </c>
      <c r="J149" s="6" t="str">
        <f aca="false">IF(E149&lt;=15,"Very Easy",IF(E149&lt;=25,"Easy",IF(E149&lt;=40,"Medium","Hard")))</f>
        <v>Very Easy</v>
      </c>
      <c r="K149" s="6" t="s">
        <v>679</v>
      </c>
      <c r="L149" s="13" t="s">
        <v>674</v>
      </c>
      <c r="M149" s="6" t="s">
        <v>675</v>
      </c>
      <c r="N149" s="14" t="n">
        <f aca="false">ROUND(D149/MAX(E149,1),1)</f>
        <v>146.7</v>
      </c>
      <c r="O149" s="6" t="s">
        <v>682</v>
      </c>
    </row>
    <row r="150" customFormat="false" ht="15" hidden="false" customHeight="false" outlineLevel="0" collapsed="false">
      <c r="A150" s="6" t="n">
        <v>149</v>
      </c>
      <c r="B150" s="6" t="s">
        <v>848</v>
      </c>
      <c r="C150" s="6" t="s">
        <v>231</v>
      </c>
      <c r="D150" s="7" t="n">
        <v>1900</v>
      </c>
      <c r="E150" s="6" t="n">
        <v>13</v>
      </c>
      <c r="F150" s="12" t="n">
        <v>0.12</v>
      </c>
      <c r="G150" s="12" t="n">
        <v>0.04</v>
      </c>
      <c r="H150" s="6" t="s">
        <v>678</v>
      </c>
      <c r="I150" s="6" t="s">
        <v>80</v>
      </c>
      <c r="J150" s="6" t="str">
        <f aca="false">IF(E150&lt;=15,"Very Easy",IF(E150&lt;=25,"Easy",IF(E150&lt;=40,"Medium","Hard")))</f>
        <v>Very Easy</v>
      </c>
      <c r="K150" s="6" t="s">
        <v>681</v>
      </c>
      <c r="L150" s="13" t="s">
        <v>674</v>
      </c>
      <c r="M150" s="6" t="s">
        <v>675</v>
      </c>
      <c r="N150" s="14" t="n">
        <f aca="false">ROUND(D150/MAX(E150,1),1)</f>
        <v>146.2</v>
      </c>
      <c r="O150" s="6" t="s">
        <v>682</v>
      </c>
    </row>
    <row r="151" customFormat="false" ht="15" hidden="false" customHeight="false" outlineLevel="0" collapsed="false">
      <c r="A151" s="6" t="n">
        <v>150</v>
      </c>
      <c r="B151" s="6" t="s">
        <v>849</v>
      </c>
      <c r="C151" s="6" t="s">
        <v>269</v>
      </c>
      <c r="D151" s="7" t="n">
        <v>1900</v>
      </c>
      <c r="E151" s="6" t="n">
        <v>13</v>
      </c>
      <c r="F151" s="12" t="n">
        <v>0.14</v>
      </c>
      <c r="G151" s="12" t="n">
        <v>0.03</v>
      </c>
      <c r="H151" s="6" t="s">
        <v>678</v>
      </c>
      <c r="I151" s="6" t="s">
        <v>80</v>
      </c>
      <c r="J151" s="6" t="str">
        <f aca="false">IF(E151&lt;=15,"Very Easy",IF(E151&lt;=25,"Easy",IF(E151&lt;=40,"Medium","Hard")))</f>
        <v>Very Easy</v>
      </c>
      <c r="K151" s="6" t="s">
        <v>681</v>
      </c>
      <c r="L151" s="13" t="s">
        <v>674</v>
      </c>
      <c r="M151" s="6" t="s">
        <v>675</v>
      </c>
      <c r="N151" s="14" t="n">
        <f aca="false">ROUND(D151/MAX(E151,1),1)</f>
        <v>146.2</v>
      </c>
      <c r="O151" s="6" t="s">
        <v>682</v>
      </c>
    </row>
    <row r="152" customFormat="false" ht="15" hidden="false" customHeight="false" outlineLevel="0" collapsed="false">
      <c r="A152" s="6" t="n">
        <v>151</v>
      </c>
      <c r="B152" s="6" t="s">
        <v>850</v>
      </c>
      <c r="C152" s="6" t="s">
        <v>114</v>
      </c>
      <c r="D152" s="7" t="n">
        <v>1900</v>
      </c>
      <c r="E152" s="6" t="n">
        <v>13</v>
      </c>
      <c r="F152" s="12" t="n">
        <v>0.01</v>
      </c>
      <c r="G152" s="12" t="n">
        <v>0.31</v>
      </c>
      <c r="H152" s="6" t="s">
        <v>678</v>
      </c>
      <c r="I152" s="6" t="s">
        <v>80</v>
      </c>
      <c r="J152" s="6" t="str">
        <f aca="false">IF(E152&lt;=15,"Very Easy",IF(E152&lt;=25,"Easy",IF(E152&lt;=40,"Medium","Hard")))</f>
        <v>Very Easy</v>
      </c>
      <c r="K152" s="6" t="s">
        <v>679</v>
      </c>
      <c r="L152" s="13" t="s">
        <v>674</v>
      </c>
      <c r="M152" s="6" t="s">
        <v>675</v>
      </c>
      <c r="N152" s="14" t="n">
        <f aca="false">ROUND(D152/MAX(E152,1),1)</f>
        <v>146.2</v>
      </c>
      <c r="O152" s="6" t="s">
        <v>682</v>
      </c>
    </row>
    <row r="153" customFormat="false" ht="15" hidden="false" customHeight="false" outlineLevel="0" collapsed="false">
      <c r="A153" s="6" t="n">
        <v>152</v>
      </c>
      <c r="B153" s="6" t="s">
        <v>851</v>
      </c>
      <c r="C153" s="6" t="s">
        <v>134</v>
      </c>
      <c r="D153" s="7" t="n">
        <v>1600</v>
      </c>
      <c r="E153" s="6" t="n">
        <v>11</v>
      </c>
      <c r="F153" s="12" t="n">
        <v>0.08</v>
      </c>
      <c r="G153" s="12" t="n">
        <v>0.03</v>
      </c>
      <c r="H153" s="6" t="s">
        <v>693</v>
      </c>
      <c r="I153" s="6" t="s">
        <v>80</v>
      </c>
      <c r="J153" s="6" t="str">
        <f aca="false">IF(E153&lt;=15,"Very Easy",IF(E153&lt;=25,"Easy",IF(E153&lt;=40,"Medium","Hard")))</f>
        <v>Very Easy</v>
      </c>
      <c r="K153" s="6" t="s">
        <v>694</v>
      </c>
      <c r="L153" s="13" t="s">
        <v>674</v>
      </c>
      <c r="M153" s="6" t="s">
        <v>675</v>
      </c>
      <c r="N153" s="14" t="n">
        <f aca="false">ROUND(D153/MAX(E153,1),1)</f>
        <v>145.5</v>
      </c>
      <c r="O153" s="6" t="s">
        <v>676</v>
      </c>
    </row>
    <row r="154" customFormat="false" ht="15" hidden="false" customHeight="false" outlineLevel="0" collapsed="false">
      <c r="A154" s="6" t="n">
        <v>153</v>
      </c>
      <c r="B154" s="6" t="s">
        <v>852</v>
      </c>
      <c r="C154" s="6" t="s">
        <v>740</v>
      </c>
      <c r="D154" s="7" t="n">
        <v>1300</v>
      </c>
      <c r="E154" s="6" t="n">
        <v>9</v>
      </c>
      <c r="F154" s="12" t="n">
        <v>0.07</v>
      </c>
      <c r="G154" s="12" t="n">
        <v>0.23</v>
      </c>
      <c r="H154" s="6" t="s">
        <v>678</v>
      </c>
      <c r="I154" s="6" t="s">
        <v>80</v>
      </c>
      <c r="J154" s="6" t="str">
        <f aca="false">IF(E154&lt;=15,"Very Easy",IF(E154&lt;=25,"Easy",IF(E154&lt;=40,"Medium","Hard")))</f>
        <v>Very Easy</v>
      </c>
      <c r="K154" s="6" t="s">
        <v>679</v>
      </c>
      <c r="L154" s="13" t="s">
        <v>674</v>
      </c>
      <c r="M154" s="6" t="s">
        <v>675</v>
      </c>
      <c r="N154" s="14" t="n">
        <f aca="false">ROUND(D154/MAX(E154,1),1)</f>
        <v>144.4</v>
      </c>
      <c r="O154" s="6" t="s">
        <v>682</v>
      </c>
    </row>
    <row r="155" customFormat="false" ht="15" hidden="false" customHeight="false" outlineLevel="0" collapsed="false">
      <c r="A155" s="6" t="n">
        <v>154</v>
      </c>
      <c r="B155" s="6" t="s">
        <v>853</v>
      </c>
      <c r="C155" s="6" t="s">
        <v>231</v>
      </c>
      <c r="D155" s="7" t="n">
        <v>1300</v>
      </c>
      <c r="E155" s="6" t="n">
        <v>9</v>
      </c>
      <c r="F155" s="12" t="n">
        <v>0.11</v>
      </c>
      <c r="G155" s="12" t="n">
        <v>0.11</v>
      </c>
      <c r="H155" s="6" t="s">
        <v>678</v>
      </c>
      <c r="I155" s="6" t="s">
        <v>80</v>
      </c>
      <c r="J155" s="6" t="str">
        <f aca="false">IF(E155&lt;=15,"Very Easy",IF(E155&lt;=25,"Easy",IF(E155&lt;=40,"Medium","Hard")))</f>
        <v>Very Easy</v>
      </c>
      <c r="K155" s="6" t="s">
        <v>681</v>
      </c>
      <c r="L155" s="13" t="s">
        <v>674</v>
      </c>
      <c r="M155" s="6" t="s">
        <v>675</v>
      </c>
      <c r="N155" s="14" t="n">
        <f aca="false">ROUND(D155/MAX(E155,1),1)</f>
        <v>144.4</v>
      </c>
      <c r="O155" s="6" t="s">
        <v>682</v>
      </c>
    </row>
    <row r="156" customFormat="false" ht="15" hidden="false" customHeight="false" outlineLevel="0" collapsed="false">
      <c r="A156" s="6" t="n">
        <v>155</v>
      </c>
      <c r="B156" s="6" t="s">
        <v>854</v>
      </c>
      <c r="C156" s="6" t="s">
        <v>134</v>
      </c>
      <c r="D156" s="7" t="n">
        <v>1300</v>
      </c>
      <c r="E156" s="6" t="n">
        <v>9</v>
      </c>
      <c r="F156" s="12" t="n">
        <v>0.37</v>
      </c>
      <c r="G156" s="12" t="n">
        <v>0.01</v>
      </c>
      <c r="H156" s="6" t="s">
        <v>678</v>
      </c>
      <c r="I156" s="6" t="s">
        <v>80</v>
      </c>
      <c r="J156" s="6" t="str">
        <f aca="false">IF(E156&lt;=15,"Very Easy",IF(E156&lt;=25,"Easy",IF(E156&lt;=40,"Medium","Hard")))</f>
        <v>Very Easy</v>
      </c>
      <c r="K156" s="6" t="s">
        <v>681</v>
      </c>
      <c r="L156" s="13" t="s">
        <v>674</v>
      </c>
      <c r="M156" s="6" t="s">
        <v>675</v>
      </c>
      <c r="N156" s="14" t="n">
        <f aca="false">ROUND(D156/MAX(E156,1),1)</f>
        <v>144.4</v>
      </c>
      <c r="O156" s="6" t="s">
        <v>682</v>
      </c>
    </row>
    <row r="157" customFormat="false" ht="15" hidden="false" customHeight="false" outlineLevel="0" collapsed="false">
      <c r="A157" s="6" t="n">
        <v>156</v>
      </c>
      <c r="B157" s="6" t="s">
        <v>855</v>
      </c>
      <c r="C157" s="6" t="s">
        <v>685</v>
      </c>
      <c r="D157" s="7" t="n">
        <v>1300</v>
      </c>
      <c r="E157" s="6" t="n">
        <v>9</v>
      </c>
      <c r="F157" s="12" t="n">
        <v>0.06</v>
      </c>
      <c r="G157" s="12" t="n">
        <v>0.16</v>
      </c>
      <c r="H157" s="6" t="s">
        <v>678</v>
      </c>
      <c r="I157" s="6" t="s">
        <v>80</v>
      </c>
      <c r="J157" s="6" t="str">
        <f aca="false">IF(E157&lt;=15,"Very Easy",IF(E157&lt;=25,"Easy",IF(E157&lt;=40,"Medium","Hard")))</f>
        <v>Very Easy</v>
      </c>
      <c r="K157" s="6" t="s">
        <v>679</v>
      </c>
      <c r="L157" s="13" t="s">
        <v>674</v>
      </c>
      <c r="M157" s="6" t="s">
        <v>675</v>
      </c>
      <c r="N157" s="14" t="n">
        <f aca="false">ROUND(D157/MAX(E157,1),1)</f>
        <v>144.4</v>
      </c>
      <c r="O157" s="6" t="s">
        <v>682</v>
      </c>
    </row>
    <row r="158" customFormat="false" ht="15" hidden="false" customHeight="false" outlineLevel="0" collapsed="false">
      <c r="A158" s="6" t="n">
        <v>157</v>
      </c>
      <c r="B158" s="6" t="s">
        <v>856</v>
      </c>
      <c r="C158" s="6" t="s">
        <v>231</v>
      </c>
      <c r="D158" s="7" t="n">
        <v>3600</v>
      </c>
      <c r="E158" s="6" t="n">
        <v>25</v>
      </c>
      <c r="F158" s="12" t="n">
        <v>0.1</v>
      </c>
      <c r="G158" s="12" t="n">
        <v>0.16</v>
      </c>
      <c r="H158" s="6" t="s">
        <v>733</v>
      </c>
      <c r="I158" s="6" t="s">
        <v>80</v>
      </c>
      <c r="J158" s="6" t="str">
        <f aca="false">IF(E158&lt;=15,"Very Easy",IF(E158&lt;=25,"Easy",IF(E158&lt;=40,"Medium","Hard")))</f>
        <v>Easy</v>
      </c>
      <c r="K158" s="6" t="s">
        <v>681</v>
      </c>
      <c r="L158" s="13" t="s">
        <v>674</v>
      </c>
      <c r="M158" s="6" t="s">
        <v>675</v>
      </c>
      <c r="N158" s="14" t="n">
        <f aca="false">ROUND(D158/MAX(E158,1),1)</f>
        <v>144</v>
      </c>
      <c r="O158" s="6" t="s">
        <v>682</v>
      </c>
    </row>
    <row r="159" customFormat="false" ht="15" hidden="false" customHeight="false" outlineLevel="0" collapsed="false">
      <c r="A159" s="6" t="n">
        <v>158</v>
      </c>
      <c r="B159" s="6" t="s">
        <v>857</v>
      </c>
      <c r="C159" s="6" t="s">
        <v>247</v>
      </c>
      <c r="D159" s="7" t="n">
        <v>3600</v>
      </c>
      <c r="E159" s="6" t="n">
        <v>25</v>
      </c>
      <c r="F159" s="12" t="n">
        <v>0.03</v>
      </c>
      <c r="G159" s="12" t="n">
        <v>0.1</v>
      </c>
      <c r="H159" s="6" t="s">
        <v>678</v>
      </c>
      <c r="I159" s="6" t="s">
        <v>80</v>
      </c>
      <c r="J159" s="6" t="str">
        <f aca="false">IF(E159&lt;=15,"Very Easy",IF(E159&lt;=25,"Easy",IF(E159&lt;=40,"Medium","Hard")))</f>
        <v>Easy</v>
      </c>
      <c r="K159" s="6" t="s">
        <v>679</v>
      </c>
      <c r="L159" s="13" t="s">
        <v>674</v>
      </c>
      <c r="M159" s="6" t="s">
        <v>675</v>
      </c>
      <c r="N159" s="14" t="n">
        <f aca="false">ROUND(D159/MAX(E159,1),1)</f>
        <v>144</v>
      </c>
      <c r="O159" s="6" t="s">
        <v>682</v>
      </c>
    </row>
    <row r="160" customFormat="false" ht="15" hidden="false" customHeight="false" outlineLevel="0" collapsed="false">
      <c r="A160" s="6" t="n">
        <v>159</v>
      </c>
      <c r="B160" s="6" t="s">
        <v>858</v>
      </c>
      <c r="C160" s="6" t="s">
        <v>231</v>
      </c>
      <c r="D160" s="7" t="n">
        <v>1000</v>
      </c>
      <c r="E160" s="6" t="n">
        <v>7</v>
      </c>
      <c r="F160" s="12" t="n">
        <v>0.09</v>
      </c>
      <c r="G160" s="12" t="n">
        <v>0.02</v>
      </c>
      <c r="H160" s="6" t="s">
        <v>693</v>
      </c>
      <c r="I160" s="6" t="s">
        <v>80</v>
      </c>
      <c r="J160" s="6" t="str">
        <f aca="false">IF(E160&lt;=15,"Very Easy",IF(E160&lt;=25,"Easy",IF(E160&lt;=40,"Medium","Hard")))</f>
        <v>Very Easy</v>
      </c>
      <c r="K160" s="6" t="s">
        <v>694</v>
      </c>
      <c r="L160" s="13" t="s">
        <v>674</v>
      </c>
      <c r="M160" s="6" t="s">
        <v>675</v>
      </c>
      <c r="N160" s="14" t="n">
        <f aca="false">ROUND(D160/MAX(E160,1),1)</f>
        <v>142.9</v>
      </c>
      <c r="O160" s="6" t="s">
        <v>676</v>
      </c>
    </row>
    <row r="161" customFormat="false" ht="15" hidden="false" customHeight="false" outlineLevel="0" collapsed="false">
      <c r="A161" s="6" t="n">
        <v>160</v>
      </c>
      <c r="B161" s="6" t="s">
        <v>859</v>
      </c>
      <c r="C161" s="6" t="s">
        <v>714</v>
      </c>
      <c r="D161" s="7" t="n">
        <v>4400</v>
      </c>
      <c r="E161" s="6" t="n">
        <v>31</v>
      </c>
      <c r="F161" s="12" t="n">
        <v>0.05</v>
      </c>
      <c r="G161" s="12" t="n">
        <v>0.35</v>
      </c>
      <c r="H161" s="6" t="s">
        <v>678</v>
      </c>
      <c r="I161" s="6" t="s">
        <v>80</v>
      </c>
      <c r="J161" s="6" t="str">
        <f aca="false">IF(E161&lt;=15,"Very Easy",IF(E161&lt;=25,"Easy",IF(E161&lt;=40,"Medium","Hard")))</f>
        <v>Medium</v>
      </c>
      <c r="K161" s="6" t="s">
        <v>679</v>
      </c>
      <c r="L161" s="13" t="s">
        <v>674</v>
      </c>
      <c r="M161" s="6" t="s">
        <v>675</v>
      </c>
      <c r="N161" s="14" t="n">
        <f aca="false">ROUND(D161/MAX(E161,1),1)</f>
        <v>141.9</v>
      </c>
      <c r="O161" s="6" t="s">
        <v>682</v>
      </c>
    </row>
    <row r="162" customFormat="false" ht="15" hidden="false" customHeight="false" outlineLevel="0" collapsed="false">
      <c r="A162" s="6" t="n">
        <v>161</v>
      </c>
      <c r="B162" s="6" t="s">
        <v>860</v>
      </c>
      <c r="C162" s="6" t="s">
        <v>247</v>
      </c>
      <c r="D162" s="7" t="n">
        <v>4400</v>
      </c>
      <c r="E162" s="6" t="n">
        <v>31</v>
      </c>
      <c r="F162" s="12" t="n">
        <v>0.02</v>
      </c>
      <c r="G162" s="12" t="n">
        <v>0.21</v>
      </c>
      <c r="H162" s="6" t="s">
        <v>678</v>
      </c>
      <c r="I162" s="6" t="s">
        <v>80</v>
      </c>
      <c r="J162" s="6" t="str">
        <f aca="false">IF(E162&lt;=15,"Very Easy",IF(E162&lt;=25,"Easy",IF(E162&lt;=40,"Medium","Hard")))</f>
        <v>Medium</v>
      </c>
      <c r="K162" s="6" t="s">
        <v>679</v>
      </c>
      <c r="L162" s="13" t="s">
        <v>674</v>
      </c>
      <c r="M162" s="6" t="s">
        <v>675</v>
      </c>
      <c r="N162" s="14" t="n">
        <f aca="false">ROUND(D162/MAX(E162,1),1)</f>
        <v>141.9</v>
      </c>
      <c r="O162" s="6" t="s">
        <v>682</v>
      </c>
    </row>
    <row r="163" customFormat="false" ht="15" hidden="false" customHeight="false" outlineLevel="0" collapsed="false">
      <c r="A163" s="6" t="n">
        <v>162</v>
      </c>
      <c r="B163" s="6" t="s">
        <v>861</v>
      </c>
      <c r="C163" s="6" t="s">
        <v>231</v>
      </c>
      <c r="D163" s="7" t="n">
        <v>2400</v>
      </c>
      <c r="E163" s="6" t="n">
        <v>17</v>
      </c>
      <c r="F163" s="12" t="n">
        <v>0.05</v>
      </c>
      <c r="G163" s="12" t="n">
        <v>0.08</v>
      </c>
      <c r="H163" s="6" t="s">
        <v>690</v>
      </c>
      <c r="I163" s="6" t="s">
        <v>80</v>
      </c>
      <c r="J163" s="6" t="str">
        <f aca="false">IF(E163&lt;=15,"Very Easy",IF(E163&lt;=25,"Easy",IF(E163&lt;=40,"Medium","Hard")))</f>
        <v>Easy</v>
      </c>
      <c r="K163" s="6" t="s">
        <v>679</v>
      </c>
      <c r="L163" s="13" t="s">
        <v>674</v>
      </c>
      <c r="M163" s="6" t="s">
        <v>675</v>
      </c>
      <c r="N163" s="14" t="n">
        <f aca="false">ROUND(D163/MAX(E163,1),1)</f>
        <v>141.2</v>
      </c>
      <c r="O163" s="6" t="s">
        <v>682</v>
      </c>
    </row>
    <row r="164" customFormat="false" ht="15" hidden="false" customHeight="false" outlineLevel="0" collapsed="false">
      <c r="A164" s="6" t="n">
        <v>163</v>
      </c>
      <c r="B164" s="6" t="s">
        <v>862</v>
      </c>
      <c r="C164" s="6" t="s">
        <v>552</v>
      </c>
      <c r="D164" s="7" t="n">
        <v>3600</v>
      </c>
      <c r="E164" s="6" t="n">
        <v>26</v>
      </c>
      <c r="F164" s="12" t="n">
        <v>0.14</v>
      </c>
      <c r="G164" s="12" t="n">
        <v>0.09</v>
      </c>
      <c r="H164" s="6" t="s">
        <v>678</v>
      </c>
      <c r="I164" s="6" t="s">
        <v>80</v>
      </c>
      <c r="J164" s="6" t="str">
        <f aca="false">IF(E164&lt;=15,"Very Easy",IF(E164&lt;=25,"Easy",IF(E164&lt;=40,"Medium","Hard")))</f>
        <v>Medium</v>
      </c>
      <c r="K164" s="6" t="s">
        <v>681</v>
      </c>
      <c r="L164" s="13" t="s">
        <v>674</v>
      </c>
      <c r="M164" s="6" t="s">
        <v>675</v>
      </c>
      <c r="N164" s="14" t="n">
        <f aca="false">ROUND(D164/MAX(E164,1),1)</f>
        <v>138.5</v>
      </c>
      <c r="O164" s="6" t="s">
        <v>682</v>
      </c>
    </row>
    <row r="165" customFormat="false" ht="15" hidden="false" customHeight="false" outlineLevel="0" collapsed="false">
      <c r="A165" s="6" t="n">
        <v>164</v>
      </c>
      <c r="B165" s="6" t="s">
        <v>863</v>
      </c>
      <c r="C165" s="6" t="s">
        <v>52</v>
      </c>
      <c r="D165" s="7" t="n">
        <v>3600</v>
      </c>
      <c r="E165" s="6" t="n">
        <v>26</v>
      </c>
      <c r="F165" s="12" t="n">
        <v>0.08</v>
      </c>
      <c r="G165" s="12" t="n">
        <v>0.18</v>
      </c>
      <c r="H165" s="6" t="s">
        <v>727</v>
      </c>
      <c r="I165" s="6" t="s">
        <v>80</v>
      </c>
      <c r="J165" s="6" t="str">
        <f aca="false">IF(E165&lt;=15,"Very Easy",IF(E165&lt;=25,"Easy",IF(E165&lt;=40,"Medium","Hard")))</f>
        <v>Medium</v>
      </c>
      <c r="K165" s="6" t="s">
        <v>679</v>
      </c>
      <c r="L165" s="13" t="s">
        <v>674</v>
      </c>
      <c r="M165" s="6" t="s">
        <v>675</v>
      </c>
      <c r="N165" s="14" t="n">
        <f aca="false">ROUND(D165/MAX(E165,1),1)</f>
        <v>138.5</v>
      </c>
      <c r="O165" s="6" t="s">
        <v>745</v>
      </c>
    </row>
    <row r="166" customFormat="false" ht="15" hidden="false" customHeight="false" outlineLevel="0" collapsed="false">
      <c r="A166" s="6" t="n">
        <v>165</v>
      </c>
      <c r="B166" s="6" t="s">
        <v>864</v>
      </c>
      <c r="C166" s="6" t="s">
        <v>269</v>
      </c>
      <c r="D166" s="7" t="n">
        <v>2900</v>
      </c>
      <c r="E166" s="6" t="n">
        <v>21</v>
      </c>
      <c r="F166" s="12" t="n">
        <v>0.07</v>
      </c>
      <c r="G166" s="12" t="n">
        <v>0.13</v>
      </c>
      <c r="H166" s="6" t="s">
        <v>678</v>
      </c>
      <c r="I166" s="6" t="s">
        <v>80</v>
      </c>
      <c r="J166" s="6" t="str">
        <f aca="false">IF(E166&lt;=15,"Very Easy",IF(E166&lt;=25,"Easy",IF(E166&lt;=40,"Medium","Hard")))</f>
        <v>Easy</v>
      </c>
      <c r="K166" s="6" t="s">
        <v>679</v>
      </c>
      <c r="L166" s="13" t="s">
        <v>674</v>
      </c>
      <c r="M166" s="6" t="s">
        <v>675</v>
      </c>
      <c r="N166" s="14" t="n">
        <f aca="false">ROUND(D166/MAX(E166,1),1)</f>
        <v>138.1</v>
      </c>
      <c r="O166" s="6" t="s">
        <v>682</v>
      </c>
    </row>
    <row r="167" customFormat="false" ht="15" hidden="false" customHeight="false" outlineLevel="0" collapsed="false">
      <c r="A167" s="6" t="n">
        <v>166</v>
      </c>
      <c r="B167" s="6" t="s">
        <v>865</v>
      </c>
      <c r="C167" s="6" t="s">
        <v>866</v>
      </c>
      <c r="D167" s="7" t="n">
        <v>2400</v>
      </c>
      <c r="E167" s="6" t="n">
        <v>18</v>
      </c>
      <c r="F167" s="12" t="n">
        <v>0.1</v>
      </c>
      <c r="G167" s="12" t="n">
        <v>0.08</v>
      </c>
      <c r="H167" s="6" t="s">
        <v>733</v>
      </c>
      <c r="I167" s="6" t="s">
        <v>80</v>
      </c>
      <c r="J167" s="6" t="str">
        <f aca="false">IF(E167&lt;=15,"Very Easy",IF(E167&lt;=25,"Easy",IF(E167&lt;=40,"Medium","Hard")))</f>
        <v>Easy</v>
      </c>
      <c r="K167" s="6" t="s">
        <v>681</v>
      </c>
      <c r="L167" s="13" t="s">
        <v>674</v>
      </c>
      <c r="M167" s="6" t="s">
        <v>675</v>
      </c>
      <c r="N167" s="14" t="n">
        <f aca="false">ROUND(D167/MAX(E167,1),1)</f>
        <v>133.3</v>
      </c>
      <c r="O167" s="6" t="s">
        <v>682</v>
      </c>
    </row>
    <row r="168" customFormat="false" ht="15" hidden="false" customHeight="false" outlineLevel="0" collapsed="false">
      <c r="A168" s="6" t="n">
        <v>167</v>
      </c>
      <c r="B168" s="6" t="s">
        <v>867</v>
      </c>
      <c r="C168" s="6" t="s">
        <v>685</v>
      </c>
      <c r="D168" s="7" t="n">
        <v>4400</v>
      </c>
      <c r="E168" s="6" t="n">
        <v>33</v>
      </c>
      <c r="F168" s="12" t="n">
        <v>0.21</v>
      </c>
      <c r="G168" s="12" t="n">
        <v>0.02</v>
      </c>
      <c r="H168" s="6" t="s">
        <v>686</v>
      </c>
      <c r="I168" s="6" t="s">
        <v>80</v>
      </c>
      <c r="J168" s="6" t="str">
        <f aca="false">IF(E168&lt;=15,"Very Easy",IF(E168&lt;=25,"Easy",IF(E168&lt;=40,"Medium","Hard")))</f>
        <v>Medium</v>
      </c>
      <c r="K168" s="6" t="s">
        <v>687</v>
      </c>
      <c r="L168" s="13" t="s">
        <v>674</v>
      </c>
      <c r="M168" s="6" t="s">
        <v>675</v>
      </c>
      <c r="N168" s="14" t="n">
        <f aca="false">ROUND(D168/MAX(E168,1),1)</f>
        <v>133.3</v>
      </c>
      <c r="O168" s="6" t="s">
        <v>688</v>
      </c>
    </row>
    <row r="169" customFormat="false" ht="15" hidden="false" customHeight="false" outlineLevel="0" collapsed="false">
      <c r="A169" s="6" t="n">
        <v>168</v>
      </c>
      <c r="B169" s="6" t="s">
        <v>868</v>
      </c>
      <c r="C169" s="6" t="s">
        <v>114</v>
      </c>
      <c r="D169" s="7" t="n">
        <v>1600</v>
      </c>
      <c r="E169" s="6" t="n">
        <v>12</v>
      </c>
      <c r="F169" s="12" t="n">
        <v>0.03</v>
      </c>
      <c r="G169" s="12" t="n">
        <v>0.18</v>
      </c>
      <c r="H169" s="6" t="s">
        <v>690</v>
      </c>
      <c r="I169" s="6" t="s">
        <v>80</v>
      </c>
      <c r="J169" s="6" t="str">
        <f aca="false">IF(E169&lt;=15,"Very Easy",IF(E169&lt;=25,"Easy",IF(E169&lt;=40,"Medium","Hard")))</f>
        <v>Very Easy</v>
      </c>
      <c r="K169" s="6" t="s">
        <v>679</v>
      </c>
      <c r="L169" s="13" t="s">
        <v>674</v>
      </c>
      <c r="M169" s="6" t="s">
        <v>675</v>
      </c>
      <c r="N169" s="14" t="n">
        <f aca="false">ROUND(D169/MAX(E169,1),1)</f>
        <v>133.3</v>
      </c>
      <c r="O169" s="6" t="s">
        <v>682</v>
      </c>
    </row>
    <row r="170" customFormat="false" ht="15" hidden="false" customHeight="false" outlineLevel="0" collapsed="false">
      <c r="A170" s="6" t="n">
        <v>169</v>
      </c>
      <c r="B170" s="6" t="s">
        <v>869</v>
      </c>
      <c r="C170" s="6" t="s">
        <v>714</v>
      </c>
      <c r="D170" s="7" t="n">
        <v>1300</v>
      </c>
      <c r="E170" s="6" t="n">
        <v>10</v>
      </c>
      <c r="F170" s="12" t="n">
        <v>0.03</v>
      </c>
      <c r="G170" s="12" t="n">
        <v>0.12</v>
      </c>
      <c r="H170" s="6" t="s">
        <v>678</v>
      </c>
      <c r="I170" s="6" t="s">
        <v>80</v>
      </c>
      <c r="J170" s="6" t="str">
        <f aca="false">IF(E170&lt;=15,"Very Easy",IF(E170&lt;=25,"Easy",IF(E170&lt;=40,"Medium","Hard")))</f>
        <v>Very Easy</v>
      </c>
      <c r="K170" s="6" t="s">
        <v>679</v>
      </c>
      <c r="L170" s="13" t="s">
        <v>674</v>
      </c>
      <c r="M170" s="6" t="s">
        <v>675</v>
      </c>
      <c r="N170" s="14" t="n">
        <f aca="false">ROUND(D170/MAX(E170,1),1)</f>
        <v>130</v>
      </c>
      <c r="O170" s="6" t="s">
        <v>676</v>
      </c>
    </row>
    <row r="171" customFormat="false" ht="15" hidden="false" customHeight="false" outlineLevel="0" collapsed="false">
      <c r="A171" s="6" t="n">
        <v>170</v>
      </c>
      <c r="B171" s="6" t="s">
        <v>870</v>
      </c>
      <c r="C171" s="6" t="s">
        <v>740</v>
      </c>
      <c r="D171" s="7" t="n">
        <v>1300</v>
      </c>
      <c r="E171" s="6" t="n">
        <v>10</v>
      </c>
      <c r="F171" s="12" t="n">
        <v>0.11</v>
      </c>
      <c r="G171" s="12" t="n">
        <v>0.16</v>
      </c>
      <c r="H171" s="6" t="s">
        <v>672</v>
      </c>
      <c r="I171" s="6" t="s">
        <v>80</v>
      </c>
      <c r="J171" s="6" t="str">
        <f aca="false">IF(E171&lt;=15,"Very Easy",IF(E171&lt;=25,"Easy",IF(E171&lt;=40,"Medium","Hard")))</f>
        <v>Very Easy</v>
      </c>
      <c r="K171" s="6" t="s">
        <v>673</v>
      </c>
      <c r="L171" s="13" t="s">
        <v>674</v>
      </c>
      <c r="M171" s="6" t="s">
        <v>675</v>
      </c>
      <c r="N171" s="14" t="n">
        <f aca="false">ROUND(D171/MAX(E171,1),1)</f>
        <v>130</v>
      </c>
      <c r="O171" s="6" t="s">
        <v>676</v>
      </c>
    </row>
    <row r="172" customFormat="false" ht="15" hidden="false" customHeight="false" outlineLevel="0" collapsed="false">
      <c r="A172" s="6" t="n">
        <v>171</v>
      </c>
      <c r="B172" s="6" t="s">
        <v>871</v>
      </c>
      <c r="C172" s="6" t="s">
        <v>231</v>
      </c>
      <c r="D172" s="7" t="n">
        <v>1300</v>
      </c>
      <c r="E172" s="6" t="n">
        <v>10</v>
      </c>
      <c r="F172" s="12" t="n">
        <v>0.04</v>
      </c>
      <c r="G172" s="12" t="n">
        <v>0.15</v>
      </c>
      <c r="H172" s="6" t="s">
        <v>672</v>
      </c>
      <c r="I172" s="6" t="s">
        <v>80</v>
      </c>
      <c r="J172" s="6" t="str">
        <f aca="false">IF(E172&lt;=15,"Very Easy",IF(E172&lt;=25,"Easy",IF(E172&lt;=40,"Medium","Hard")))</f>
        <v>Very Easy</v>
      </c>
      <c r="K172" s="6" t="s">
        <v>673</v>
      </c>
      <c r="L172" s="13" t="s">
        <v>674</v>
      </c>
      <c r="M172" s="6" t="s">
        <v>675</v>
      </c>
      <c r="N172" s="14" t="n">
        <f aca="false">ROUND(D172/MAX(E172,1),1)</f>
        <v>130</v>
      </c>
      <c r="O172" s="6" t="s">
        <v>676</v>
      </c>
    </row>
    <row r="173" customFormat="false" ht="15" hidden="false" customHeight="false" outlineLevel="0" collapsed="false">
      <c r="A173" s="6" t="n">
        <v>172</v>
      </c>
      <c r="B173" s="6" t="s">
        <v>872</v>
      </c>
      <c r="C173" s="6" t="s">
        <v>685</v>
      </c>
      <c r="D173" s="7" t="n">
        <v>1900</v>
      </c>
      <c r="E173" s="6" t="n">
        <v>15</v>
      </c>
      <c r="F173" s="12" t="n">
        <v>0.05</v>
      </c>
      <c r="G173" s="12" t="n">
        <v>0.04</v>
      </c>
      <c r="H173" s="6" t="s">
        <v>678</v>
      </c>
      <c r="I173" s="6" t="s">
        <v>80</v>
      </c>
      <c r="J173" s="6" t="str">
        <f aca="false">IF(E173&lt;=15,"Very Easy",IF(E173&lt;=25,"Easy",IF(E173&lt;=40,"Medium","Hard")))</f>
        <v>Very Easy</v>
      </c>
      <c r="K173" s="6" t="s">
        <v>679</v>
      </c>
      <c r="L173" s="13" t="s">
        <v>674</v>
      </c>
      <c r="M173" s="6" t="s">
        <v>675</v>
      </c>
      <c r="N173" s="14" t="n">
        <f aca="false">ROUND(D173/MAX(E173,1),1)</f>
        <v>126.7</v>
      </c>
      <c r="O173" s="6" t="s">
        <v>682</v>
      </c>
    </row>
    <row r="174" customFormat="false" ht="15" hidden="false" customHeight="false" outlineLevel="0" collapsed="false">
      <c r="A174" s="6" t="n">
        <v>173</v>
      </c>
      <c r="B174" s="6" t="s">
        <v>873</v>
      </c>
      <c r="C174" s="6" t="s">
        <v>231</v>
      </c>
      <c r="D174" s="7" t="n">
        <v>2400</v>
      </c>
      <c r="E174" s="6" t="n">
        <v>19</v>
      </c>
      <c r="F174" s="12" t="n">
        <v>0.07</v>
      </c>
      <c r="G174" s="12" t="n">
        <v>0.3</v>
      </c>
      <c r="H174" s="6" t="s">
        <v>678</v>
      </c>
      <c r="I174" s="6" t="s">
        <v>80</v>
      </c>
      <c r="J174" s="6" t="str">
        <f aca="false">IF(E174&lt;=15,"Very Easy",IF(E174&lt;=25,"Easy",IF(E174&lt;=40,"Medium","Hard")))</f>
        <v>Easy</v>
      </c>
      <c r="K174" s="6" t="s">
        <v>679</v>
      </c>
      <c r="L174" s="13" t="s">
        <v>674</v>
      </c>
      <c r="M174" s="6" t="s">
        <v>675</v>
      </c>
      <c r="N174" s="14" t="n">
        <f aca="false">ROUND(D174/MAX(E174,1),1)</f>
        <v>126.3</v>
      </c>
      <c r="O174" s="6" t="s">
        <v>682</v>
      </c>
    </row>
    <row r="175" customFormat="false" ht="15" hidden="false" customHeight="false" outlineLevel="0" collapsed="false">
      <c r="A175" s="6" t="n">
        <v>174</v>
      </c>
      <c r="B175" s="6" t="s">
        <v>874</v>
      </c>
      <c r="C175" s="6" t="s">
        <v>231</v>
      </c>
      <c r="D175" s="7" t="n">
        <v>2400</v>
      </c>
      <c r="E175" s="6" t="n">
        <v>19</v>
      </c>
      <c r="F175" s="12" t="n">
        <v>0.13</v>
      </c>
      <c r="G175" s="12" t="n">
        <v>0.22</v>
      </c>
      <c r="H175" s="6" t="s">
        <v>678</v>
      </c>
      <c r="I175" s="6" t="s">
        <v>80</v>
      </c>
      <c r="J175" s="6" t="str">
        <f aca="false">IF(E175&lt;=15,"Very Easy",IF(E175&lt;=25,"Easy",IF(E175&lt;=40,"Medium","Hard")))</f>
        <v>Easy</v>
      </c>
      <c r="K175" s="6" t="s">
        <v>681</v>
      </c>
      <c r="L175" s="13" t="s">
        <v>674</v>
      </c>
      <c r="M175" s="6" t="s">
        <v>675</v>
      </c>
      <c r="N175" s="14" t="n">
        <f aca="false">ROUND(D175/MAX(E175,1),1)</f>
        <v>126.3</v>
      </c>
      <c r="O175" s="6" t="s">
        <v>682</v>
      </c>
    </row>
    <row r="176" customFormat="false" ht="15" hidden="false" customHeight="false" outlineLevel="0" collapsed="false">
      <c r="A176" s="6" t="n">
        <v>175</v>
      </c>
      <c r="B176" s="6" t="s">
        <v>875</v>
      </c>
      <c r="C176" s="6" t="s">
        <v>231</v>
      </c>
      <c r="D176" s="7" t="n">
        <v>880</v>
      </c>
      <c r="E176" s="6" t="n">
        <v>7</v>
      </c>
      <c r="F176" s="12" t="n">
        <v>0.1</v>
      </c>
      <c r="G176" s="12" t="n">
        <v>0.19</v>
      </c>
      <c r="H176" s="6" t="s">
        <v>733</v>
      </c>
      <c r="I176" s="6" t="s">
        <v>80</v>
      </c>
      <c r="J176" s="6" t="str">
        <f aca="false">IF(E176&lt;=15,"Very Easy",IF(E176&lt;=25,"Easy",IF(E176&lt;=40,"Medium","Hard")))</f>
        <v>Very Easy</v>
      </c>
      <c r="K176" s="6" t="s">
        <v>681</v>
      </c>
      <c r="L176" s="13" t="s">
        <v>674</v>
      </c>
      <c r="M176" s="6" t="s">
        <v>675</v>
      </c>
      <c r="N176" s="14" t="n">
        <f aca="false">ROUND(D176/MAX(E176,1),1)</f>
        <v>125.7</v>
      </c>
      <c r="O176" s="6" t="s">
        <v>682</v>
      </c>
    </row>
    <row r="177" customFormat="false" ht="15" hidden="false" customHeight="false" outlineLevel="0" collapsed="false">
      <c r="A177" s="6" t="n">
        <v>176</v>
      </c>
      <c r="B177" s="6" t="s">
        <v>876</v>
      </c>
      <c r="C177" s="6" t="s">
        <v>269</v>
      </c>
      <c r="D177" s="7" t="n">
        <v>880</v>
      </c>
      <c r="E177" s="6" t="n">
        <v>7</v>
      </c>
      <c r="F177" s="12" t="n">
        <v>0.16</v>
      </c>
      <c r="G177" s="12" t="n">
        <v>0.03</v>
      </c>
      <c r="H177" s="6" t="s">
        <v>693</v>
      </c>
      <c r="I177" s="6" t="s">
        <v>80</v>
      </c>
      <c r="J177" s="6" t="str">
        <f aca="false">IF(E177&lt;=15,"Very Easy",IF(E177&lt;=25,"Easy",IF(E177&lt;=40,"Medium","Hard")))</f>
        <v>Very Easy</v>
      </c>
      <c r="K177" s="6" t="s">
        <v>694</v>
      </c>
      <c r="L177" s="13" t="s">
        <v>674</v>
      </c>
      <c r="M177" s="6" t="s">
        <v>675</v>
      </c>
      <c r="N177" s="14" t="n">
        <f aca="false">ROUND(D177/MAX(E177,1),1)</f>
        <v>125.7</v>
      </c>
      <c r="O177" s="6" t="s">
        <v>676</v>
      </c>
    </row>
    <row r="178" customFormat="false" ht="15" hidden="false" customHeight="false" outlineLevel="0" collapsed="false">
      <c r="A178" s="6" t="n">
        <v>177</v>
      </c>
      <c r="B178" s="6" t="s">
        <v>877</v>
      </c>
      <c r="C178" s="6" t="s">
        <v>134</v>
      </c>
      <c r="D178" s="7" t="n">
        <v>1000</v>
      </c>
      <c r="E178" s="6" t="n">
        <v>8</v>
      </c>
      <c r="F178" s="12" t="n">
        <v>0.32</v>
      </c>
      <c r="G178" s="12" t="n">
        <v>0.02</v>
      </c>
      <c r="H178" s="6" t="s">
        <v>678</v>
      </c>
      <c r="I178" s="6" t="s">
        <v>80</v>
      </c>
      <c r="J178" s="6" t="str">
        <f aca="false">IF(E178&lt;=15,"Very Easy",IF(E178&lt;=25,"Easy",IF(E178&lt;=40,"Medium","Hard")))</f>
        <v>Very Easy</v>
      </c>
      <c r="K178" s="6" t="s">
        <v>681</v>
      </c>
      <c r="L178" s="13" t="s">
        <v>674</v>
      </c>
      <c r="M178" s="6" t="s">
        <v>675</v>
      </c>
      <c r="N178" s="14" t="n">
        <f aca="false">ROUND(D178/MAX(E178,1),1)</f>
        <v>125</v>
      </c>
      <c r="O178" s="6" t="s">
        <v>682</v>
      </c>
    </row>
    <row r="179" customFormat="false" ht="15" hidden="false" customHeight="false" outlineLevel="0" collapsed="false">
      <c r="A179" s="6" t="n">
        <v>178</v>
      </c>
      <c r="B179" s="6" t="s">
        <v>878</v>
      </c>
      <c r="C179" s="6" t="s">
        <v>269</v>
      </c>
      <c r="D179" s="7" t="n">
        <v>1600</v>
      </c>
      <c r="E179" s="6" t="n">
        <v>13</v>
      </c>
      <c r="F179" s="12" t="n">
        <v>0.02</v>
      </c>
      <c r="G179" s="12" t="n">
        <v>0.03</v>
      </c>
      <c r="H179" s="6" t="s">
        <v>672</v>
      </c>
      <c r="I179" s="6" t="s">
        <v>80</v>
      </c>
      <c r="J179" s="6" t="str">
        <f aca="false">IF(E179&lt;=15,"Very Easy",IF(E179&lt;=25,"Easy",IF(E179&lt;=40,"Medium","Hard")))</f>
        <v>Very Easy</v>
      </c>
      <c r="K179" s="6" t="s">
        <v>673</v>
      </c>
      <c r="L179" s="13" t="s">
        <v>674</v>
      </c>
      <c r="M179" s="6" t="s">
        <v>675</v>
      </c>
      <c r="N179" s="14" t="n">
        <f aca="false">ROUND(D179/MAX(E179,1),1)</f>
        <v>123.1</v>
      </c>
      <c r="O179" s="6" t="s">
        <v>676</v>
      </c>
    </row>
    <row r="180" customFormat="false" ht="15" hidden="false" customHeight="false" outlineLevel="0" collapsed="false">
      <c r="A180" s="6" t="n">
        <v>179</v>
      </c>
      <c r="B180" s="6" t="s">
        <v>879</v>
      </c>
      <c r="C180" s="6" t="s">
        <v>231</v>
      </c>
      <c r="D180" s="7" t="n">
        <v>2400</v>
      </c>
      <c r="E180" s="6" t="n">
        <v>20</v>
      </c>
      <c r="F180" s="12" t="n">
        <v>0.05</v>
      </c>
      <c r="G180" s="12" t="n">
        <v>0.24</v>
      </c>
      <c r="H180" s="6" t="s">
        <v>686</v>
      </c>
      <c r="I180" s="6" t="s">
        <v>80</v>
      </c>
      <c r="J180" s="6" t="str">
        <f aca="false">IF(E180&lt;=15,"Very Easy",IF(E180&lt;=25,"Easy",IF(E180&lt;=40,"Medium","Hard")))</f>
        <v>Easy</v>
      </c>
      <c r="K180" s="6" t="s">
        <v>687</v>
      </c>
      <c r="L180" s="13" t="s">
        <v>674</v>
      </c>
      <c r="M180" s="6" t="s">
        <v>675</v>
      </c>
      <c r="N180" s="14" t="n">
        <f aca="false">ROUND(D180/MAX(E180,1),1)</f>
        <v>120</v>
      </c>
      <c r="O180" s="6" t="s">
        <v>688</v>
      </c>
    </row>
    <row r="181" customFormat="false" ht="15" hidden="false" customHeight="false" outlineLevel="0" collapsed="false">
      <c r="A181" s="6" t="n">
        <v>180</v>
      </c>
      <c r="B181" s="6" t="s">
        <v>880</v>
      </c>
      <c r="C181" s="6" t="s">
        <v>231</v>
      </c>
      <c r="D181" s="7" t="n">
        <v>720</v>
      </c>
      <c r="E181" s="6" t="n">
        <v>6</v>
      </c>
      <c r="F181" s="12" t="n">
        <v>0.05</v>
      </c>
      <c r="G181" s="12" t="n">
        <v>0.03</v>
      </c>
      <c r="H181" s="6" t="s">
        <v>693</v>
      </c>
      <c r="I181" s="6" t="s">
        <v>80</v>
      </c>
      <c r="J181" s="6" t="str">
        <f aca="false">IF(E181&lt;=15,"Very Easy",IF(E181&lt;=25,"Easy",IF(E181&lt;=40,"Medium","Hard")))</f>
        <v>Very Easy</v>
      </c>
      <c r="K181" s="6" t="s">
        <v>694</v>
      </c>
      <c r="L181" s="13" t="s">
        <v>674</v>
      </c>
      <c r="M181" s="6" t="s">
        <v>675</v>
      </c>
      <c r="N181" s="14" t="n">
        <f aca="false">ROUND(D181/MAX(E181,1),1)</f>
        <v>120</v>
      </c>
      <c r="O181" s="6" t="s">
        <v>676</v>
      </c>
    </row>
    <row r="182" customFormat="false" ht="15" hidden="false" customHeight="false" outlineLevel="0" collapsed="false">
      <c r="A182" s="6" t="n">
        <v>181</v>
      </c>
      <c r="B182" s="6" t="s">
        <v>881</v>
      </c>
      <c r="C182" s="6" t="s">
        <v>134</v>
      </c>
      <c r="D182" s="7" t="n">
        <v>720</v>
      </c>
      <c r="E182" s="6" t="n">
        <v>6</v>
      </c>
      <c r="F182" s="12" t="n">
        <v>0.07</v>
      </c>
      <c r="G182" s="12" t="n">
        <v>0.19</v>
      </c>
      <c r="H182" s="6" t="s">
        <v>678</v>
      </c>
      <c r="I182" s="6" t="s">
        <v>80</v>
      </c>
      <c r="J182" s="6" t="str">
        <f aca="false">IF(E182&lt;=15,"Very Easy",IF(E182&lt;=25,"Easy",IF(E182&lt;=40,"Medium","Hard")))</f>
        <v>Very Easy</v>
      </c>
      <c r="K182" s="6" t="s">
        <v>679</v>
      </c>
      <c r="L182" s="13" t="s">
        <v>674</v>
      </c>
      <c r="M182" s="6" t="s">
        <v>675</v>
      </c>
      <c r="N182" s="14" t="n">
        <f aca="false">ROUND(D182/MAX(E182,1),1)</f>
        <v>120</v>
      </c>
      <c r="O182" s="6" t="s">
        <v>682</v>
      </c>
    </row>
    <row r="183" customFormat="false" ht="15" hidden="false" customHeight="false" outlineLevel="0" collapsed="false">
      <c r="A183" s="6" t="n">
        <v>182</v>
      </c>
      <c r="B183" s="6" t="s">
        <v>882</v>
      </c>
      <c r="C183" s="6" t="s">
        <v>685</v>
      </c>
      <c r="D183" s="7" t="n">
        <v>3600</v>
      </c>
      <c r="E183" s="6" t="n">
        <v>30</v>
      </c>
      <c r="F183" s="12" t="n">
        <v>0.03</v>
      </c>
      <c r="G183" s="12" t="n">
        <v>0.22</v>
      </c>
      <c r="H183" s="6" t="s">
        <v>678</v>
      </c>
      <c r="I183" s="6" t="s">
        <v>80</v>
      </c>
      <c r="J183" s="6" t="str">
        <f aca="false">IF(E183&lt;=15,"Very Easy",IF(E183&lt;=25,"Easy",IF(E183&lt;=40,"Medium","Hard")))</f>
        <v>Medium</v>
      </c>
      <c r="K183" s="6" t="s">
        <v>679</v>
      </c>
      <c r="L183" s="13" t="s">
        <v>674</v>
      </c>
      <c r="M183" s="6" t="s">
        <v>675</v>
      </c>
      <c r="N183" s="14" t="n">
        <f aca="false">ROUND(D183/MAX(E183,1),1)</f>
        <v>120</v>
      </c>
      <c r="O183" s="6" t="s">
        <v>682</v>
      </c>
    </row>
    <row r="184" customFormat="false" ht="15" hidden="false" customHeight="false" outlineLevel="0" collapsed="false">
      <c r="A184" s="6" t="n">
        <v>183</v>
      </c>
      <c r="B184" s="6" t="s">
        <v>883</v>
      </c>
      <c r="C184" s="6" t="s">
        <v>269</v>
      </c>
      <c r="D184" s="7" t="n">
        <v>1300</v>
      </c>
      <c r="E184" s="6" t="n">
        <v>11</v>
      </c>
      <c r="F184" s="12" t="n">
        <v>0.04</v>
      </c>
      <c r="G184" s="12" t="n">
        <v>0.19</v>
      </c>
      <c r="H184" s="6" t="s">
        <v>693</v>
      </c>
      <c r="I184" s="6" t="s">
        <v>80</v>
      </c>
      <c r="J184" s="6" t="str">
        <f aca="false">IF(E184&lt;=15,"Very Easy",IF(E184&lt;=25,"Easy",IF(E184&lt;=40,"Medium","Hard")))</f>
        <v>Very Easy</v>
      </c>
      <c r="K184" s="6" t="s">
        <v>694</v>
      </c>
      <c r="L184" s="13" t="s">
        <v>674</v>
      </c>
      <c r="M184" s="6" t="s">
        <v>675</v>
      </c>
      <c r="N184" s="14" t="n">
        <f aca="false">ROUND(D184/MAX(E184,1),1)</f>
        <v>118.2</v>
      </c>
      <c r="O184" s="6" t="s">
        <v>676</v>
      </c>
    </row>
    <row r="185" customFormat="false" ht="15" hidden="false" customHeight="false" outlineLevel="0" collapsed="false">
      <c r="A185" s="6" t="n">
        <v>184</v>
      </c>
      <c r="B185" s="6" t="s">
        <v>884</v>
      </c>
      <c r="C185" s="6" t="s">
        <v>114</v>
      </c>
      <c r="D185" s="7" t="n">
        <v>1300</v>
      </c>
      <c r="E185" s="6" t="n">
        <v>11</v>
      </c>
      <c r="F185" s="12" t="n">
        <v>0.03</v>
      </c>
      <c r="G185" s="12" t="n">
        <v>0.11</v>
      </c>
      <c r="H185" s="6" t="s">
        <v>693</v>
      </c>
      <c r="I185" s="6" t="s">
        <v>80</v>
      </c>
      <c r="J185" s="6" t="str">
        <f aca="false">IF(E185&lt;=15,"Very Easy",IF(E185&lt;=25,"Easy",IF(E185&lt;=40,"Medium","Hard")))</f>
        <v>Very Easy</v>
      </c>
      <c r="K185" s="6" t="s">
        <v>694</v>
      </c>
      <c r="L185" s="13" t="s">
        <v>674</v>
      </c>
      <c r="M185" s="6" t="s">
        <v>675</v>
      </c>
      <c r="N185" s="14" t="n">
        <f aca="false">ROUND(D185/MAX(E185,1),1)</f>
        <v>118.2</v>
      </c>
      <c r="O185" s="6" t="s">
        <v>676</v>
      </c>
    </row>
    <row r="186" customFormat="false" ht="15" hidden="false" customHeight="false" outlineLevel="0" collapsed="false">
      <c r="A186" s="6" t="n">
        <v>185</v>
      </c>
      <c r="B186" s="6" t="s">
        <v>885</v>
      </c>
      <c r="C186" s="6" t="s">
        <v>579</v>
      </c>
      <c r="D186" s="7" t="n">
        <v>590</v>
      </c>
      <c r="E186" s="6" t="n">
        <v>5</v>
      </c>
      <c r="F186" s="12" t="n">
        <v>0.24</v>
      </c>
      <c r="G186" s="12" t="n">
        <v>0.27</v>
      </c>
      <c r="H186" s="6" t="s">
        <v>788</v>
      </c>
      <c r="I186" s="6" t="s">
        <v>80</v>
      </c>
      <c r="J186" s="6" t="str">
        <f aca="false">IF(E186&lt;=15,"Very Easy",IF(E186&lt;=25,"Easy",IF(E186&lt;=40,"Medium","Hard")))</f>
        <v>Very Easy</v>
      </c>
      <c r="K186" s="6" t="s">
        <v>681</v>
      </c>
      <c r="L186" s="13" t="s">
        <v>674</v>
      </c>
      <c r="M186" s="6" t="s">
        <v>675</v>
      </c>
      <c r="N186" s="14" t="n">
        <f aca="false">ROUND(D186/MAX(E186,1),1)</f>
        <v>118</v>
      </c>
      <c r="O186" s="6" t="s">
        <v>676</v>
      </c>
    </row>
    <row r="187" customFormat="false" ht="15" hidden="false" customHeight="false" outlineLevel="0" collapsed="false">
      <c r="A187" s="6" t="n">
        <v>186</v>
      </c>
      <c r="B187" s="6" t="s">
        <v>886</v>
      </c>
      <c r="C187" s="6" t="s">
        <v>714</v>
      </c>
      <c r="D187" s="7" t="n">
        <v>4400</v>
      </c>
      <c r="E187" s="6" t="n">
        <v>38</v>
      </c>
      <c r="F187" s="12" t="n">
        <v>0.08</v>
      </c>
      <c r="G187" s="12" t="n">
        <v>0.46</v>
      </c>
      <c r="H187" s="6" t="s">
        <v>690</v>
      </c>
      <c r="I187" s="6" t="s">
        <v>80</v>
      </c>
      <c r="J187" s="6" t="str">
        <f aca="false">IF(E187&lt;=15,"Very Easy",IF(E187&lt;=25,"Easy",IF(E187&lt;=40,"Medium","Hard")))</f>
        <v>Medium</v>
      </c>
      <c r="K187" s="6" t="s">
        <v>679</v>
      </c>
      <c r="L187" s="13" t="s">
        <v>674</v>
      </c>
      <c r="M187" s="6" t="s">
        <v>675</v>
      </c>
      <c r="N187" s="14" t="n">
        <f aca="false">ROUND(D187/MAX(E187,1),1)</f>
        <v>115.8</v>
      </c>
      <c r="O187" s="6" t="s">
        <v>682</v>
      </c>
    </row>
    <row r="188" customFormat="false" ht="15" hidden="false" customHeight="false" outlineLevel="0" collapsed="false">
      <c r="A188" s="6" t="n">
        <v>187</v>
      </c>
      <c r="B188" s="6" t="s">
        <v>887</v>
      </c>
      <c r="C188" s="6" t="s">
        <v>52</v>
      </c>
      <c r="D188" s="7" t="n">
        <v>4400</v>
      </c>
      <c r="E188" s="6" t="n">
        <v>38</v>
      </c>
      <c r="F188" s="12" t="n">
        <v>0.14</v>
      </c>
      <c r="G188" s="12" t="n">
        <v>0.32</v>
      </c>
      <c r="H188" s="6" t="s">
        <v>672</v>
      </c>
      <c r="I188" s="6" t="s">
        <v>80</v>
      </c>
      <c r="J188" s="6" t="str">
        <f aca="false">IF(E188&lt;=15,"Very Easy",IF(E188&lt;=25,"Easy",IF(E188&lt;=40,"Medium","Hard")))</f>
        <v>Medium</v>
      </c>
      <c r="K188" s="6" t="s">
        <v>673</v>
      </c>
      <c r="L188" s="13" t="s">
        <v>674</v>
      </c>
      <c r="M188" s="6" t="s">
        <v>675</v>
      </c>
      <c r="N188" s="14" t="n">
        <f aca="false">ROUND(D188/MAX(E188,1),1)</f>
        <v>115.8</v>
      </c>
      <c r="O188" s="6" t="s">
        <v>745</v>
      </c>
    </row>
    <row r="189" customFormat="false" ht="15" hidden="false" customHeight="false" outlineLevel="0" collapsed="false">
      <c r="A189" s="6" t="n">
        <v>188</v>
      </c>
      <c r="B189" s="6" t="s">
        <v>888</v>
      </c>
      <c r="C189" s="6" t="s">
        <v>269</v>
      </c>
      <c r="D189" s="7" t="n">
        <v>1600</v>
      </c>
      <c r="E189" s="6" t="n">
        <v>14</v>
      </c>
      <c r="F189" s="12" t="n">
        <v>0.05</v>
      </c>
      <c r="G189" s="12" t="n">
        <v>0.06</v>
      </c>
      <c r="H189" s="6" t="s">
        <v>678</v>
      </c>
      <c r="I189" s="6" t="s">
        <v>80</v>
      </c>
      <c r="J189" s="6" t="str">
        <f aca="false">IF(E189&lt;=15,"Very Easy",IF(E189&lt;=25,"Easy",IF(E189&lt;=40,"Medium","Hard")))</f>
        <v>Very Easy</v>
      </c>
      <c r="K189" s="6" t="s">
        <v>679</v>
      </c>
      <c r="L189" s="13" t="s">
        <v>674</v>
      </c>
      <c r="M189" s="6" t="s">
        <v>675</v>
      </c>
      <c r="N189" s="14" t="n">
        <f aca="false">ROUND(D189/MAX(E189,1),1)</f>
        <v>114.3</v>
      </c>
      <c r="O189" s="6" t="s">
        <v>682</v>
      </c>
    </row>
    <row r="190" customFormat="false" ht="15" hidden="false" customHeight="false" outlineLevel="0" collapsed="false">
      <c r="A190" s="6" t="n">
        <v>189</v>
      </c>
      <c r="B190" s="6" t="s">
        <v>889</v>
      </c>
      <c r="C190" s="6" t="s">
        <v>714</v>
      </c>
      <c r="D190" s="7" t="n">
        <v>1900</v>
      </c>
      <c r="E190" s="6" t="n">
        <v>17</v>
      </c>
      <c r="F190" s="12" t="n">
        <v>0.11</v>
      </c>
      <c r="G190" s="12" t="n">
        <v>0.99</v>
      </c>
      <c r="H190" s="6" t="s">
        <v>727</v>
      </c>
      <c r="I190" s="6" t="s">
        <v>80</v>
      </c>
      <c r="J190" s="6" t="str">
        <f aca="false">IF(E190&lt;=15,"Very Easy",IF(E190&lt;=25,"Easy",IF(E190&lt;=40,"Medium","Hard")))</f>
        <v>Easy</v>
      </c>
      <c r="K190" s="6" t="s">
        <v>681</v>
      </c>
      <c r="L190" s="13" t="s">
        <v>674</v>
      </c>
      <c r="M190" s="6" t="s">
        <v>675</v>
      </c>
      <c r="N190" s="14" t="n">
        <f aca="false">ROUND(D190/MAX(E190,1),1)</f>
        <v>111.8</v>
      </c>
      <c r="O190" s="6" t="s">
        <v>682</v>
      </c>
    </row>
    <row r="191" customFormat="false" ht="15" hidden="false" customHeight="false" outlineLevel="0" collapsed="false">
      <c r="A191" s="6" t="n">
        <v>190</v>
      </c>
      <c r="B191" s="6" t="s">
        <v>890</v>
      </c>
      <c r="C191" s="6" t="s">
        <v>552</v>
      </c>
      <c r="D191" s="7" t="n">
        <v>2900</v>
      </c>
      <c r="E191" s="6" t="n">
        <v>26</v>
      </c>
      <c r="F191" s="12" t="n">
        <v>0.13</v>
      </c>
      <c r="G191" s="12" t="n">
        <v>0.08</v>
      </c>
      <c r="H191" s="6" t="s">
        <v>678</v>
      </c>
      <c r="I191" s="6" t="s">
        <v>80</v>
      </c>
      <c r="J191" s="6" t="str">
        <f aca="false">IF(E191&lt;=15,"Very Easy",IF(E191&lt;=25,"Easy",IF(E191&lt;=40,"Medium","Hard")))</f>
        <v>Medium</v>
      </c>
      <c r="K191" s="6" t="s">
        <v>681</v>
      </c>
      <c r="L191" s="13" t="s">
        <v>674</v>
      </c>
      <c r="M191" s="6" t="s">
        <v>675</v>
      </c>
      <c r="N191" s="14" t="n">
        <f aca="false">ROUND(D191/MAX(E191,1),1)</f>
        <v>111.5</v>
      </c>
      <c r="O191" s="6" t="s">
        <v>682</v>
      </c>
    </row>
    <row r="192" customFormat="false" ht="15" hidden="false" customHeight="false" outlineLevel="0" collapsed="false">
      <c r="A192" s="6" t="n">
        <v>191</v>
      </c>
      <c r="B192" s="6" t="s">
        <v>891</v>
      </c>
      <c r="C192" s="6" t="s">
        <v>231</v>
      </c>
      <c r="D192" s="7" t="n">
        <v>1000</v>
      </c>
      <c r="E192" s="6" t="n">
        <v>9</v>
      </c>
      <c r="F192" s="12" t="n">
        <v>0.03</v>
      </c>
      <c r="G192" s="12" t="n">
        <v>0.15</v>
      </c>
      <c r="H192" s="6" t="s">
        <v>693</v>
      </c>
      <c r="I192" s="6" t="s">
        <v>80</v>
      </c>
      <c r="J192" s="6" t="str">
        <f aca="false">IF(E192&lt;=15,"Very Easy",IF(E192&lt;=25,"Easy",IF(E192&lt;=40,"Medium","Hard")))</f>
        <v>Very Easy</v>
      </c>
      <c r="K192" s="6" t="s">
        <v>694</v>
      </c>
      <c r="L192" s="13" t="s">
        <v>674</v>
      </c>
      <c r="M192" s="6" t="s">
        <v>675</v>
      </c>
      <c r="N192" s="14" t="n">
        <f aca="false">ROUND(D192/MAX(E192,1),1)</f>
        <v>111.1</v>
      </c>
      <c r="O192" s="6" t="s">
        <v>676</v>
      </c>
    </row>
    <row r="193" customFormat="false" ht="15" hidden="false" customHeight="false" outlineLevel="0" collapsed="false">
      <c r="A193" s="6" t="n">
        <v>192</v>
      </c>
      <c r="B193" s="6" t="s">
        <v>892</v>
      </c>
      <c r="C193" s="6" t="s">
        <v>231</v>
      </c>
      <c r="D193" s="7" t="n">
        <v>1900</v>
      </c>
      <c r="E193" s="6" t="n">
        <v>18</v>
      </c>
      <c r="F193" s="12" t="n">
        <v>0.11</v>
      </c>
      <c r="G193" s="12" t="n">
        <v>0.04</v>
      </c>
      <c r="H193" s="6" t="s">
        <v>678</v>
      </c>
      <c r="I193" s="6" t="s">
        <v>80</v>
      </c>
      <c r="J193" s="6" t="str">
        <f aca="false">IF(E193&lt;=15,"Very Easy",IF(E193&lt;=25,"Easy",IF(E193&lt;=40,"Medium","Hard")))</f>
        <v>Easy</v>
      </c>
      <c r="K193" s="6" t="s">
        <v>681</v>
      </c>
      <c r="L193" s="13" t="s">
        <v>674</v>
      </c>
      <c r="M193" s="6" t="s">
        <v>675</v>
      </c>
      <c r="N193" s="14" t="n">
        <f aca="false">ROUND(D193/MAX(E193,1),1)</f>
        <v>105.6</v>
      </c>
      <c r="O193" s="6" t="s">
        <v>682</v>
      </c>
    </row>
    <row r="194" customFormat="false" ht="15" hidden="false" customHeight="false" outlineLevel="0" collapsed="false">
      <c r="A194" s="6" t="n">
        <v>193</v>
      </c>
      <c r="B194" s="6" t="s">
        <v>893</v>
      </c>
      <c r="C194" s="6" t="s">
        <v>134</v>
      </c>
      <c r="D194" s="7" t="n">
        <v>720</v>
      </c>
      <c r="E194" s="6" t="n">
        <v>7</v>
      </c>
      <c r="F194" s="12" t="n">
        <v>0.06</v>
      </c>
      <c r="G194" s="12" t="n">
        <v>0.32</v>
      </c>
      <c r="H194" s="6" t="s">
        <v>678</v>
      </c>
      <c r="I194" s="6" t="s">
        <v>80</v>
      </c>
      <c r="J194" s="6" t="str">
        <f aca="false">IF(E194&lt;=15,"Very Easy",IF(E194&lt;=25,"Easy",IF(E194&lt;=40,"Medium","Hard")))</f>
        <v>Very Easy</v>
      </c>
      <c r="K194" s="6" t="s">
        <v>679</v>
      </c>
      <c r="L194" s="13" t="s">
        <v>674</v>
      </c>
      <c r="M194" s="6" t="s">
        <v>675</v>
      </c>
      <c r="N194" s="14" t="n">
        <f aca="false">ROUND(D194/MAX(E194,1),1)</f>
        <v>102.9</v>
      </c>
      <c r="O194" s="6" t="s">
        <v>682</v>
      </c>
    </row>
    <row r="195" customFormat="false" ht="15" hidden="false" customHeight="false" outlineLevel="0" collapsed="false">
      <c r="A195" s="6" t="n">
        <v>194</v>
      </c>
      <c r="B195" s="6" t="s">
        <v>894</v>
      </c>
      <c r="C195" s="6" t="s">
        <v>114</v>
      </c>
      <c r="D195" s="7" t="n">
        <v>720</v>
      </c>
      <c r="E195" s="6" t="n">
        <v>7</v>
      </c>
      <c r="F195" s="12" t="n">
        <v>0.02</v>
      </c>
      <c r="G195" s="12" t="n">
        <v>0.09</v>
      </c>
      <c r="H195" s="6" t="s">
        <v>672</v>
      </c>
      <c r="I195" s="6" t="s">
        <v>80</v>
      </c>
      <c r="J195" s="6" t="str">
        <f aca="false">IF(E195&lt;=15,"Very Easy",IF(E195&lt;=25,"Easy",IF(E195&lt;=40,"Medium","Hard")))</f>
        <v>Very Easy</v>
      </c>
      <c r="K195" s="6" t="s">
        <v>673</v>
      </c>
      <c r="L195" s="13" t="s">
        <v>674</v>
      </c>
      <c r="M195" s="6" t="s">
        <v>675</v>
      </c>
      <c r="N195" s="14" t="n">
        <f aca="false">ROUND(D195/MAX(E195,1),1)</f>
        <v>102.9</v>
      </c>
      <c r="O195" s="6" t="s">
        <v>676</v>
      </c>
    </row>
    <row r="196" customFormat="false" ht="15" hidden="false" customHeight="false" outlineLevel="0" collapsed="false">
      <c r="A196" s="6" t="n">
        <v>195</v>
      </c>
      <c r="B196" s="6" t="s">
        <v>895</v>
      </c>
      <c r="C196" s="6" t="s">
        <v>740</v>
      </c>
      <c r="D196" s="7" t="n">
        <v>1600</v>
      </c>
      <c r="E196" s="6" t="n">
        <v>16</v>
      </c>
      <c r="F196" s="12" t="n">
        <v>0.17</v>
      </c>
      <c r="G196" s="12" t="n">
        <v>0.32</v>
      </c>
      <c r="H196" s="6" t="s">
        <v>690</v>
      </c>
      <c r="I196" s="6" t="s">
        <v>80</v>
      </c>
      <c r="J196" s="6" t="str">
        <f aca="false">IF(E196&lt;=15,"Very Easy",IF(E196&lt;=25,"Easy",IF(E196&lt;=40,"Medium","Hard")))</f>
        <v>Easy</v>
      </c>
      <c r="K196" s="6" t="s">
        <v>681</v>
      </c>
      <c r="L196" s="13" t="s">
        <v>674</v>
      </c>
      <c r="M196" s="6" t="s">
        <v>675</v>
      </c>
      <c r="N196" s="14" t="n">
        <f aca="false">ROUND(D196/MAX(E196,1),1)</f>
        <v>100</v>
      </c>
      <c r="O196" s="6" t="s">
        <v>682</v>
      </c>
    </row>
    <row r="197" customFormat="false" ht="15" hidden="false" customHeight="false" outlineLevel="0" collapsed="false">
      <c r="A197" s="6" t="n">
        <v>196</v>
      </c>
      <c r="B197" s="6" t="s">
        <v>896</v>
      </c>
      <c r="C197" s="6" t="s">
        <v>714</v>
      </c>
      <c r="D197" s="7" t="n">
        <v>1300</v>
      </c>
      <c r="E197" s="6" t="n">
        <v>13</v>
      </c>
      <c r="F197" s="12" t="n">
        <v>0.13</v>
      </c>
      <c r="G197" s="12" t="n">
        <v>0.08</v>
      </c>
      <c r="H197" s="6" t="s">
        <v>686</v>
      </c>
      <c r="I197" s="6" t="s">
        <v>80</v>
      </c>
      <c r="J197" s="6" t="str">
        <f aca="false">IF(E197&lt;=15,"Very Easy",IF(E197&lt;=25,"Easy",IF(E197&lt;=40,"Medium","Hard")))</f>
        <v>Very Easy</v>
      </c>
      <c r="K197" s="6" t="s">
        <v>687</v>
      </c>
      <c r="L197" s="13" t="s">
        <v>674</v>
      </c>
      <c r="M197" s="6" t="s">
        <v>675</v>
      </c>
      <c r="N197" s="14" t="n">
        <f aca="false">ROUND(D197/MAX(E197,1),1)</f>
        <v>100</v>
      </c>
      <c r="O197" s="6" t="s">
        <v>688</v>
      </c>
    </row>
    <row r="198" customFormat="false" ht="15" hidden="false" customHeight="false" outlineLevel="0" collapsed="false">
      <c r="A198" s="6" t="n">
        <v>197</v>
      </c>
      <c r="B198" s="6" t="s">
        <v>897</v>
      </c>
      <c r="C198" s="6" t="s">
        <v>740</v>
      </c>
      <c r="D198" s="7" t="n">
        <v>1300</v>
      </c>
      <c r="E198" s="6" t="n">
        <v>13</v>
      </c>
      <c r="F198" s="12" t="n">
        <v>0.06</v>
      </c>
      <c r="G198" s="12" t="n">
        <v>0.07</v>
      </c>
      <c r="H198" s="6" t="s">
        <v>693</v>
      </c>
      <c r="I198" s="6" t="s">
        <v>80</v>
      </c>
      <c r="J198" s="6" t="str">
        <f aca="false">IF(E198&lt;=15,"Very Easy",IF(E198&lt;=25,"Easy",IF(E198&lt;=40,"Medium","Hard")))</f>
        <v>Very Easy</v>
      </c>
      <c r="K198" s="6" t="s">
        <v>694</v>
      </c>
      <c r="L198" s="13" t="s">
        <v>674</v>
      </c>
      <c r="M198" s="6" t="s">
        <v>675</v>
      </c>
      <c r="N198" s="14" t="n">
        <f aca="false">ROUND(D198/MAX(E198,1),1)</f>
        <v>100</v>
      </c>
      <c r="O198" s="6" t="s">
        <v>676</v>
      </c>
    </row>
    <row r="199" customFormat="false" ht="15" hidden="false" customHeight="false" outlineLevel="0" collapsed="false">
      <c r="A199" s="6" t="n">
        <v>198</v>
      </c>
      <c r="B199" s="6" t="s">
        <v>898</v>
      </c>
      <c r="C199" s="6" t="s">
        <v>231</v>
      </c>
      <c r="D199" s="7" t="n">
        <v>1900</v>
      </c>
      <c r="E199" s="6" t="n">
        <v>19</v>
      </c>
      <c r="F199" s="12" t="n">
        <v>0.09</v>
      </c>
      <c r="G199" s="12" t="n">
        <v>0.18</v>
      </c>
      <c r="H199" s="6" t="s">
        <v>672</v>
      </c>
      <c r="I199" s="6" t="s">
        <v>80</v>
      </c>
      <c r="J199" s="6" t="str">
        <f aca="false">IF(E199&lt;=15,"Very Easy",IF(E199&lt;=25,"Easy",IF(E199&lt;=40,"Medium","Hard")))</f>
        <v>Easy</v>
      </c>
      <c r="K199" s="6" t="s">
        <v>673</v>
      </c>
      <c r="L199" s="13" t="s">
        <v>674</v>
      </c>
      <c r="M199" s="6" t="s">
        <v>675</v>
      </c>
      <c r="N199" s="14" t="n">
        <f aca="false">ROUND(D199/MAX(E199,1),1)</f>
        <v>100</v>
      </c>
      <c r="O199" s="6" t="s">
        <v>729</v>
      </c>
    </row>
    <row r="200" customFormat="false" ht="15" hidden="false" customHeight="false" outlineLevel="0" collapsed="false">
      <c r="A200" s="6" t="n">
        <v>199</v>
      </c>
      <c r="B200" s="6" t="s">
        <v>899</v>
      </c>
      <c r="C200" s="6" t="s">
        <v>231</v>
      </c>
      <c r="D200" s="7" t="n">
        <v>1000</v>
      </c>
      <c r="E200" s="6" t="n">
        <v>10</v>
      </c>
      <c r="F200" s="12" t="n">
        <v>0.11</v>
      </c>
      <c r="G200" s="12" t="n">
        <v>0.22</v>
      </c>
      <c r="H200" s="6" t="s">
        <v>672</v>
      </c>
      <c r="I200" s="6" t="s">
        <v>80</v>
      </c>
      <c r="J200" s="6" t="str">
        <f aca="false">IF(E200&lt;=15,"Very Easy",IF(E200&lt;=25,"Easy",IF(E200&lt;=40,"Medium","Hard")))</f>
        <v>Very Easy</v>
      </c>
      <c r="K200" s="6" t="s">
        <v>673</v>
      </c>
      <c r="L200" s="13" t="s">
        <v>674</v>
      </c>
      <c r="M200" s="6" t="s">
        <v>675</v>
      </c>
      <c r="N200" s="14" t="n">
        <f aca="false">ROUND(D200/MAX(E200,1),1)</f>
        <v>100</v>
      </c>
      <c r="O200" s="6" t="s">
        <v>729</v>
      </c>
    </row>
    <row r="201" customFormat="false" ht="15" hidden="false" customHeight="false" outlineLevel="0" collapsed="false">
      <c r="A201" s="6" t="n">
        <v>200</v>
      </c>
      <c r="B201" s="6" t="s">
        <v>900</v>
      </c>
      <c r="C201" s="6" t="s">
        <v>269</v>
      </c>
      <c r="D201" s="7" t="n">
        <v>1300</v>
      </c>
      <c r="E201" s="6" t="n">
        <v>13</v>
      </c>
      <c r="F201" s="12" t="n">
        <v>0.08</v>
      </c>
      <c r="G201" s="12" t="n">
        <v>0.05</v>
      </c>
      <c r="H201" s="6" t="s">
        <v>678</v>
      </c>
      <c r="I201" s="6" t="s">
        <v>80</v>
      </c>
      <c r="J201" s="6" t="str">
        <f aca="false">IF(E201&lt;=15,"Very Easy",IF(E201&lt;=25,"Easy",IF(E201&lt;=40,"Medium","Hard")))</f>
        <v>Very Easy</v>
      </c>
      <c r="K201" s="6" t="s">
        <v>679</v>
      </c>
      <c r="L201" s="13" t="s">
        <v>674</v>
      </c>
      <c r="M201" s="6" t="s">
        <v>675</v>
      </c>
      <c r="N201" s="14" t="n">
        <f aca="false">ROUND(D201/MAX(E201,1),1)</f>
        <v>100</v>
      </c>
      <c r="O201" s="6" t="s">
        <v>682</v>
      </c>
    </row>
    <row r="202" customFormat="false" ht="15" hidden="false" customHeight="false" outlineLevel="0" collapsed="false">
      <c r="A202" s="6" t="n">
        <v>201</v>
      </c>
      <c r="B202" s="6" t="s">
        <v>901</v>
      </c>
      <c r="C202" s="6" t="s">
        <v>866</v>
      </c>
      <c r="D202" s="7" t="n">
        <v>1000</v>
      </c>
      <c r="E202" s="6" t="n">
        <v>10</v>
      </c>
      <c r="F202" s="12" t="n">
        <v>0.09</v>
      </c>
      <c r="G202" s="12" t="n">
        <v>0.15</v>
      </c>
      <c r="H202" s="6" t="s">
        <v>678</v>
      </c>
      <c r="I202" s="6" t="s">
        <v>80</v>
      </c>
      <c r="J202" s="6" t="str">
        <f aca="false">IF(E202&lt;=15,"Very Easy",IF(E202&lt;=25,"Easy",IF(E202&lt;=40,"Medium","Hard")))</f>
        <v>Very Easy</v>
      </c>
      <c r="K202" s="6" t="s">
        <v>679</v>
      </c>
      <c r="L202" s="13" t="s">
        <v>674</v>
      </c>
      <c r="M202" s="6" t="s">
        <v>675</v>
      </c>
      <c r="N202" s="14" t="n">
        <f aca="false">ROUND(D202/MAX(E202,1),1)</f>
        <v>100</v>
      </c>
      <c r="O202" s="6" t="s">
        <v>682</v>
      </c>
    </row>
    <row r="203" customFormat="false" ht="15" hidden="false" customHeight="false" outlineLevel="0" collapsed="false">
      <c r="A203" s="6" t="n">
        <v>202</v>
      </c>
      <c r="B203" s="6" t="s">
        <v>902</v>
      </c>
      <c r="C203" s="6" t="s">
        <v>579</v>
      </c>
      <c r="D203" s="7" t="n">
        <v>1000</v>
      </c>
      <c r="E203" s="6" t="n">
        <v>10</v>
      </c>
      <c r="F203" s="12" t="n">
        <v>0.11</v>
      </c>
      <c r="G203" s="12" t="n">
        <v>0.37</v>
      </c>
      <c r="H203" s="6" t="s">
        <v>672</v>
      </c>
      <c r="I203" s="6" t="s">
        <v>80</v>
      </c>
      <c r="J203" s="6" t="str">
        <f aca="false">IF(E203&lt;=15,"Very Easy",IF(E203&lt;=25,"Easy",IF(E203&lt;=40,"Medium","Hard")))</f>
        <v>Very Easy</v>
      </c>
      <c r="K203" s="6" t="s">
        <v>673</v>
      </c>
      <c r="L203" s="13" t="s">
        <v>674</v>
      </c>
      <c r="M203" s="6" t="s">
        <v>675</v>
      </c>
      <c r="N203" s="14" t="n">
        <f aca="false">ROUND(D203/MAX(E203,1),1)</f>
        <v>100</v>
      </c>
      <c r="O203" s="6" t="s">
        <v>729</v>
      </c>
    </row>
    <row r="204" customFormat="false" ht="15" hidden="false" customHeight="false" outlineLevel="0" collapsed="false">
      <c r="A204" s="6" t="n">
        <v>203</v>
      </c>
      <c r="B204" s="6" t="s">
        <v>903</v>
      </c>
      <c r="C204" s="6" t="s">
        <v>114</v>
      </c>
      <c r="D204" s="7" t="n">
        <v>2400</v>
      </c>
      <c r="E204" s="6" t="n">
        <v>24</v>
      </c>
      <c r="F204" s="12" t="n">
        <v>0.04</v>
      </c>
      <c r="G204" s="12" t="n">
        <v>0.04</v>
      </c>
      <c r="H204" s="6" t="s">
        <v>678</v>
      </c>
      <c r="I204" s="6" t="s">
        <v>80</v>
      </c>
      <c r="J204" s="6" t="str">
        <f aca="false">IF(E204&lt;=15,"Very Easy",IF(E204&lt;=25,"Easy",IF(E204&lt;=40,"Medium","Hard")))</f>
        <v>Easy</v>
      </c>
      <c r="K204" s="6" t="s">
        <v>679</v>
      </c>
      <c r="L204" s="13" t="s">
        <v>674</v>
      </c>
      <c r="M204" s="6" t="s">
        <v>675</v>
      </c>
      <c r="N204" s="14" t="n">
        <f aca="false">ROUND(D204/MAX(E204,1),1)</f>
        <v>100</v>
      </c>
      <c r="O204" s="6" t="s">
        <v>682</v>
      </c>
    </row>
    <row r="205" customFormat="false" ht="15" hidden="false" customHeight="false" outlineLevel="0" collapsed="false">
      <c r="A205" s="6" t="n">
        <v>204</v>
      </c>
      <c r="B205" s="6" t="s">
        <v>904</v>
      </c>
      <c r="C205" s="6" t="s">
        <v>114</v>
      </c>
      <c r="D205" s="7" t="n">
        <v>2400</v>
      </c>
      <c r="E205" s="6" t="n">
        <v>24</v>
      </c>
      <c r="F205" s="12" t="n">
        <v>0.04</v>
      </c>
      <c r="G205" s="12" t="n">
        <v>0.03</v>
      </c>
      <c r="H205" s="6" t="s">
        <v>678</v>
      </c>
      <c r="I205" s="6" t="s">
        <v>80</v>
      </c>
      <c r="J205" s="6" t="str">
        <f aca="false">IF(E205&lt;=15,"Very Easy",IF(E205&lt;=25,"Easy",IF(E205&lt;=40,"Medium","Hard")))</f>
        <v>Easy</v>
      </c>
      <c r="K205" s="6" t="s">
        <v>679</v>
      </c>
      <c r="L205" s="13" t="s">
        <v>674</v>
      </c>
      <c r="M205" s="6" t="s">
        <v>675</v>
      </c>
      <c r="N205" s="14" t="n">
        <f aca="false">ROUND(D205/MAX(E205,1),1)</f>
        <v>100</v>
      </c>
      <c r="O205" s="6" t="s">
        <v>682</v>
      </c>
    </row>
    <row r="206" customFormat="false" ht="15" hidden="false" customHeight="false" outlineLevel="0" collapsed="false">
      <c r="A206" s="6" t="n">
        <v>205</v>
      </c>
      <c r="B206" s="6" t="s">
        <v>905</v>
      </c>
      <c r="C206" s="6" t="s">
        <v>685</v>
      </c>
      <c r="D206" s="7" t="n">
        <v>2400</v>
      </c>
      <c r="E206" s="6" t="n">
        <v>24</v>
      </c>
      <c r="F206" s="12" t="n">
        <v>0.09</v>
      </c>
      <c r="G206" s="12" t="n">
        <v>0.16</v>
      </c>
      <c r="H206" s="6" t="s">
        <v>672</v>
      </c>
      <c r="I206" s="6" t="s">
        <v>80</v>
      </c>
      <c r="J206" s="6" t="str">
        <f aca="false">IF(E206&lt;=15,"Very Easy",IF(E206&lt;=25,"Easy",IF(E206&lt;=40,"Medium","Hard")))</f>
        <v>Easy</v>
      </c>
      <c r="K206" s="6" t="s">
        <v>673</v>
      </c>
      <c r="L206" s="13" t="s">
        <v>674</v>
      </c>
      <c r="M206" s="6" t="s">
        <v>675</v>
      </c>
      <c r="N206" s="14" t="n">
        <f aca="false">ROUND(D206/MAX(E206,1),1)</f>
        <v>100</v>
      </c>
      <c r="O206" s="6" t="s">
        <v>682</v>
      </c>
    </row>
    <row r="207" customFormat="false" ht="15" hidden="false" customHeight="false" outlineLevel="0" collapsed="false">
      <c r="A207" s="6" t="n">
        <v>206</v>
      </c>
      <c r="B207" s="6" t="s">
        <v>906</v>
      </c>
      <c r="C207" s="6" t="s">
        <v>134</v>
      </c>
      <c r="D207" s="7" t="n">
        <v>590</v>
      </c>
      <c r="E207" s="6" t="n">
        <v>6</v>
      </c>
      <c r="F207" s="12" t="n">
        <v>0.17</v>
      </c>
      <c r="G207" s="12" t="n">
        <v>0.06</v>
      </c>
      <c r="H207" s="6" t="s">
        <v>678</v>
      </c>
      <c r="I207" s="6" t="s">
        <v>80</v>
      </c>
      <c r="J207" s="6" t="str">
        <f aca="false">IF(E207&lt;=15,"Very Easy",IF(E207&lt;=25,"Easy",IF(E207&lt;=40,"Medium","Hard")))</f>
        <v>Very Easy</v>
      </c>
      <c r="K207" s="6" t="s">
        <v>681</v>
      </c>
      <c r="L207" s="13" t="s">
        <v>674</v>
      </c>
      <c r="M207" s="6" t="s">
        <v>675</v>
      </c>
      <c r="N207" s="14" t="n">
        <f aca="false">ROUND(D207/MAX(E207,1),1)</f>
        <v>98.3</v>
      </c>
      <c r="O207" s="6" t="s">
        <v>682</v>
      </c>
    </row>
    <row r="208" customFormat="false" ht="15" hidden="false" customHeight="false" outlineLevel="0" collapsed="false">
      <c r="A208" s="6" t="n">
        <v>207</v>
      </c>
      <c r="B208" s="6" t="s">
        <v>907</v>
      </c>
      <c r="C208" s="6" t="s">
        <v>685</v>
      </c>
      <c r="D208" s="7" t="n">
        <v>2900</v>
      </c>
      <c r="E208" s="6" t="n">
        <v>30</v>
      </c>
      <c r="F208" s="12" t="n">
        <v>0.23</v>
      </c>
      <c r="G208" s="12" t="n">
        <v>0.33</v>
      </c>
      <c r="H208" s="6" t="s">
        <v>678</v>
      </c>
      <c r="I208" s="6" t="s">
        <v>80</v>
      </c>
      <c r="J208" s="6" t="str">
        <f aca="false">IF(E208&lt;=15,"Very Easy",IF(E208&lt;=25,"Easy",IF(E208&lt;=40,"Medium","Hard")))</f>
        <v>Medium</v>
      </c>
      <c r="K208" s="6" t="s">
        <v>681</v>
      </c>
      <c r="L208" s="13" t="s">
        <v>674</v>
      </c>
      <c r="M208" s="6" t="s">
        <v>675</v>
      </c>
      <c r="N208" s="14" t="n">
        <f aca="false">ROUND(D208/MAX(E208,1),1)</f>
        <v>96.7</v>
      </c>
      <c r="O208" s="6" t="s">
        <v>682</v>
      </c>
    </row>
    <row r="209" customFormat="false" ht="15" hidden="false" customHeight="false" outlineLevel="0" collapsed="false">
      <c r="A209" s="6" t="n">
        <v>208</v>
      </c>
      <c r="B209" s="6" t="s">
        <v>908</v>
      </c>
      <c r="C209" s="6" t="s">
        <v>269</v>
      </c>
      <c r="D209" s="7" t="n">
        <v>2400</v>
      </c>
      <c r="E209" s="6" t="n">
        <v>25</v>
      </c>
      <c r="F209" s="12" t="n">
        <v>0.13</v>
      </c>
      <c r="G209" s="12" t="n">
        <v>0.14</v>
      </c>
      <c r="H209" s="6" t="s">
        <v>678</v>
      </c>
      <c r="I209" s="6" t="s">
        <v>80</v>
      </c>
      <c r="J209" s="6" t="str">
        <f aca="false">IF(E209&lt;=15,"Very Easy",IF(E209&lt;=25,"Easy",IF(E209&lt;=40,"Medium","Hard")))</f>
        <v>Easy</v>
      </c>
      <c r="K209" s="6" t="s">
        <v>681</v>
      </c>
      <c r="L209" s="13" t="s">
        <v>674</v>
      </c>
      <c r="M209" s="6" t="s">
        <v>675</v>
      </c>
      <c r="N209" s="14" t="n">
        <f aca="false">ROUND(D209/MAX(E209,1),1)</f>
        <v>96</v>
      </c>
      <c r="O209" s="6" t="s">
        <v>682</v>
      </c>
    </row>
    <row r="210" customFormat="false" ht="15" hidden="false" customHeight="false" outlineLevel="0" collapsed="false">
      <c r="A210" s="6" t="n">
        <v>209</v>
      </c>
      <c r="B210" s="6" t="s">
        <v>909</v>
      </c>
      <c r="C210" s="6" t="s">
        <v>579</v>
      </c>
      <c r="D210" s="7" t="n">
        <v>1900</v>
      </c>
      <c r="E210" s="6" t="n">
        <v>20</v>
      </c>
      <c r="F210" s="12" t="n">
        <v>0.16</v>
      </c>
      <c r="G210" s="12" t="n">
        <v>0.11</v>
      </c>
      <c r="H210" s="6" t="s">
        <v>733</v>
      </c>
      <c r="I210" s="6" t="s">
        <v>80</v>
      </c>
      <c r="J210" s="6" t="str">
        <f aca="false">IF(E210&lt;=15,"Very Easy",IF(E210&lt;=25,"Easy",IF(E210&lt;=40,"Medium","Hard")))</f>
        <v>Easy</v>
      </c>
      <c r="K210" s="6" t="s">
        <v>681</v>
      </c>
      <c r="L210" s="13" t="s">
        <v>674</v>
      </c>
      <c r="M210" s="6" t="s">
        <v>675</v>
      </c>
      <c r="N210" s="14" t="n">
        <f aca="false">ROUND(D210/MAX(E210,1),1)</f>
        <v>95</v>
      </c>
      <c r="O210" s="6" t="s">
        <v>682</v>
      </c>
    </row>
    <row r="211" customFormat="false" ht="15" hidden="false" customHeight="false" outlineLevel="0" collapsed="false">
      <c r="A211" s="6" t="n">
        <v>210</v>
      </c>
      <c r="B211" s="6" t="s">
        <v>910</v>
      </c>
      <c r="C211" s="6" t="s">
        <v>231</v>
      </c>
      <c r="D211" s="7" t="n">
        <v>1600</v>
      </c>
      <c r="E211" s="6" t="n">
        <v>17</v>
      </c>
      <c r="F211" s="12" t="n">
        <v>0.09</v>
      </c>
      <c r="G211" s="12" t="n">
        <v>0.11</v>
      </c>
      <c r="H211" s="6" t="s">
        <v>672</v>
      </c>
      <c r="I211" s="6" t="s">
        <v>80</v>
      </c>
      <c r="J211" s="6" t="str">
        <f aca="false">IF(E211&lt;=15,"Very Easy",IF(E211&lt;=25,"Easy",IF(E211&lt;=40,"Medium","Hard")))</f>
        <v>Easy</v>
      </c>
      <c r="K211" s="6" t="s">
        <v>673</v>
      </c>
      <c r="L211" s="13" t="s">
        <v>674</v>
      </c>
      <c r="M211" s="6" t="s">
        <v>675</v>
      </c>
      <c r="N211" s="14" t="n">
        <f aca="false">ROUND(D211/MAX(E211,1),1)</f>
        <v>94.1</v>
      </c>
      <c r="O211" s="6" t="s">
        <v>729</v>
      </c>
    </row>
    <row r="212" customFormat="false" ht="15" hidden="false" customHeight="false" outlineLevel="0" collapsed="false">
      <c r="A212" s="6" t="n">
        <v>211</v>
      </c>
      <c r="B212" s="6" t="s">
        <v>911</v>
      </c>
      <c r="C212" s="6" t="s">
        <v>269</v>
      </c>
      <c r="D212" s="7" t="n">
        <v>1900</v>
      </c>
      <c r="E212" s="6" t="n">
        <v>21</v>
      </c>
      <c r="F212" s="12" t="n">
        <v>0.13</v>
      </c>
      <c r="G212" s="12" t="n">
        <v>0.25</v>
      </c>
      <c r="H212" s="6" t="s">
        <v>672</v>
      </c>
      <c r="I212" s="6" t="s">
        <v>80</v>
      </c>
      <c r="J212" s="6" t="str">
        <f aca="false">IF(E212&lt;=15,"Very Easy",IF(E212&lt;=25,"Easy",IF(E212&lt;=40,"Medium","Hard")))</f>
        <v>Easy</v>
      </c>
      <c r="K212" s="6" t="s">
        <v>673</v>
      </c>
      <c r="L212" s="13" t="s">
        <v>674</v>
      </c>
      <c r="M212" s="6" t="s">
        <v>675</v>
      </c>
      <c r="N212" s="14" t="n">
        <f aca="false">ROUND(D212/MAX(E212,1),1)</f>
        <v>90.5</v>
      </c>
      <c r="O212" s="6" t="s">
        <v>729</v>
      </c>
    </row>
    <row r="213" customFormat="false" ht="15" hidden="false" customHeight="false" outlineLevel="0" collapsed="false">
      <c r="A213" s="6" t="n">
        <v>212</v>
      </c>
      <c r="B213" s="6" t="s">
        <v>912</v>
      </c>
      <c r="C213" s="6" t="s">
        <v>685</v>
      </c>
      <c r="D213" s="7" t="n">
        <v>1900</v>
      </c>
      <c r="E213" s="6" t="n">
        <v>21</v>
      </c>
      <c r="F213" s="12" t="n">
        <v>0.03</v>
      </c>
      <c r="G213" s="12" t="n">
        <v>0.35</v>
      </c>
      <c r="H213" s="6" t="s">
        <v>678</v>
      </c>
      <c r="I213" s="6" t="s">
        <v>80</v>
      </c>
      <c r="J213" s="6" t="str">
        <f aca="false">IF(E213&lt;=15,"Very Easy",IF(E213&lt;=25,"Easy",IF(E213&lt;=40,"Medium","Hard")))</f>
        <v>Easy</v>
      </c>
      <c r="K213" s="6" t="s">
        <v>679</v>
      </c>
      <c r="L213" s="13" t="s">
        <v>674</v>
      </c>
      <c r="M213" s="6" t="s">
        <v>675</v>
      </c>
      <c r="N213" s="14" t="n">
        <f aca="false">ROUND(D213/MAX(E213,1),1)</f>
        <v>90.5</v>
      </c>
      <c r="O213" s="6" t="s">
        <v>682</v>
      </c>
    </row>
    <row r="214" customFormat="false" ht="15" hidden="false" customHeight="false" outlineLevel="0" collapsed="false">
      <c r="A214" s="6" t="n">
        <v>213</v>
      </c>
      <c r="B214" s="6" t="s">
        <v>913</v>
      </c>
      <c r="C214" s="6" t="s">
        <v>866</v>
      </c>
      <c r="D214" s="7" t="n">
        <v>720</v>
      </c>
      <c r="E214" s="6" t="n">
        <v>8</v>
      </c>
      <c r="F214" s="12" t="n">
        <v>0.06</v>
      </c>
      <c r="G214" s="12" t="n">
        <v>0.14</v>
      </c>
      <c r="H214" s="6" t="s">
        <v>672</v>
      </c>
      <c r="I214" s="6" t="s">
        <v>80</v>
      </c>
      <c r="J214" s="6" t="str">
        <f aca="false">IF(E214&lt;=15,"Very Easy",IF(E214&lt;=25,"Easy",IF(E214&lt;=40,"Medium","Hard")))</f>
        <v>Very Easy</v>
      </c>
      <c r="K214" s="6" t="s">
        <v>673</v>
      </c>
      <c r="L214" s="13" t="s">
        <v>674</v>
      </c>
      <c r="M214" s="6" t="s">
        <v>675</v>
      </c>
      <c r="N214" s="14" t="n">
        <f aca="false">ROUND(D214/MAX(E214,1),1)</f>
        <v>90</v>
      </c>
      <c r="O214" s="6" t="s">
        <v>676</v>
      </c>
    </row>
    <row r="215" customFormat="false" ht="15" hidden="false" customHeight="false" outlineLevel="0" collapsed="false">
      <c r="A215" s="6" t="n">
        <v>214</v>
      </c>
      <c r="B215" s="6" t="s">
        <v>914</v>
      </c>
      <c r="C215" s="6" t="s">
        <v>714</v>
      </c>
      <c r="D215" s="7" t="n">
        <v>1600</v>
      </c>
      <c r="E215" s="6" t="n">
        <v>18</v>
      </c>
      <c r="F215" s="12" t="n">
        <v>0.08</v>
      </c>
      <c r="G215" s="12" t="n">
        <v>0.05</v>
      </c>
      <c r="H215" s="6" t="s">
        <v>678</v>
      </c>
      <c r="I215" s="6" t="s">
        <v>80</v>
      </c>
      <c r="J215" s="6" t="str">
        <f aca="false">IF(E215&lt;=15,"Very Easy",IF(E215&lt;=25,"Easy",IF(E215&lt;=40,"Medium","Hard")))</f>
        <v>Easy</v>
      </c>
      <c r="K215" s="6" t="s">
        <v>679</v>
      </c>
      <c r="L215" s="13" t="s">
        <v>674</v>
      </c>
      <c r="M215" s="6" t="s">
        <v>675</v>
      </c>
      <c r="N215" s="14" t="n">
        <f aca="false">ROUND(D215/MAX(E215,1),1)</f>
        <v>88.9</v>
      </c>
      <c r="O215" s="6" t="s">
        <v>806</v>
      </c>
    </row>
    <row r="216" customFormat="false" ht="15" hidden="false" customHeight="false" outlineLevel="0" collapsed="false">
      <c r="A216" s="6" t="n">
        <v>215</v>
      </c>
      <c r="B216" s="6" t="s">
        <v>915</v>
      </c>
      <c r="C216" s="6" t="s">
        <v>231</v>
      </c>
      <c r="D216" s="7" t="n">
        <v>880</v>
      </c>
      <c r="E216" s="6" t="n">
        <v>10</v>
      </c>
      <c r="F216" s="12" t="n">
        <v>0.11</v>
      </c>
      <c r="G216" s="12" t="n">
        <v>0.26</v>
      </c>
      <c r="H216" s="6" t="s">
        <v>678</v>
      </c>
      <c r="I216" s="6" t="s">
        <v>80</v>
      </c>
      <c r="J216" s="6" t="str">
        <f aca="false">IF(E216&lt;=15,"Very Easy",IF(E216&lt;=25,"Easy",IF(E216&lt;=40,"Medium","Hard")))</f>
        <v>Very Easy</v>
      </c>
      <c r="K216" s="6" t="s">
        <v>681</v>
      </c>
      <c r="L216" s="13" t="s">
        <v>674</v>
      </c>
      <c r="M216" s="6" t="s">
        <v>675</v>
      </c>
      <c r="N216" s="14" t="n">
        <f aca="false">ROUND(D216/MAX(E216,1),1)</f>
        <v>88</v>
      </c>
      <c r="O216" s="6" t="s">
        <v>682</v>
      </c>
    </row>
    <row r="217" customFormat="false" ht="15" hidden="false" customHeight="false" outlineLevel="0" collapsed="false">
      <c r="A217" s="6" t="n">
        <v>216</v>
      </c>
      <c r="B217" s="6" t="s">
        <v>916</v>
      </c>
      <c r="C217" s="6" t="s">
        <v>134</v>
      </c>
      <c r="D217" s="7" t="n">
        <v>880</v>
      </c>
      <c r="E217" s="6" t="n">
        <v>10</v>
      </c>
      <c r="F217" s="12" t="n">
        <v>0.1</v>
      </c>
      <c r="G217" s="12" t="n">
        <v>0.03</v>
      </c>
      <c r="H217" s="6" t="s">
        <v>678</v>
      </c>
      <c r="I217" s="6" t="s">
        <v>80</v>
      </c>
      <c r="J217" s="6" t="str">
        <f aca="false">IF(E217&lt;=15,"Very Easy",IF(E217&lt;=25,"Easy",IF(E217&lt;=40,"Medium","Hard")))</f>
        <v>Very Easy</v>
      </c>
      <c r="K217" s="6" t="s">
        <v>681</v>
      </c>
      <c r="L217" s="13" t="s">
        <v>674</v>
      </c>
      <c r="M217" s="6" t="s">
        <v>675</v>
      </c>
      <c r="N217" s="14" t="n">
        <f aca="false">ROUND(D217/MAX(E217,1),1)</f>
        <v>88</v>
      </c>
      <c r="O217" s="6" t="s">
        <v>682</v>
      </c>
    </row>
    <row r="218" customFormat="false" ht="15" hidden="false" customHeight="false" outlineLevel="0" collapsed="false">
      <c r="A218" s="6" t="n">
        <v>217</v>
      </c>
      <c r="B218" s="6" t="s">
        <v>917</v>
      </c>
      <c r="C218" s="6" t="s">
        <v>685</v>
      </c>
      <c r="D218" s="7" t="n">
        <v>2900</v>
      </c>
      <c r="E218" s="6" t="n">
        <v>33</v>
      </c>
      <c r="F218" s="12" t="n">
        <v>0.25</v>
      </c>
      <c r="G218" s="12" t="n">
        <v>0.01</v>
      </c>
      <c r="H218" s="6" t="s">
        <v>678</v>
      </c>
      <c r="I218" s="6" t="s">
        <v>80</v>
      </c>
      <c r="J218" s="6" t="str">
        <f aca="false">IF(E218&lt;=15,"Very Easy",IF(E218&lt;=25,"Easy",IF(E218&lt;=40,"Medium","Hard")))</f>
        <v>Medium</v>
      </c>
      <c r="K218" s="6" t="s">
        <v>681</v>
      </c>
      <c r="L218" s="13" t="s">
        <v>674</v>
      </c>
      <c r="M218" s="6" t="s">
        <v>675</v>
      </c>
      <c r="N218" s="14" t="n">
        <f aca="false">ROUND(D218/MAX(E218,1),1)</f>
        <v>87.9</v>
      </c>
      <c r="O218" s="6" t="s">
        <v>682</v>
      </c>
    </row>
    <row r="219" customFormat="false" ht="15" hidden="false" customHeight="false" outlineLevel="0" collapsed="false">
      <c r="A219" s="6" t="n">
        <v>218</v>
      </c>
      <c r="B219" s="6" t="s">
        <v>918</v>
      </c>
      <c r="C219" s="6" t="s">
        <v>269</v>
      </c>
      <c r="D219" s="7" t="n">
        <v>1300</v>
      </c>
      <c r="E219" s="6" t="n">
        <v>15</v>
      </c>
      <c r="F219" s="12" t="n">
        <v>0.11</v>
      </c>
      <c r="G219" s="12" t="n">
        <v>0.14</v>
      </c>
      <c r="H219" s="6" t="s">
        <v>690</v>
      </c>
      <c r="I219" s="6" t="s">
        <v>80</v>
      </c>
      <c r="J219" s="6" t="str">
        <f aca="false">IF(E219&lt;=15,"Very Easy",IF(E219&lt;=25,"Easy",IF(E219&lt;=40,"Medium","Hard")))</f>
        <v>Very Easy</v>
      </c>
      <c r="K219" s="6" t="s">
        <v>681</v>
      </c>
      <c r="L219" s="13" t="s">
        <v>674</v>
      </c>
      <c r="M219" s="6" t="s">
        <v>675</v>
      </c>
      <c r="N219" s="14" t="n">
        <f aca="false">ROUND(D219/MAX(E219,1),1)</f>
        <v>86.7</v>
      </c>
      <c r="O219" s="6" t="s">
        <v>682</v>
      </c>
    </row>
    <row r="220" customFormat="false" ht="15" hidden="false" customHeight="false" outlineLevel="0" collapsed="false">
      <c r="A220" s="6" t="n">
        <v>219</v>
      </c>
      <c r="B220" s="6" t="s">
        <v>919</v>
      </c>
      <c r="C220" s="6" t="s">
        <v>231</v>
      </c>
      <c r="D220" s="7" t="n">
        <v>1900</v>
      </c>
      <c r="E220" s="6" t="n">
        <v>22</v>
      </c>
      <c r="F220" s="12" t="n">
        <v>0.04</v>
      </c>
      <c r="G220" s="12" t="n">
        <v>0.1</v>
      </c>
      <c r="H220" s="6" t="s">
        <v>678</v>
      </c>
      <c r="I220" s="6" t="s">
        <v>80</v>
      </c>
      <c r="J220" s="6" t="str">
        <f aca="false">IF(E220&lt;=15,"Very Easy",IF(E220&lt;=25,"Easy",IF(E220&lt;=40,"Medium","Hard")))</f>
        <v>Easy</v>
      </c>
      <c r="K220" s="6" t="s">
        <v>679</v>
      </c>
      <c r="L220" s="13" t="s">
        <v>674</v>
      </c>
      <c r="M220" s="6" t="s">
        <v>675</v>
      </c>
      <c r="N220" s="14" t="n">
        <f aca="false">ROUND(D220/MAX(E220,1),1)</f>
        <v>86.4</v>
      </c>
      <c r="O220" s="6" t="s">
        <v>682</v>
      </c>
    </row>
    <row r="221" customFormat="false" ht="15" hidden="false" customHeight="false" outlineLevel="0" collapsed="false">
      <c r="A221" s="6" t="n">
        <v>220</v>
      </c>
      <c r="B221" s="6" t="s">
        <v>920</v>
      </c>
      <c r="C221" s="6" t="s">
        <v>134</v>
      </c>
      <c r="D221" s="7" t="n">
        <v>1900</v>
      </c>
      <c r="E221" s="6" t="n">
        <v>22</v>
      </c>
      <c r="F221" s="12" t="n">
        <v>0.08</v>
      </c>
      <c r="G221" s="12" t="n">
        <v>0.12</v>
      </c>
      <c r="H221" s="6" t="s">
        <v>733</v>
      </c>
      <c r="I221" s="6" t="s">
        <v>80</v>
      </c>
      <c r="J221" s="6" t="str">
        <f aca="false">IF(E221&lt;=15,"Very Easy",IF(E221&lt;=25,"Easy",IF(E221&lt;=40,"Medium","Hard")))</f>
        <v>Easy</v>
      </c>
      <c r="K221" s="6" t="s">
        <v>679</v>
      </c>
      <c r="L221" s="13" t="s">
        <v>674</v>
      </c>
      <c r="M221" s="6" t="s">
        <v>675</v>
      </c>
      <c r="N221" s="14" t="n">
        <f aca="false">ROUND(D221/MAX(E221,1),1)</f>
        <v>86.4</v>
      </c>
      <c r="O221" s="6" t="s">
        <v>682</v>
      </c>
    </row>
    <row r="222" customFormat="false" ht="15" hidden="false" customHeight="false" outlineLevel="0" collapsed="false">
      <c r="A222" s="6" t="n">
        <v>221</v>
      </c>
      <c r="B222" s="6" t="s">
        <v>921</v>
      </c>
      <c r="C222" s="6" t="s">
        <v>579</v>
      </c>
      <c r="D222" s="7" t="n">
        <v>590</v>
      </c>
      <c r="E222" s="6" t="n">
        <v>7</v>
      </c>
      <c r="F222" s="12" t="n">
        <v>0.13</v>
      </c>
      <c r="G222" s="12" t="n">
        <v>0.18</v>
      </c>
      <c r="H222" s="6" t="s">
        <v>678</v>
      </c>
      <c r="I222" s="6" t="s">
        <v>80</v>
      </c>
      <c r="J222" s="6" t="str">
        <f aca="false">IF(E222&lt;=15,"Very Easy",IF(E222&lt;=25,"Easy",IF(E222&lt;=40,"Medium","Hard")))</f>
        <v>Very Easy</v>
      </c>
      <c r="K222" s="6" t="s">
        <v>681</v>
      </c>
      <c r="L222" s="13" t="s">
        <v>674</v>
      </c>
      <c r="M222" s="6" t="s">
        <v>675</v>
      </c>
      <c r="N222" s="14" t="n">
        <f aca="false">ROUND(D222/MAX(E222,1),1)</f>
        <v>84.3</v>
      </c>
      <c r="O222" s="6" t="s">
        <v>682</v>
      </c>
    </row>
    <row r="223" customFormat="false" ht="15" hidden="false" customHeight="false" outlineLevel="0" collapsed="false">
      <c r="A223" s="6" t="n">
        <v>222</v>
      </c>
      <c r="B223" s="6" t="s">
        <v>922</v>
      </c>
      <c r="C223" s="6" t="s">
        <v>740</v>
      </c>
      <c r="D223" s="7" t="n">
        <v>1600</v>
      </c>
      <c r="E223" s="6" t="n">
        <v>19</v>
      </c>
      <c r="F223" s="12" t="n">
        <v>0.06</v>
      </c>
      <c r="G223" s="12" t="n">
        <v>0.07</v>
      </c>
      <c r="H223" s="6" t="s">
        <v>733</v>
      </c>
      <c r="I223" s="6" t="s">
        <v>80</v>
      </c>
      <c r="J223" s="6" t="str">
        <f aca="false">IF(E223&lt;=15,"Very Easy",IF(E223&lt;=25,"Easy",IF(E223&lt;=40,"Medium","Hard")))</f>
        <v>Easy</v>
      </c>
      <c r="K223" s="6" t="s">
        <v>679</v>
      </c>
      <c r="L223" s="13" t="s">
        <v>674</v>
      </c>
      <c r="M223" s="6" t="s">
        <v>675</v>
      </c>
      <c r="N223" s="14" t="n">
        <f aca="false">ROUND(D223/MAX(E223,1),1)</f>
        <v>84.2</v>
      </c>
      <c r="O223" s="6" t="s">
        <v>682</v>
      </c>
    </row>
    <row r="224" customFormat="false" ht="15" hidden="false" customHeight="false" outlineLevel="0" collapsed="false">
      <c r="A224" s="6" t="n">
        <v>223</v>
      </c>
      <c r="B224" s="6" t="s">
        <v>923</v>
      </c>
      <c r="C224" s="6" t="s">
        <v>714</v>
      </c>
      <c r="D224" s="7" t="n">
        <v>1600</v>
      </c>
      <c r="E224" s="6" t="n">
        <v>19</v>
      </c>
      <c r="F224" s="12" t="n">
        <v>0.16</v>
      </c>
      <c r="G224" s="12" t="n">
        <v>0.07</v>
      </c>
      <c r="H224" s="6" t="s">
        <v>678</v>
      </c>
      <c r="I224" s="6" t="s">
        <v>80</v>
      </c>
      <c r="J224" s="6" t="str">
        <f aca="false">IF(E224&lt;=15,"Very Easy",IF(E224&lt;=25,"Easy",IF(E224&lt;=40,"Medium","Hard")))</f>
        <v>Easy</v>
      </c>
      <c r="K224" s="6" t="s">
        <v>681</v>
      </c>
      <c r="L224" s="13" t="s">
        <v>674</v>
      </c>
      <c r="M224" s="6" t="s">
        <v>675</v>
      </c>
      <c r="N224" s="14" t="n">
        <f aca="false">ROUND(D224/MAX(E224,1),1)</f>
        <v>84.2</v>
      </c>
      <c r="O224" s="6" t="s">
        <v>682</v>
      </c>
    </row>
    <row r="225" customFormat="false" ht="15" hidden="false" customHeight="false" outlineLevel="0" collapsed="false">
      <c r="A225" s="6" t="n">
        <v>224</v>
      </c>
      <c r="B225" s="6" t="s">
        <v>924</v>
      </c>
      <c r="C225" s="6" t="s">
        <v>269</v>
      </c>
      <c r="D225" s="7" t="n">
        <v>1600</v>
      </c>
      <c r="E225" s="6" t="n">
        <v>19</v>
      </c>
      <c r="F225" s="12" t="n">
        <v>0.05</v>
      </c>
      <c r="G225" s="12" t="n">
        <v>0.15</v>
      </c>
      <c r="H225" s="6" t="s">
        <v>678</v>
      </c>
      <c r="I225" s="6" t="s">
        <v>80</v>
      </c>
      <c r="J225" s="6" t="str">
        <f aca="false">IF(E225&lt;=15,"Very Easy",IF(E225&lt;=25,"Easy",IF(E225&lt;=40,"Medium","Hard")))</f>
        <v>Easy</v>
      </c>
      <c r="K225" s="6" t="s">
        <v>679</v>
      </c>
      <c r="L225" s="13" t="s">
        <v>674</v>
      </c>
      <c r="M225" s="6" t="s">
        <v>675</v>
      </c>
      <c r="N225" s="14" t="n">
        <f aca="false">ROUND(D225/MAX(E225,1),1)</f>
        <v>84.2</v>
      </c>
      <c r="O225" s="6" t="s">
        <v>682</v>
      </c>
    </row>
    <row r="226" customFormat="false" ht="15" hidden="false" customHeight="false" outlineLevel="0" collapsed="false">
      <c r="A226" s="6" t="n">
        <v>225</v>
      </c>
      <c r="B226" s="6" t="s">
        <v>925</v>
      </c>
      <c r="C226" s="6" t="s">
        <v>52</v>
      </c>
      <c r="D226" s="7" t="n">
        <v>1600</v>
      </c>
      <c r="E226" s="6" t="n">
        <v>19</v>
      </c>
      <c r="F226" s="12" t="n">
        <v>0.16</v>
      </c>
      <c r="G226" s="12" t="n">
        <v>0.5</v>
      </c>
      <c r="H226" s="6" t="s">
        <v>672</v>
      </c>
      <c r="I226" s="6" t="s">
        <v>80</v>
      </c>
      <c r="J226" s="6" t="str">
        <f aca="false">IF(E226&lt;=15,"Very Easy",IF(E226&lt;=25,"Easy",IF(E226&lt;=40,"Medium","Hard")))</f>
        <v>Easy</v>
      </c>
      <c r="K226" s="6" t="s">
        <v>673</v>
      </c>
      <c r="L226" s="13" t="s">
        <v>926</v>
      </c>
      <c r="M226" s="6" t="n">
        <v>36</v>
      </c>
      <c r="N226" s="14" t="n">
        <f aca="false">ROUND(D226/MAX(E226,1),1)</f>
        <v>84.2</v>
      </c>
      <c r="O226" s="6" t="s">
        <v>729</v>
      </c>
    </row>
    <row r="227" customFormat="false" ht="15" hidden="false" customHeight="false" outlineLevel="0" collapsed="false">
      <c r="A227" s="6" t="n">
        <v>226</v>
      </c>
      <c r="B227" s="6" t="s">
        <v>927</v>
      </c>
      <c r="C227" s="6" t="s">
        <v>134</v>
      </c>
      <c r="D227" s="7" t="n">
        <v>1000</v>
      </c>
      <c r="E227" s="6" t="n">
        <v>12</v>
      </c>
      <c r="F227" s="12" t="n">
        <v>0.08</v>
      </c>
      <c r="G227" s="12" t="n">
        <v>0.01</v>
      </c>
      <c r="H227" s="6" t="s">
        <v>678</v>
      </c>
      <c r="I227" s="6" t="s">
        <v>80</v>
      </c>
      <c r="J227" s="6" t="str">
        <f aca="false">IF(E227&lt;=15,"Very Easy",IF(E227&lt;=25,"Easy",IF(E227&lt;=40,"Medium","Hard")))</f>
        <v>Very Easy</v>
      </c>
      <c r="K227" s="6" t="s">
        <v>679</v>
      </c>
      <c r="L227" s="13" t="s">
        <v>674</v>
      </c>
      <c r="M227" s="6" t="s">
        <v>675</v>
      </c>
      <c r="N227" s="14" t="n">
        <f aca="false">ROUND(D227/MAX(E227,1),1)</f>
        <v>83.3</v>
      </c>
      <c r="O227" s="6" t="s">
        <v>682</v>
      </c>
    </row>
    <row r="228" customFormat="false" ht="15" hidden="false" customHeight="false" outlineLevel="0" collapsed="false">
      <c r="A228" s="6" t="n">
        <v>227</v>
      </c>
      <c r="B228" s="6" t="s">
        <v>928</v>
      </c>
      <c r="C228" s="6" t="s">
        <v>114</v>
      </c>
      <c r="D228" s="7" t="n">
        <v>1000</v>
      </c>
      <c r="E228" s="6" t="n">
        <v>12</v>
      </c>
      <c r="F228" s="12" t="n">
        <v>0.05</v>
      </c>
      <c r="G228" s="12" t="n">
        <v>0.04</v>
      </c>
      <c r="H228" s="6" t="s">
        <v>686</v>
      </c>
      <c r="I228" s="6" t="s">
        <v>80</v>
      </c>
      <c r="J228" s="6" t="str">
        <f aca="false">IF(E228&lt;=15,"Very Easy",IF(E228&lt;=25,"Easy",IF(E228&lt;=40,"Medium","Hard")))</f>
        <v>Very Easy</v>
      </c>
      <c r="K228" s="6" t="s">
        <v>687</v>
      </c>
      <c r="L228" s="13" t="s">
        <v>674</v>
      </c>
      <c r="M228" s="6" t="s">
        <v>675</v>
      </c>
      <c r="N228" s="14" t="n">
        <f aca="false">ROUND(D228/MAX(E228,1),1)</f>
        <v>83.3</v>
      </c>
      <c r="O228" s="6" t="s">
        <v>688</v>
      </c>
    </row>
    <row r="229" customFormat="false" ht="15" hidden="false" customHeight="false" outlineLevel="0" collapsed="false">
      <c r="A229" s="6" t="n">
        <v>228</v>
      </c>
      <c r="B229" s="6" t="s">
        <v>929</v>
      </c>
      <c r="C229" s="6" t="s">
        <v>685</v>
      </c>
      <c r="D229" s="7" t="n">
        <v>1900</v>
      </c>
      <c r="E229" s="6" t="n">
        <v>23</v>
      </c>
      <c r="F229" s="12" t="n">
        <v>0.02</v>
      </c>
      <c r="G229" s="12" t="n">
        <v>0.38</v>
      </c>
      <c r="H229" s="6" t="s">
        <v>686</v>
      </c>
      <c r="I229" s="6" t="s">
        <v>80</v>
      </c>
      <c r="J229" s="6" t="str">
        <f aca="false">IF(E229&lt;=15,"Very Easy",IF(E229&lt;=25,"Easy",IF(E229&lt;=40,"Medium","Hard")))</f>
        <v>Easy</v>
      </c>
      <c r="K229" s="6" t="s">
        <v>687</v>
      </c>
      <c r="L229" s="13" t="s">
        <v>674</v>
      </c>
      <c r="M229" s="6" t="s">
        <v>675</v>
      </c>
      <c r="N229" s="14" t="n">
        <f aca="false">ROUND(D229/MAX(E229,1),1)</f>
        <v>82.6</v>
      </c>
      <c r="O229" s="6" t="s">
        <v>688</v>
      </c>
    </row>
    <row r="230" customFormat="false" ht="15" hidden="false" customHeight="false" outlineLevel="0" collapsed="false">
      <c r="A230" s="6" t="n">
        <v>229</v>
      </c>
      <c r="B230" s="6" t="s">
        <v>930</v>
      </c>
      <c r="C230" s="6" t="s">
        <v>714</v>
      </c>
      <c r="D230" s="7" t="n">
        <v>1300</v>
      </c>
      <c r="E230" s="6" t="n">
        <v>16</v>
      </c>
      <c r="F230" s="12" t="n">
        <v>0.13</v>
      </c>
      <c r="G230" s="12" t="n">
        <v>0.22</v>
      </c>
      <c r="H230" s="6" t="s">
        <v>678</v>
      </c>
      <c r="I230" s="6" t="s">
        <v>80</v>
      </c>
      <c r="J230" s="6" t="str">
        <f aca="false">IF(E230&lt;=15,"Very Easy",IF(E230&lt;=25,"Easy",IF(E230&lt;=40,"Medium","Hard")))</f>
        <v>Easy</v>
      </c>
      <c r="K230" s="6" t="s">
        <v>681</v>
      </c>
      <c r="L230" s="13" t="s">
        <v>674</v>
      </c>
      <c r="M230" s="6" t="s">
        <v>675</v>
      </c>
      <c r="N230" s="14" t="n">
        <f aca="false">ROUND(D230/MAX(E230,1),1)</f>
        <v>81.3</v>
      </c>
      <c r="O230" s="6" t="s">
        <v>682</v>
      </c>
    </row>
    <row r="231" customFormat="false" ht="15" hidden="false" customHeight="false" outlineLevel="0" collapsed="false">
      <c r="A231" s="6" t="n">
        <v>230</v>
      </c>
      <c r="B231" s="6" t="s">
        <v>931</v>
      </c>
      <c r="C231" s="6" t="s">
        <v>740</v>
      </c>
      <c r="D231" s="7" t="n">
        <v>1300</v>
      </c>
      <c r="E231" s="6" t="n">
        <v>16</v>
      </c>
      <c r="F231" s="12" t="n">
        <v>0.12</v>
      </c>
      <c r="G231" s="12" t="n">
        <v>0.2</v>
      </c>
      <c r="H231" s="6" t="s">
        <v>678</v>
      </c>
      <c r="I231" s="6" t="s">
        <v>80</v>
      </c>
      <c r="J231" s="6" t="str">
        <f aca="false">IF(E231&lt;=15,"Very Easy",IF(E231&lt;=25,"Easy",IF(E231&lt;=40,"Medium","Hard")))</f>
        <v>Easy</v>
      </c>
      <c r="K231" s="6" t="s">
        <v>681</v>
      </c>
      <c r="L231" s="13" t="s">
        <v>674</v>
      </c>
      <c r="M231" s="6" t="s">
        <v>675</v>
      </c>
      <c r="N231" s="14" t="n">
        <f aca="false">ROUND(D231/MAX(E231,1),1)</f>
        <v>81.3</v>
      </c>
      <c r="O231" s="6" t="s">
        <v>682</v>
      </c>
    </row>
    <row r="232" customFormat="false" ht="15" hidden="false" customHeight="false" outlineLevel="0" collapsed="false">
      <c r="A232" s="6" t="n">
        <v>231</v>
      </c>
      <c r="B232" s="6" t="s">
        <v>932</v>
      </c>
      <c r="C232" s="6" t="s">
        <v>714</v>
      </c>
      <c r="D232" s="7" t="n">
        <v>1300</v>
      </c>
      <c r="E232" s="6" t="n">
        <v>16</v>
      </c>
      <c r="F232" s="12" t="n">
        <v>0.08</v>
      </c>
      <c r="G232" s="12" t="n">
        <v>0.28</v>
      </c>
      <c r="H232" s="6" t="s">
        <v>678</v>
      </c>
      <c r="I232" s="6" t="s">
        <v>80</v>
      </c>
      <c r="J232" s="6" t="str">
        <f aca="false">IF(E232&lt;=15,"Very Easy",IF(E232&lt;=25,"Easy",IF(E232&lt;=40,"Medium","Hard")))</f>
        <v>Easy</v>
      </c>
      <c r="K232" s="6" t="s">
        <v>679</v>
      </c>
      <c r="L232" s="13" t="s">
        <v>674</v>
      </c>
      <c r="M232" s="6" t="s">
        <v>675</v>
      </c>
      <c r="N232" s="14" t="n">
        <f aca="false">ROUND(D232/MAX(E232,1),1)</f>
        <v>81.3</v>
      </c>
      <c r="O232" s="6" t="s">
        <v>682</v>
      </c>
    </row>
    <row r="233" customFormat="false" ht="15" hidden="false" customHeight="false" outlineLevel="0" collapsed="false">
      <c r="A233" s="6" t="n">
        <v>232</v>
      </c>
      <c r="B233" s="6" t="s">
        <v>933</v>
      </c>
      <c r="C233" s="6" t="s">
        <v>231</v>
      </c>
      <c r="D233" s="7" t="n">
        <v>880</v>
      </c>
      <c r="E233" s="6" t="n">
        <v>11</v>
      </c>
      <c r="F233" s="12" t="n">
        <v>0.03</v>
      </c>
      <c r="G233" s="12" t="n">
        <v>0.05</v>
      </c>
      <c r="H233" s="6" t="s">
        <v>693</v>
      </c>
      <c r="I233" s="6" t="s">
        <v>80</v>
      </c>
      <c r="J233" s="6" t="str">
        <f aca="false">IF(E233&lt;=15,"Very Easy",IF(E233&lt;=25,"Easy",IF(E233&lt;=40,"Medium","Hard")))</f>
        <v>Very Easy</v>
      </c>
      <c r="K233" s="6" t="s">
        <v>694</v>
      </c>
      <c r="L233" s="13" t="s">
        <v>674</v>
      </c>
      <c r="M233" s="6" t="s">
        <v>675</v>
      </c>
      <c r="N233" s="14" t="n">
        <f aca="false">ROUND(D233/MAX(E233,1),1)</f>
        <v>80</v>
      </c>
      <c r="O233" s="6" t="s">
        <v>676</v>
      </c>
    </row>
    <row r="234" customFormat="false" ht="15" hidden="false" customHeight="false" outlineLevel="0" collapsed="false">
      <c r="A234" s="6" t="n">
        <v>233</v>
      </c>
      <c r="B234" s="6" t="s">
        <v>934</v>
      </c>
      <c r="C234" s="6" t="s">
        <v>134</v>
      </c>
      <c r="D234" s="7" t="n">
        <v>1000</v>
      </c>
      <c r="E234" s="6" t="n">
        <v>13</v>
      </c>
      <c r="F234" s="12" t="n">
        <v>0.06</v>
      </c>
      <c r="G234" s="12" t="n">
        <v>0.33</v>
      </c>
      <c r="H234" s="6" t="s">
        <v>672</v>
      </c>
      <c r="I234" s="6" t="s">
        <v>80</v>
      </c>
      <c r="J234" s="6" t="str">
        <f aca="false">IF(E234&lt;=15,"Very Easy",IF(E234&lt;=25,"Easy",IF(E234&lt;=40,"Medium","Hard")))</f>
        <v>Very Easy</v>
      </c>
      <c r="K234" s="6" t="s">
        <v>673</v>
      </c>
      <c r="L234" s="13" t="s">
        <v>674</v>
      </c>
      <c r="M234" s="6" t="s">
        <v>675</v>
      </c>
      <c r="N234" s="14" t="n">
        <f aca="false">ROUND(D234/MAX(E234,1),1)</f>
        <v>76.9</v>
      </c>
      <c r="O234" s="6" t="s">
        <v>729</v>
      </c>
    </row>
    <row r="235" customFormat="false" ht="15" hidden="false" customHeight="false" outlineLevel="0" collapsed="false">
      <c r="A235" s="6" t="n">
        <v>234</v>
      </c>
      <c r="B235" s="6" t="s">
        <v>935</v>
      </c>
      <c r="C235" s="6" t="s">
        <v>685</v>
      </c>
      <c r="D235" s="7" t="n">
        <v>1000</v>
      </c>
      <c r="E235" s="6" t="n">
        <v>13</v>
      </c>
      <c r="F235" s="12" t="n">
        <v>0.03</v>
      </c>
      <c r="G235" s="12" t="n">
        <v>0.08</v>
      </c>
      <c r="H235" s="6" t="s">
        <v>678</v>
      </c>
      <c r="I235" s="6" t="s">
        <v>80</v>
      </c>
      <c r="J235" s="6" t="str">
        <f aca="false">IF(E235&lt;=15,"Very Easy",IF(E235&lt;=25,"Easy",IF(E235&lt;=40,"Medium","Hard")))</f>
        <v>Very Easy</v>
      </c>
      <c r="K235" s="6" t="s">
        <v>679</v>
      </c>
      <c r="L235" s="13" t="s">
        <v>674</v>
      </c>
      <c r="M235" s="6" t="s">
        <v>675</v>
      </c>
      <c r="N235" s="14" t="n">
        <f aca="false">ROUND(D235/MAX(E235,1),1)</f>
        <v>76.9</v>
      </c>
      <c r="O235" s="6" t="s">
        <v>682</v>
      </c>
    </row>
    <row r="236" customFormat="false" ht="15" hidden="false" customHeight="false" outlineLevel="0" collapsed="false">
      <c r="A236" s="6" t="n">
        <v>235</v>
      </c>
      <c r="B236" s="6" t="s">
        <v>936</v>
      </c>
      <c r="C236" s="6" t="s">
        <v>685</v>
      </c>
      <c r="D236" s="7" t="n">
        <v>1000</v>
      </c>
      <c r="E236" s="6" t="n">
        <v>13</v>
      </c>
      <c r="F236" s="12" t="n">
        <v>0.04</v>
      </c>
      <c r="G236" s="12" t="n">
        <v>0.06</v>
      </c>
      <c r="H236" s="6" t="s">
        <v>678</v>
      </c>
      <c r="I236" s="6" t="s">
        <v>80</v>
      </c>
      <c r="J236" s="6" t="str">
        <f aca="false">IF(E236&lt;=15,"Very Easy",IF(E236&lt;=25,"Easy",IF(E236&lt;=40,"Medium","Hard")))</f>
        <v>Very Easy</v>
      </c>
      <c r="K236" s="6" t="s">
        <v>679</v>
      </c>
      <c r="L236" s="13" t="s">
        <v>674</v>
      </c>
      <c r="M236" s="6" t="s">
        <v>675</v>
      </c>
      <c r="N236" s="14" t="n">
        <f aca="false">ROUND(D236/MAX(E236,1),1)</f>
        <v>76.9</v>
      </c>
      <c r="O236" s="6" t="s">
        <v>682</v>
      </c>
    </row>
    <row r="237" customFormat="false" ht="15" hidden="false" customHeight="false" outlineLevel="0" collapsed="false">
      <c r="A237" s="6" t="n">
        <v>236</v>
      </c>
      <c r="B237" s="6" t="s">
        <v>937</v>
      </c>
      <c r="C237" s="6" t="s">
        <v>269</v>
      </c>
      <c r="D237" s="7" t="n">
        <v>1300</v>
      </c>
      <c r="E237" s="6" t="n">
        <v>17</v>
      </c>
      <c r="F237" s="12" t="n">
        <v>0.06</v>
      </c>
      <c r="G237" s="12" t="n">
        <v>0.18</v>
      </c>
      <c r="H237" s="6" t="s">
        <v>678</v>
      </c>
      <c r="I237" s="6" t="s">
        <v>80</v>
      </c>
      <c r="J237" s="6" t="str">
        <f aca="false">IF(E237&lt;=15,"Very Easy",IF(E237&lt;=25,"Easy",IF(E237&lt;=40,"Medium","Hard")))</f>
        <v>Easy</v>
      </c>
      <c r="K237" s="6" t="s">
        <v>679</v>
      </c>
      <c r="L237" s="13" t="s">
        <v>674</v>
      </c>
      <c r="M237" s="6" t="s">
        <v>675</v>
      </c>
      <c r="N237" s="14" t="n">
        <f aca="false">ROUND(D237/MAX(E237,1),1)</f>
        <v>76.5</v>
      </c>
      <c r="O237" s="6" t="s">
        <v>682</v>
      </c>
    </row>
    <row r="238" customFormat="false" ht="15" hidden="false" customHeight="false" outlineLevel="0" collapsed="false">
      <c r="A238" s="6" t="n">
        <v>237</v>
      </c>
      <c r="B238" s="6" t="s">
        <v>938</v>
      </c>
      <c r="C238" s="6" t="s">
        <v>269</v>
      </c>
      <c r="D238" s="7" t="n">
        <v>1600</v>
      </c>
      <c r="E238" s="6" t="n">
        <v>21</v>
      </c>
      <c r="F238" s="12" t="n">
        <v>0.08</v>
      </c>
      <c r="G238" s="12" t="n">
        <v>0.15</v>
      </c>
      <c r="H238" s="6" t="s">
        <v>678</v>
      </c>
      <c r="I238" s="6" t="s">
        <v>80</v>
      </c>
      <c r="J238" s="6" t="str">
        <f aca="false">IF(E238&lt;=15,"Very Easy",IF(E238&lt;=25,"Easy",IF(E238&lt;=40,"Medium","Hard")))</f>
        <v>Easy</v>
      </c>
      <c r="K238" s="6" t="s">
        <v>679</v>
      </c>
      <c r="L238" s="13" t="s">
        <v>674</v>
      </c>
      <c r="M238" s="6" t="s">
        <v>675</v>
      </c>
      <c r="N238" s="14" t="n">
        <f aca="false">ROUND(D238/MAX(E238,1),1)</f>
        <v>76.2</v>
      </c>
      <c r="O238" s="6" t="s">
        <v>682</v>
      </c>
    </row>
    <row r="239" customFormat="false" ht="15" hidden="false" customHeight="false" outlineLevel="0" collapsed="false">
      <c r="A239" s="6" t="n">
        <v>238</v>
      </c>
      <c r="B239" s="6" t="s">
        <v>939</v>
      </c>
      <c r="C239" s="6" t="s">
        <v>714</v>
      </c>
      <c r="D239" s="7" t="n">
        <v>1900</v>
      </c>
      <c r="E239" s="6" t="n">
        <v>25</v>
      </c>
      <c r="F239" s="12" t="n">
        <v>0.09</v>
      </c>
      <c r="G239" s="12" t="n">
        <v>0.19</v>
      </c>
      <c r="H239" s="6" t="s">
        <v>678</v>
      </c>
      <c r="I239" s="6" t="s">
        <v>80</v>
      </c>
      <c r="J239" s="6" t="str">
        <f aca="false">IF(E239&lt;=15,"Very Easy",IF(E239&lt;=25,"Easy",IF(E239&lt;=40,"Medium","Hard")))</f>
        <v>Easy</v>
      </c>
      <c r="K239" s="6" t="s">
        <v>679</v>
      </c>
      <c r="L239" s="13" t="s">
        <v>674</v>
      </c>
      <c r="M239" s="6" t="s">
        <v>675</v>
      </c>
      <c r="N239" s="14" t="n">
        <f aca="false">ROUND(D239/MAX(E239,1),1)</f>
        <v>76</v>
      </c>
      <c r="O239" s="6" t="s">
        <v>682</v>
      </c>
    </row>
    <row r="240" customFormat="false" ht="15" hidden="false" customHeight="false" outlineLevel="0" collapsed="false">
      <c r="A240" s="6" t="n">
        <v>239</v>
      </c>
      <c r="B240" s="6" t="s">
        <v>940</v>
      </c>
      <c r="C240" s="6" t="s">
        <v>134</v>
      </c>
      <c r="D240" s="7" t="n">
        <v>590</v>
      </c>
      <c r="E240" s="6" t="n">
        <v>8</v>
      </c>
      <c r="F240" s="12" t="n">
        <v>0.03</v>
      </c>
      <c r="G240" s="12" t="n">
        <v>0.22</v>
      </c>
      <c r="H240" s="6" t="s">
        <v>678</v>
      </c>
      <c r="I240" s="6" t="s">
        <v>80</v>
      </c>
      <c r="J240" s="6" t="str">
        <f aca="false">IF(E240&lt;=15,"Very Easy",IF(E240&lt;=25,"Easy",IF(E240&lt;=40,"Medium","Hard")))</f>
        <v>Very Easy</v>
      </c>
      <c r="K240" s="6" t="s">
        <v>679</v>
      </c>
      <c r="L240" s="13" t="s">
        <v>674</v>
      </c>
      <c r="M240" s="6" t="s">
        <v>675</v>
      </c>
      <c r="N240" s="14" t="n">
        <f aca="false">ROUND(D240/MAX(E240,1),1)</f>
        <v>73.8</v>
      </c>
      <c r="O240" s="6" t="s">
        <v>682</v>
      </c>
    </row>
    <row r="241" customFormat="false" ht="15" hidden="false" customHeight="false" outlineLevel="0" collapsed="false">
      <c r="A241" s="6" t="n">
        <v>240</v>
      </c>
      <c r="B241" s="6" t="s">
        <v>941</v>
      </c>
      <c r="C241" s="6" t="s">
        <v>269</v>
      </c>
      <c r="D241" s="7" t="n">
        <v>880</v>
      </c>
      <c r="E241" s="6" t="n">
        <v>12</v>
      </c>
      <c r="F241" s="12" t="n">
        <v>0.03</v>
      </c>
      <c r="G241" s="12" t="n">
        <v>0.06</v>
      </c>
      <c r="H241" s="6" t="s">
        <v>693</v>
      </c>
      <c r="I241" s="6" t="s">
        <v>80</v>
      </c>
      <c r="J241" s="6" t="str">
        <f aca="false">IF(E241&lt;=15,"Very Easy",IF(E241&lt;=25,"Easy",IF(E241&lt;=40,"Medium","Hard")))</f>
        <v>Very Easy</v>
      </c>
      <c r="K241" s="6" t="s">
        <v>694</v>
      </c>
      <c r="L241" s="13" t="s">
        <v>674</v>
      </c>
      <c r="M241" s="6" t="s">
        <v>675</v>
      </c>
      <c r="N241" s="14" t="n">
        <f aca="false">ROUND(D241/MAX(E241,1),1)</f>
        <v>73.3</v>
      </c>
      <c r="O241" s="6" t="s">
        <v>676</v>
      </c>
    </row>
    <row r="242" customFormat="false" ht="15" hidden="false" customHeight="false" outlineLevel="0" collapsed="false">
      <c r="A242" s="6" t="n">
        <v>241</v>
      </c>
      <c r="B242" s="6" t="s">
        <v>942</v>
      </c>
      <c r="C242" s="6" t="s">
        <v>685</v>
      </c>
      <c r="D242" s="7" t="n">
        <v>2400</v>
      </c>
      <c r="E242" s="6" t="n">
        <v>33</v>
      </c>
      <c r="F242" s="12" t="n">
        <v>0.06</v>
      </c>
      <c r="G242" s="12" t="n">
        <v>0.19</v>
      </c>
      <c r="H242" s="6" t="s">
        <v>686</v>
      </c>
      <c r="I242" s="6" t="s">
        <v>80</v>
      </c>
      <c r="J242" s="6" t="str">
        <f aca="false">IF(E242&lt;=15,"Very Easy",IF(E242&lt;=25,"Easy",IF(E242&lt;=40,"Medium","Hard")))</f>
        <v>Medium</v>
      </c>
      <c r="K242" s="6" t="s">
        <v>687</v>
      </c>
      <c r="L242" s="13" t="s">
        <v>674</v>
      </c>
      <c r="M242" s="6" t="s">
        <v>675</v>
      </c>
      <c r="N242" s="14" t="n">
        <f aca="false">ROUND(D242/MAX(E242,1),1)</f>
        <v>72.7</v>
      </c>
      <c r="O242" s="6" t="s">
        <v>688</v>
      </c>
    </row>
    <row r="243" customFormat="false" ht="15" hidden="false" customHeight="false" outlineLevel="0" collapsed="false">
      <c r="A243" s="6" t="n">
        <v>242</v>
      </c>
      <c r="B243" s="6" t="s">
        <v>943</v>
      </c>
      <c r="C243" s="6" t="s">
        <v>52</v>
      </c>
      <c r="D243" s="7" t="n">
        <v>1600</v>
      </c>
      <c r="E243" s="6" t="n">
        <v>22</v>
      </c>
      <c r="F243" s="12" t="n">
        <v>0.07</v>
      </c>
      <c r="G243" s="12" t="n">
        <v>0.33</v>
      </c>
      <c r="H243" s="6" t="s">
        <v>672</v>
      </c>
      <c r="I243" s="6" t="s">
        <v>80</v>
      </c>
      <c r="J243" s="6" t="str">
        <f aca="false">IF(E243&lt;=15,"Very Easy",IF(E243&lt;=25,"Easy",IF(E243&lt;=40,"Medium","Hard")))</f>
        <v>Easy</v>
      </c>
      <c r="K243" s="6" t="s">
        <v>673</v>
      </c>
      <c r="L243" s="13" t="s">
        <v>674</v>
      </c>
      <c r="M243" s="6" t="s">
        <v>675</v>
      </c>
      <c r="N243" s="14" t="n">
        <f aca="false">ROUND(D243/MAX(E243,1),1)</f>
        <v>72.7</v>
      </c>
      <c r="O243" s="6" t="s">
        <v>745</v>
      </c>
    </row>
    <row r="244" customFormat="false" ht="15" hidden="false" customHeight="false" outlineLevel="0" collapsed="false">
      <c r="A244" s="6" t="n">
        <v>243</v>
      </c>
      <c r="B244" s="6" t="s">
        <v>944</v>
      </c>
      <c r="C244" s="6" t="s">
        <v>685</v>
      </c>
      <c r="D244" s="7" t="n">
        <v>1300</v>
      </c>
      <c r="E244" s="6" t="n">
        <v>18</v>
      </c>
      <c r="F244" s="12" t="n">
        <v>0.06</v>
      </c>
      <c r="G244" s="12" t="n">
        <v>0.09</v>
      </c>
      <c r="H244" s="6" t="s">
        <v>678</v>
      </c>
      <c r="I244" s="6" t="s">
        <v>80</v>
      </c>
      <c r="J244" s="6" t="str">
        <f aca="false">IF(E244&lt;=15,"Very Easy",IF(E244&lt;=25,"Easy",IF(E244&lt;=40,"Medium","Hard")))</f>
        <v>Easy</v>
      </c>
      <c r="K244" s="6" t="s">
        <v>679</v>
      </c>
      <c r="L244" s="13" t="s">
        <v>674</v>
      </c>
      <c r="M244" s="6" t="s">
        <v>675</v>
      </c>
      <c r="N244" s="14" t="n">
        <f aca="false">ROUND(D244/MAX(E244,1),1)</f>
        <v>72.2</v>
      </c>
      <c r="O244" s="6" t="s">
        <v>682</v>
      </c>
    </row>
    <row r="245" customFormat="false" ht="15" hidden="false" customHeight="false" outlineLevel="0" collapsed="false">
      <c r="A245" s="6" t="n">
        <v>244</v>
      </c>
      <c r="B245" s="6" t="s">
        <v>945</v>
      </c>
      <c r="C245" s="6" t="s">
        <v>269</v>
      </c>
      <c r="D245" s="7" t="n">
        <v>720</v>
      </c>
      <c r="E245" s="6" t="n">
        <v>10</v>
      </c>
      <c r="F245" s="12" t="n">
        <v>0.07</v>
      </c>
      <c r="G245" s="12" t="n">
        <v>0.07</v>
      </c>
      <c r="H245" s="6" t="s">
        <v>693</v>
      </c>
      <c r="I245" s="6" t="s">
        <v>80</v>
      </c>
      <c r="J245" s="6" t="str">
        <f aca="false">IF(E245&lt;=15,"Very Easy",IF(E245&lt;=25,"Easy",IF(E245&lt;=40,"Medium","Hard")))</f>
        <v>Very Easy</v>
      </c>
      <c r="K245" s="6" t="s">
        <v>694</v>
      </c>
      <c r="L245" s="13" t="s">
        <v>674</v>
      </c>
      <c r="M245" s="6" t="s">
        <v>675</v>
      </c>
      <c r="N245" s="14" t="n">
        <f aca="false">ROUND(D245/MAX(E245,1),1)</f>
        <v>72</v>
      </c>
      <c r="O245" s="6" t="s">
        <v>676</v>
      </c>
    </row>
    <row r="246" customFormat="false" ht="15" hidden="false" customHeight="false" outlineLevel="0" collapsed="false">
      <c r="A246" s="6" t="n">
        <v>245</v>
      </c>
      <c r="B246" s="6" t="s">
        <v>946</v>
      </c>
      <c r="C246" s="6" t="s">
        <v>269</v>
      </c>
      <c r="D246" s="7" t="n">
        <v>1000</v>
      </c>
      <c r="E246" s="6" t="n">
        <v>14</v>
      </c>
      <c r="F246" s="12" t="n">
        <v>0.18</v>
      </c>
      <c r="G246" s="12" t="n">
        <v>0.02</v>
      </c>
      <c r="H246" s="6" t="s">
        <v>678</v>
      </c>
      <c r="I246" s="6" t="s">
        <v>80</v>
      </c>
      <c r="J246" s="6" t="str">
        <f aca="false">IF(E246&lt;=15,"Very Easy",IF(E246&lt;=25,"Easy",IF(E246&lt;=40,"Medium","Hard")))</f>
        <v>Very Easy</v>
      </c>
      <c r="K246" s="6" t="s">
        <v>681</v>
      </c>
      <c r="L246" s="13" t="s">
        <v>674</v>
      </c>
      <c r="M246" s="6" t="s">
        <v>675</v>
      </c>
      <c r="N246" s="14" t="n">
        <f aca="false">ROUND(D246/MAX(E246,1),1)</f>
        <v>71.4</v>
      </c>
      <c r="O246" s="6" t="s">
        <v>682</v>
      </c>
    </row>
    <row r="247" customFormat="false" ht="15" hidden="false" customHeight="false" outlineLevel="0" collapsed="false">
      <c r="A247" s="6" t="n">
        <v>246</v>
      </c>
      <c r="B247" s="6" t="s">
        <v>947</v>
      </c>
      <c r="C247" s="6" t="s">
        <v>269</v>
      </c>
      <c r="D247" s="7" t="n">
        <v>1000</v>
      </c>
      <c r="E247" s="6" t="n">
        <v>14</v>
      </c>
      <c r="F247" s="12" t="n">
        <v>0.07</v>
      </c>
      <c r="G247" s="12" t="n">
        <v>0.1</v>
      </c>
      <c r="H247" s="6" t="s">
        <v>678</v>
      </c>
      <c r="I247" s="6" t="s">
        <v>80</v>
      </c>
      <c r="J247" s="6" t="str">
        <f aca="false">IF(E247&lt;=15,"Very Easy",IF(E247&lt;=25,"Easy",IF(E247&lt;=40,"Medium","Hard")))</f>
        <v>Very Easy</v>
      </c>
      <c r="K247" s="6" t="s">
        <v>679</v>
      </c>
      <c r="L247" s="13" t="s">
        <v>674</v>
      </c>
      <c r="M247" s="6" t="s">
        <v>675</v>
      </c>
      <c r="N247" s="14" t="n">
        <f aca="false">ROUND(D247/MAX(E247,1),1)</f>
        <v>71.4</v>
      </c>
      <c r="O247" s="6" t="s">
        <v>682</v>
      </c>
    </row>
    <row r="248" customFormat="false" ht="15" hidden="false" customHeight="false" outlineLevel="0" collapsed="false">
      <c r="A248" s="6" t="n">
        <v>247</v>
      </c>
      <c r="B248" s="6" t="s">
        <v>948</v>
      </c>
      <c r="C248" s="6" t="s">
        <v>231</v>
      </c>
      <c r="D248" s="7" t="n">
        <v>880</v>
      </c>
      <c r="E248" s="6" t="n">
        <v>13</v>
      </c>
      <c r="F248" s="12" t="n">
        <v>0.07</v>
      </c>
      <c r="G248" s="12" t="n">
        <v>0.05</v>
      </c>
      <c r="H248" s="6" t="s">
        <v>678</v>
      </c>
      <c r="I248" s="6" t="s">
        <v>80</v>
      </c>
      <c r="J248" s="6" t="str">
        <f aca="false">IF(E248&lt;=15,"Very Easy",IF(E248&lt;=25,"Easy",IF(E248&lt;=40,"Medium","Hard")))</f>
        <v>Very Easy</v>
      </c>
      <c r="K248" s="6" t="s">
        <v>679</v>
      </c>
      <c r="L248" s="13" t="s">
        <v>674</v>
      </c>
      <c r="M248" s="6" t="s">
        <v>675</v>
      </c>
      <c r="N248" s="14" t="n">
        <f aca="false">ROUND(D248/MAX(E248,1),1)</f>
        <v>67.7</v>
      </c>
      <c r="O248" s="6" t="s">
        <v>682</v>
      </c>
    </row>
    <row r="249" customFormat="false" ht="15" hidden="false" customHeight="false" outlineLevel="0" collapsed="false">
      <c r="A249" s="6" t="n">
        <v>248</v>
      </c>
      <c r="B249" s="6" t="s">
        <v>949</v>
      </c>
      <c r="C249" s="6" t="s">
        <v>114</v>
      </c>
      <c r="D249" s="7" t="n">
        <v>880</v>
      </c>
      <c r="E249" s="6" t="n">
        <v>13</v>
      </c>
      <c r="F249" s="12" t="n">
        <v>0.03</v>
      </c>
      <c r="G249" s="12" t="n">
        <v>0.09</v>
      </c>
      <c r="H249" s="6" t="s">
        <v>678</v>
      </c>
      <c r="I249" s="6" t="s">
        <v>80</v>
      </c>
      <c r="J249" s="6" t="str">
        <f aca="false">IF(E249&lt;=15,"Very Easy",IF(E249&lt;=25,"Easy",IF(E249&lt;=40,"Medium","Hard")))</f>
        <v>Very Easy</v>
      </c>
      <c r="K249" s="6" t="s">
        <v>679</v>
      </c>
      <c r="L249" s="13" t="s">
        <v>674</v>
      </c>
      <c r="M249" s="6" t="s">
        <v>675</v>
      </c>
      <c r="N249" s="14" t="n">
        <f aca="false">ROUND(D249/MAX(E249,1),1)</f>
        <v>67.7</v>
      </c>
      <c r="O249" s="6" t="s">
        <v>682</v>
      </c>
    </row>
    <row r="250" customFormat="false" ht="15" hidden="false" customHeight="false" outlineLevel="0" collapsed="false">
      <c r="A250" s="6" t="n">
        <v>249</v>
      </c>
      <c r="B250" s="6" t="s">
        <v>950</v>
      </c>
      <c r="C250" s="6" t="s">
        <v>231</v>
      </c>
      <c r="D250" s="7" t="n">
        <v>1000</v>
      </c>
      <c r="E250" s="6" t="n">
        <v>15</v>
      </c>
      <c r="F250" s="12" t="n">
        <v>0.08</v>
      </c>
      <c r="G250" s="12" t="n">
        <v>0.03</v>
      </c>
      <c r="H250" s="6" t="s">
        <v>672</v>
      </c>
      <c r="I250" s="6" t="s">
        <v>80</v>
      </c>
      <c r="J250" s="6" t="str">
        <f aca="false">IF(E250&lt;=15,"Very Easy",IF(E250&lt;=25,"Easy",IF(E250&lt;=40,"Medium","Hard")))</f>
        <v>Very Easy</v>
      </c>
      <c r="K250" s="6" t="s">
        <v>673</v>
      </c>
      <c r="L250" s="13" t="s">
        <v>674</v>
      </c>
      <c r="M250" s="6" t="s">
        <v>675</v>
      </c>
      <c r="N250" s="14" t="n">
        <f aca="false">ROUND(D250/MAX(E250,1),1)</f>
        <v>66.7</v>
      </c>
      <c r="O250" s="6" t="s">
        <v>676</v>
      </c>
    </row>
    <row r="251" customFormat="false" ht="15" hidden="false" customHeight="false" outlineLevel="0" collapsed="false">
      <c r="A251" s="6" t="n">
        <v>250</v>
      </c>
      <c r="B251" s="6" t="s">
        <v>951</v>
      </c>
      <c r="C251" s="6" t="s">
        <v>231</v>
      </c>
      <c r="D251" s="7" t="n">
        <v>1000</v>
      </c>
      <c r="E251" s="6" t="n">
        <v>15</v>
      </c>
      <c r="F251" s="12" t="n">
        <v>0.09</v>
      </c>
      <c r="G251" s="12" t="n">
        <v>0.08</v>
      </c>
      <c r="H251" s="6" t="s">
        <v>678</v>
      </c>
      <c r="I251" s="6" t="s">
        <v>80</v>
      </c>
      <c r="J251" s="6" t="str">
        <f aca="false">IF(E251&lt;=15,"Very Easy",IF(E251&lt;=25,"Easy",IF(E251&lt;=40,"Medium","Hard")))</f>
        <v>Very Easy</v>
      </c>
      <c r="K251" s="6" t="s">
        <v>679</v>
      </c>
      <c r="L251" s="13" t="s">
        <v>674</v>
      </c>
      <c r="M251" s="6" t="s">
        <v>675</v>
      </c>
      <c r="N251" s="14" t="n">
        <f aca="false">ROUND(D251/MAX(E251,1),1)</f>
        <v>66.7</v>
      </c>
      <c r="O251" s="6" t="s">
        <v>682</v>
      </c>
    </row>
    <row r="252" customFormat="false" ht="15" hidden="false" customHeight="false" outlineLevel="0" collapsed="false">
      <c r="A252" s="6" t="n">
        <v>251</v>
      </c>
      <c r="B252" s="6" t="s">
        <v>952</v>
      </c>
      <c r="C252" s="6" t="s">
        <v>231</v>
      </c>
      <c r="D252" s="7" t="n">
        <v>1300</v>
      </c>
      <c r="E252" s="6" t="n">
        <v>20</v>
      </c>
      <c r="F252" s="12" t="n">
        <v>0.12</v>
      </c>
      <c r="G252" s="12" t="n">
        <v>0.05</v>
      </c>
      <c r="H252" s="6" t="s">
        <v>678</v>
      </c>
      <c r="I252" s="6" t="s">
        <v>80</v>
      </c>
      <c r="J252" s="6" t="str">
        <f aca="false">IF(E252&lt;=15,"Very Easy",IF(E252&lt;=25,"Easy",IF(E252&lt;=40,"Medium","Hard")))</f>
        <v>Easy</v>
      </c>
      <c r="K252" s="6" t="s">
        <v>681</v>
      </c>
      <c r="L252" s="13" t="s">
        <v>674</v>
      </c>
      <c r="M252" s="6" t="s">
        <v>675</v>
      </c>
      <c r="N252" s="14" t="n">
        <f aca="false">ROUND(D252/MAX(E252,1),1)</f>
        <v>65</v>
      </c>
      <c r="O252" s="6" t="s">
        <v>682</v>
      </c>
    </row>
    <row r="253" customFormat="false" ht="15" hidden="false" customHeight="false" outlineLevel="0" collapsed="false">
      <c r="A253" s="6" t="n">
        <v>252</v>
      </c>
      <c r="B253" s="6" t="s">
        <v>953</v>
      </c>
      <c r="C253" s="6" t="s">
        <v>247</v>
      </c>
      <c r="D253" s="7" t="n">
        <v>1600</v>
      </c>
      <c r="E253" s="6" t="n">
        <v>25</v>
      </c>
      <c r="F253" s="12" t="n">
        <v>0.06</v>
      </c>
      <c r="G253" s="12" t="n">
        <v>0.09</v>
      </c>
      <c r="H253" s="6" t="s">
        <v>678</v>
      </c>
      <c r="I253" s="6" t="s">
        <v>80</v>
      </c>
      <c r="J253" s="6" t="str">
        <f aca="false">IF(E253&lt;=15,"Very Easy",IF(E253&lt;=25,"Easy",IF(E253&lt;=40,"Medium","Hard")))</f>
        <v>Easy</v>
      </c>
      <c r="K253" s="6" t="s">
        <v>679</v>
      </c>
      <c r="L253" s="13" t="s">
        <v>674</v>
      </c>
      <c r="M253" s="6" t="s">
        <v>675</v>
      </c>
      <c r="N253" s="14" t="n">
        <f aca="false">ROUND(D253/MAX(E253,1),1)</f>
        <v>64</v>
      </c>
      <c r="O253" s="6" t="s">
        <v>682</v>
      </c>
    </row>
    <row r="254" customFormat="false" ht="15" hidden="false" customHeight="false" outlineLevel="0" collapsed="false">
      <c r="A254" s="6" t="n">
        <v>253</v>
      </c>
      <c r="B254" s="6" t="s">
        <v>954</v>
      </c>
      <c r="C254" s="6" t="s">
        <v>134</v>
      </c>
      <c r="D254" s="7" t="n">
        <v>880</v>
      </c>
      <c r="E254" s="6" t="n">
        <v>14</v>
      </c>
      <c r="F254" s="12" t="n">
        <v>0.05</v>
      </c>
      <c r="G254" s="12" t="n">
        <v>0.27</v>
      </c>
      <c r="H254" s="6" t="s">
        <v>672</v>
      </c>
      <c r="I254" s="6" t="s">
        <v>80</v>
      </c>
      <c r="J254" s="6" t="str">
        <f aca="false">IF(E254&lt;=15,"Very Easy",IF(E254&lt;=25,"Easy",IF(E254&lt;=40,"Medium","Hard")))</f>
        <v>Very Easy</v>
      </c>
      <c r="K254" s="6" t="s">
        <v>673</v>
      </c>
      <c r="L254" s="13" t="s">
        <v>674</v>
      </c>
      <c r="M254" s="6" t="s">
        <v>675</v>
      </c>
      <c r="N254" s="14" t="n">
        <f aca="false">ROUND(D254/MAX(E254,1),1)</f>
        <v>62.9</v>
      </c>
      <c r="O254" s="6" t="s">
        <v>729</v>
      </c>
    </row>
    <row r="255" customFormat="false" ht="15" hidden="false" customHeight="false" outlineLevel="0" collapsed="false">
      <c r="A255" s="6" t="n">
        <v>254</v>
      </c>
      <c r="B255" s="6" t="s">
        <v>955</v>
      </c>
      <c r="C255" s="6" t="s">
        <v>685</v>
      </c>
      <c r="D255" s="7" t="n">
        <v>1300</v>
      </c>
      <c r="E255" s="6" t="n">
        <v>21</v>
      </c>
      <c r="F255" s="12" t="n">
        <v>0.06</v>
      </c>
      <c r="G255" s="12" t="n">
        <v>0.06</v>
      </c>
      <c r="H255" s="6" t="s">
        <v>678</v>
      </c>
      <c r="I255" s="6" t="s">
        <v>80</v>
      </c>
      <c r="J255" s="6" t="str">
        <f aca="false">IF(E255&lt;=15,"Very Easy",IF(E255&lt;=25,"Easy",IF(E255&lt;=40,"Medium","Hard")))</f>
        <v>Easy</v>
      </c>
      <c r="K255" s="6" t="s">
        <v>679</v>
      </c>
      <c r="L255" s="13" t="s">
        <v>674</v>
      </c>
      <c r="M255" s="6" t="s">
        <v>675</v>
      </c>
      <c r="N255" s="14" t="n">
        <f aca="false">ROUND(D255/MAX(E255,1),1)</f>
        <v>61.9</v>
      </c>
      <c r="O255" s="6" t="s">
        <v>682</v>
      </c>
    </row>
    <row r="256" customFormat="false" ht="15" hidden="false" customHeight="false" outlineLevel="0" collapsed="false">
      <c r="A256" s="6" t="n">
        <v>255</v>
      </c>
      <c r="B256" s="6" t="s">
        <v>956</v>
      </c>
      <c r="C256" s="6" t="s">
        <v>957</v>
      </c>
      <c r="D256" s="7" t="n">
        <v>1900</v>
      </c>
      <c r="E256" s="6" t="n">
        <v>31</v>
      </c>
      <c r="F256" s="12" t="n">
        <v>0.1</v>
      </c>
      <c r="G256" s="12" t="n">
        <v>0.11</v>
      </c>
      <c r="H256" s="6" t="s">
        <v>678</v>
      </c>
      <c r="I256" s="6" t="s">
        <v>80</v>
      </c>
      <c r="J256" s="6" t="str">
        <f aca="false">IF(E256&lt;=15,"Very Easy",IF(E256&lt;=25,"Easy",IF(E256&lt;=40,"Medium","Hard")))</f>
        <v>Medium</v>
      </c>
      <c r="K256" s="6" t="s">
        <v>681</v>
      </c>
      <c r="L256" s="13" t="s">
        <v>674</v>
      </c>
      <c r="M256" s="6" t="s">
        <v>675</v>
      </c>
      <c r="N256" s="14" t="n">
        <f aca="false">ROUND(D256/MAX(E256,1),1)</f>
        <v>61.3</v>
      </c>
      <c r="O256" s="6" t="s">
        <v>682</v>
      </c>
    </row>
    <row r="257" customFormat="false" ht="15" hidden="false" customHeight="false" outlineLevel="0" collapsed="false">
      <c r="A257" s="6" t="n">
        <v>256</v>
      </c>
      <c r="B257" s="6" t="s">
        <v>958</v>
      </c>
      <c r="C257" s="6" t="s">
        <v>231</v>
      </c>
      <c r="D257" s="7" t="n">
        <v>720</v>
      </c>
      <c r="E257" s="6" t="n">
        <v>12</v>
      </c>
      <c r="F257" s="12" t="n">
        <v>0.14</v>
      </c>
      <c r="G257" s="12" t="n">
        <v>0.03</v>
      </c>
      <c r="H257" s="6" t="s">
        <v>678</v>
      </c>
      <c r="I257" s="6" t="s">
        <v>80</v>
      </c>
      <c r="J257" s="6" t="str">
        <f aca="false">IF(E257&lt;=15,"Very Easy",IF(E257&lt;=25,"Easy",IF(E257&lt;=40,"Medium","Hard")))</f>
        <v>Very Easy</v>
      </c>
      <c r="K257" s="6" t="s">
        <v>681</v>
      </c>
      <c r="L257" s="13" t="s">
        <v>674</v>
      </c>
      <c r="M257" s="6" t="s">
        <v>675</v>
      </c>
      <c r="N257" s="14" t="n">
        <f aca="false">ROUND(D257/MAX(E257,1),1)</f>
        <v>60</v>
      </c>
      <c r="O257" s="6" t="s">
        <v>682</v>
      </c>
    </row>
    <row r="258" customFormat="false" ht="15" hidden="false" customHeight="false" outlineLevel="0" collapsed="false">
      <c r="A258" s="6" t="n">
        <v>257</v>
      </c>
      <c r="B258" s="6" t="s">
        <v>959</v>
      </c>
      <c r="C258" s="6" t="s">
        <v>114</v>
      </c>
      <c r="D258" s="7" t="n">
        <v>1600</v>
      </c>
      <c r="E258" s="6" t="n">
        <v>27</v>
      </c>
      <c r="F258" s="12" t="n">
        <v>0.06</v>
      </c>
      <c r="G258" s="12" t="n">
        <v>0.05</v>
      </c>
      <c r="H258" s="6" t="s">
        <v>678</v>
      </c>
      <c r="I258" s="6" t="s">
        <v>80</v>
      </c>
      <c r="J258" s="6" t="str">
        <f aca="false">IF(E258&lt;=15,"Very Easy",IF(E258&lt;=25,"Easy",IF(E258&lt;=40,"Medium","Hard")))</f>
        <v>Medium</v>
      </c>
      <c r="K258" s="6" t="s">
        <v>679</v>
      </c>
      <c r="L258" s="13" t="s">
        <v>674</v>
      </c>
      <c r="M258" s="6" t="s">
        <v>675</v>
      </c>
      <c r="N258" s="14" t="n">
        <f aca="false">ROUND(D258/MAX(E258,1),1)</f>
        <v>59.3</v>
      </c>
      <c r="O258" s="6" t="s">
        <v>682</v>
      </c>
    </row>
    <row r="259" customFormat="false" ht="15" hidden="false" customHeight="false" outlineLevel="0" collapsed="false">
      <c r="A259" s="6" t="n">
        <v>258</v>
      </c>
      <c r="B259" s="6" t="s">
        <v>960</v>
      </c>
      <c r="C259" s="6" t="s">
        <v>685</v>
      </c>
      <c r="D259" s="7" t="n">
        <v>1600</v>
      </c>
      <c r="E259" s="6" t="n">
        <v>27</v>
      </c>
      <c r="F259" s="12" t="n">
        <v>0.08</v>
      </c>
      <c r="G259" s="12" t="n">
        <v>0.1</v>
      </c>
      <c r="H259" s="6" t="s">
        <v>733</v>
      </c>
      <c r="I259" s="6" t="s">
        <v>80</v>
      </c>
      <c r="J259" s="6" t="str">
        <f aca="false">IF(E259&lt;=15,"Very Easy",IF(E259&lt;=25,"Easy",IF(E259&lt;=40,"Medium","Hard")))</f>
        <v>Medium</v>
      </c>
      <c r="K259" s="6" t="s">
        <v>679</v>
      </c>
      <c r="L259" s="13" t="s">
        <v>674</v>
      </c>
      <c r="M259" s="6" t="s">
        <v>675</v>
      </c>
      <c r="N259" s="14" t="n">
        <f aca="false">ROUND(D259/MAX(E259,1),1)</f>
        <v>59.3</v>
      </c>
      <c r="O259" s="6" t="s">
        <v>682</v>
      </c>
    </row>
    <row r="260" customFormat="false" ht="15" hidden="false" customHeight="false" outlineLevel="0" collapsed="false">
      <c r="A260" s="6" t="n">
        <v>259</v>
      </c>
      <c r="B260" s="6" t="s">
        <v>961</v>
      </c>
      <c r="C260" s="6" t="s">
        <v>231</v>
      </c>
      <c r="D260" s="7" t="n">
        <v>1000</v>
      </c>
      <c r="E260" s="6" t="n">
        <v>17</v>
      </c>
      <c r="F260" s="12" t="n">
        <v>0.12</v>
      </c>
      <c r="G260" s="12" t="n">
        <v>0.11</v>
      </c>
      <c r="H260" s="6" t="s">
        <v>678</v>
      </c>
      <c r="I260" s="6" t="s">
        <v>80</v>
      </c>
      <c r="J260" s="6" t="str">
        <f aca="false">IF(E260&lt;=15,"Very Easy",IF(E260&lt;=25,"Easy",IF(E260&lt;=40,"Medium","Hard")))</f>
        <v>Easy</v>
      </c>
      <c r="K260" s="6" t="s">
        <v>681</v>
      </c>
      <c r="L260" s="13" t="s">
        <v>674</v>
      </c>
      <c r="M260" s="6" t="s">
        <v>675</v>
      </c>
      <c r="N260" s="14" t="n">
        <f aca="false">ROUND(D260/MAX(E260,1),1)</f>
        <v>58.8</v>
      </c>
      <c r="O260" s="6" t="s">
        <v>682</v>
      </c>
    </row>
    <row r="261" customFormat="false" ht="15" hidden="false" customHeight="false" outlineLevel="0" collapsed="false">
      <c r="A261" s="6" t="n">
        <v>260</v>
      </c>
      <c r="B261" s="6" t="s">
        <v>962</v>
      </c>
      <c r="C261" s="6" t="s">
        <v>134</v>
      </c>
      <c r="D261" s="7" t="n">
        <v>1000</v>
      </c>
      <c r="E261" s="6" t="n">
        <v>17</v>
      </c>
      <c r="F261" s="12" t="n">
        <v>0</v>
      </c>
      <c r="G261" s="12" t="n">
        <v>0</v>
      </c>
      <c r="H261" s="6" t="s">
        <v>678</v>
      </c>
      <c r="I261" s="6" t="s">
        <v>80</v>
      </c>
      <c r="J261" s="6" t="str">
        <f aca="false">IF(E261&lt;=15,"Very Easy",IF(E261&lt;=25,"Easy",IF(E261&lt;=40,"Medium","Hard")))</f>
        <v>Easy</v>
      </c>
      <c r="K261" s="6" t="s">
        <v>679</v>
      </c>
      <c r="L261" s="13" t="s">
        <v>674</v>
      </c>
      <c r="M261" s="6" t="s">
        <v>675</v>
      </c>
      <c r="N261" s="14" t="n">
        <f aca="false">ROUND(D261/MAX(E261,1),1)</f>
        <v>58.8</v>
      </c>
      <c r="O261" s="6" t="s">
        <v>682</v>
      </c>
    </row>
    <row r="262" customFormat="false" ht="15" hidden="false" customHeight="false" outlineLevel="0" collapsed="false">
      <c r="A262" s="6" t="n">
        <v>261</v>
      </c>
      <c r="B262" s="6" t="s">
        <v>963</v>
      </c>
      <c r="C262" s="6" t="s">
        <v>114</v>
      </c>
      <c r="D262" s="7" t="n">
        <v>1000</v>
      </c>
      <c r="E262" s="6" t="n">
        <v>17</v>
      </c>
      <c r="F262" s="12" t="n">
        <v>0.02</v>
      </c>
      <c r="G262" s="12" t="n">
        <v>0.23</v>
      </c>
      <c r="H262" s="6" t="s">
        <v>690</v>
      </c>
      <c r="I262" s="6" t="s">
        <v>80</v>
      </c>
      <c r="J262" s="6" t="str">
        <f aca="false">IF(E262&lt;=15,"Very Easy",IF(E262&lt;=25,"Easy",IF(E262&lt;=40,"Medium","Hard")))</f>
        <v>Easy</v>
      </c>
      <c r="K262" s="6" t="s">
        <v>679</v>
      </c>
      <c r="L262" s="13" t="s">
        <v>674</v>
      </c>
      <c r="M262" s="6" t="s">
        <v>675</v>
      </c>
      <c r="N262" s="14" t="n">
        <f aca="false">ROUND(D262/MAX(E262,1),1)</f>
        <v>58.8</v>
      </c>
      <c r="O262" s="6" t="s">
        <v>682</v>
      </c>
    </row>
    <row r="263" customFormat="false" ht="15" hidden="false" customHeight="false" outlineLevel="0" collapsed="false">
      <c r="A263" s="6" t="n">
        <v>262</v>
      </c>
      <c r="B263" s="6" t="s">
        <v>964</v>
      </c>
      <c r="C263" s="6" t="s">
        <v>231</v>
      </c>
      <c r="D263" s="7" t="n">
        <v>880</v>
      </c>
      <c r="E263" s="6" t="n">
        <v>15</v>
      </c>
      <c r="F263" s="12" t="n">
        <v>0.09</v>
      </c>
      <c r="G263" s="12" t="n">
        <v>0.18</v>
      </c>
      <c r="H263" s="6" t="s">
        <v>672</v>
      </c>
      <c r="I263" s="6" t="s">
        <v>80</v>
      </c>
      <c r="J263" s="6" t="str">
        <f aca="false">IF(E263&lt;=15,"Very Easy",IF(E263&lt;=25,"Easy",IF(E263&lt;=40,"Medium","Hard")))</f>
        <v>Very Easy</v>
      </c>
      <c r="K263" s="6" t="s">
        <v>673</v>
      </c>
      <c r="L263" s="13" t="s">
        <v>674</v>
      </c>
      <c r="M263" s="6" t="s">
        <v>675</v>
      </c>
      <c r="N263" s="14" t="n">
        <f aca="false">ROUND(D263/MAX(E263,1),1)</f>
        <v>58.7</v>
      </c>
      <c r="O263" s="6" t="s">
        <v>729</v>
      </c>
    </row>
    <row r="264" customFormat="false" ht="15" hidden="false" customHeight="false" outlineLevel="0" collapsed="false">
      <c r="A264" s="6" t="n">
        <v>263</v>
      </c>
      <c r="B264" s="6" t="s">
        <v>965</v>
      </c>
      <c r="C264" s="6" t="s">
        <v>579</v>
      </c>
      <c r="D264" s="7" t="n">
        <v>390</v>
      </c>
      <c r="E264" s="6" t="n">
        <v>7</v>
      </c>
      <c r="F264" s="12" t="n">
        <v>0.14</v>
      </c>
      <c r="G264" s="12" t="n">
        <v>0.36</v>
      </c>
      <c r="H264" s="6" t="s">
        <v>678</v>
      </c>
      <c r="I264" s="6" t="s">
        <v>80</v>
      </c>
      <c r="J264" s="6" t="str">
        <f aca="false">IF(E264&lt;=15,"Very Easy",IF(E264&lt;=25,"Easy",IF(E264&lt;=40,"Medium","Hard")))</f>
        <v>Very Easy</v>
      </c>
      <c r="K264" s="6" t="s">
        <v>681</v>
      </c>
      <c r="L264" s="13" t="s">
        <v>674</v>
      </c>
      <c r="M264" s="6" t="s">
        <v>675</v>
      </c>
      <c r="N264" s="14" t="n">
        <f aca="false">ROUND(D264/MAX(E264,1),1)</f>
        <v>55.7</v>
      </c>
      <c r="O264" s="6" t="s">
        <v>682</v>
      </c>
    </row>
    <row r="265" customFormat="false" ht="15" hidden="false" customHeight="false" outlineLevel="0" collapsed="false">
      <c r="A265" s="6" t="n">
        <v>264</v>
      </c>
      <c r="B265" s="6" t="s">
        <v>966</v>
      </c>
      <c r="C265" s="6" t="s">
        <v>231</v>
      </c>
      <c r="D265" s="7" t="n">
        <v>1000</v>
      </c>
      <c r="E265" s="6" t="n">
        <v>18</v>
      </c>
      <c r="F265" s="12" t="n">
        <v>0.06</v>
      </c>
      <c r="G265" s="12" t="n">
        <v>0.11</v>
      </c>
      <c r="H265" s="6" t="s">
        <v>733</v>
      </c>
      <c r="I265" s="6" t="s">
        <v>80</v>
      </c>
      <c r="J265" s="6" t="str">
        <f aca="false">IF(E265&lt;=15,"Very Easy",IF(E265&lt;=25,"Easy",IF(E265&lt;=40,"Medium","Hard")))</f>
        <v>Easy</v>
      </c>
      <c r="K265" s="6" t="s">
        <v>679</v>
      </c>
      <c r="L265" s="13" t="s">
        <v>674</v>
      </c>
      <c r="M265" s="6" t="s">
        <v>675</v>
      </c>
      <c r="N265" s="14" t="n">
        <f aca="false">ROUND(D265/MAX(E265,1),1)</f>
        <v>55.6</v>
      </c>
      <c r="O265" s="6" t="s">
        <v>682</v>
      </c>
    </row>
    <row r="266" customFormat="false" ht="15" hidden="false" customHeight="false" outlineLevel="0" collapsed="false">
      <c r="A266" s="6" t="n">
        <v>265</v>
      </c>
      <c r="B266" s="6" t="s">
        <v>967</v>
      </c>
      <c r="C266" s="6" t="s">
        <v>231</v>
      </c>
      <c r="D266" s="7" t="n">
        <v>720</v>
      </c>
      <c r="E266" s="6" t="n">
        <v>13</v>
      </c>
      <c r="F266" s="12" t="n">
        <v>0.04</v>
      </c>
      <c r="G266" s="12" t="n">
        <v>0.13</v>
      </c>
      <c r="H266" s="6" t="s">
        <v>678</v>
      </c>
      <c r="I266" s="6" t="s">
        <v>80</v>
      </c>
      <c r="J266" s="6" t="str">
        <f aca="false">IF(E266&lt;=15,"Very Easy",IF(E266&lt;=25,"Easy",IF(E266&lt;=40,"Medium","Hard")))</f>
        <v>Very Easy</v>
      </c>
      <c r="K266" s="6" t="s">
        <v>679</v>
      </c>
      <c r="L266" s="13" t="s">
        <v>674</v>
      </c>
      <c r="M266" s="6" t="s">
        <v>675</v>
      </c>
      <c r="N266" s="14" t="n">
        <f aca="false">ROUND(D266/MAX(E266,1),1)</f>
        <v>55.4</v>
      </c>
      <c r="O266" s="6" t="s">
        <v>682</v>
      </c>
    </row>
    <row r="267" customFormat="false" ht="15" hidden="false" customHeight="false" outlineLevel="0" collapsed="false">
      <c r="A267" s="6" t="n">
        <v>266</v>
      </c>
      <c r="B267" s="6" t="s">
        <v>968</v>
      </c>
      <c r="C267" s="6" t="s">
        <v>231</v>
      </c>
      <c r="D267" s="7" t="n">
        <v>720</v>
      </c>
      <c r="E267" s="6" t="n">
        <v>13</v>
      </c>
      <c r="F267" s="12" t="n">
        <v>0.04</v>
      </c>
      <c r="G267" s="12" t="n">
        <v>0.03</v>
      </c>
      <c r="H267" s="6" t="s">
        <v>678</v>
      </c>
      <c r="I267" s="6" t="s">
        <v>80</v>
      </c>
      <c r="J267" s="6" t="str">
        <f aca="false">IF(E267&lt;=15,"Very Easy",IF(E267&lt;=25,"Easy",IF(E267&lt;=40,"Medium","Hard")))</f>
        <v>Very Easy</v>
      </c>
      <c r="K267" s="6" t="s">
        <v>679</v>
      </c>
      <c r="L267" s="13" t="s">
        <v>674</v>
      </c>
      <c r="M267" s="6" t="s">
        <v>675</v>
      </c>
      <c r="N267" s="14" t="n">
        <f aca="false">ROUND(D267/MAX(E267,1),1)</f>
        <v>55.4</v>
      </c>
      <c r="O267" s="6" t="s">
        <v>806</v>
      </c>
    </row>
    <row r="268" customFormat="false" ht="15" hidden="false" customHeight="false" outlineLevel="0" collapsed="false">
      <c r="A268" s="6" t="n">
        <v>267</v>
      </c>
      <c r="B268" s="6" t="s">
        <v>969</v>
      </c>
      <c r="C268" s="6" t="s">
        <v>134</v>
      </c>
      <c r="D268" s="7" t="n">
        <v>720</v>
      </c>
      <c r="E268" s="6" t="n">
        <v>13</v>
      </c>
      <c r="F268" s="12" t="n">
        <v>0.06</v>
      </c>
      <c r="G268" s="12" t="n">
        <v>0.06</v>
      </c>
      <c r="H268" s="6" t="s">
        <v>678</v>
      </c>
      <c r="I268" s="6" t="s">
        <v>80</v>
      </c>
      <c r="J268" s="6" t="str">
        <f aca="false">IF(E268&lt;=15,"Very Easy",IF(E268&lt;=25,"Easy",IF(E268&lt;=40,"Medium","Hard")))</f>
        <v>Very Easy</v>
      </c>
      <c r="K268" s="6" t="s">
        <v>679</v>
      </c>
      <c r="L268" s="13" t="s">
        <v>674</v>
      </c>
      <c r="M268" s="6" t="s">
        <v>675</v>
      </c>
      <c r="N268" s="14" t="n">
        <f aca="false">ROUND(D268/MAX(E268,1),1)</f>
        <v>55.4</v>
      </c>
      <c r="O268" s="6" t="s">
        <v>682</v>
      </c>
    </row>
    <row r="269" customFormat="false" ht="15" hidden="false" customHeight="false" outlineLevel="0" collapsed="false">
      <c r="A269" s="6" t="n">
        <v>268</v>
      </c>
      <c r="B269" s="6" t="s">
        <v>970</v>
      </c>
      <c r="C269" s="6" t="s">
        <v>134</v>
      </c>
      <c r="D269" s="7" t="n">
        <v>720</v>
      </c>
      <c r="E269" s="6" t="n">
        <v>13</v>
      </c>
      <c r="F269" s="12" t="n">
        <v>0.06</v>
      </c>
      <c r="G269" s="12" t="n">
        <v>0.18</v>
      </c>
      <c r="H269" s="6" t="s">
        <v>672</v>
      </c>
      <c r="I269" s="6" t="s">
        <v>80</v>
      </c>
      <c r="J269" s="6" t="str">
        <f aca="false">IF(E269&lt;=15,"Very Easy",IF(E269&lt;=25,"Easy",IF(E269&lt;=40,"Medium","Hard")))</f>
        <v>Very Easy</v>
      </c>
      <c r="K269" s="6" t="s">
        <v>673</v>
      </c>
      <c r="L269" s="13" t="s">
        <v>674</v>
      </c>
      <c r="M269" s="6" t="s">
        <v>675</v>
      </c>
      <c r="N269" s="14" t="n">
        <f aca="false">ROUND(D269/MAX(E269,1),1)</f>
        <v>55.4</v>
      </c>
      <c r="O269" s="6" t="s">
        <v>729</v>
      </c>
    </row>
    <row r="270" customFormat="false" ht="15" hidden="false" customHeight="false" outlineLevel="0" collapsed="false">
      <c r="A270" s="6" t="n">
        <v>269</v>
      </c>
      <c r="B270" s="6" t="s">
        <v>971</v>
      </c>
      <c r="C270" s="6" t="s">
        <v>114</v>
      </c>
      <c r="D270" s="7" t="n">
        <v>880</v>
      </c>
      <c r="E270" s="6" t="n">
        <v>16</v>
      </c>
      <c r="F270" s="12" t="n">
        <v>0.02</v>
      </c>
      <c r="G270" s="12" t="n">
        <v>0.1</v>
      </c>
      <c r="H270" s="6" t="s">
        <v>678</v>
      </c>
      <c r="I270" s="6" t="s">
        <v>80</v>
      </c>
      <c r="J270" s="6" t="str">
        <f aca="false">IF(E270&lt;=15,"Very Easy",IF(E270&lt;=25,"Easy",IF(E270&lt;=40,"Medium","Hard")))</f>
        <v>Easy</v>
      </c>
      <c r="K270" s="6" t="s">
        <v>679</v>
      </c>
      <c r="L270" s="13" t="s">
        <v>674</v>
      </c>
      <c r="M270" s="6" t="s">
        <v>675</v>
      </c>
      <c r="N270" s="14" t="n">
        <f aca="false">ROUND(D270/MAX(E270,1),1)</f>
        <v>55</v>
      </c>
      <c r="O270" s="6" t="s">
        <v>682</v>
      </c>
    </row>
    <row r="271" customFormat="false" ht="15" hidden="false" customHeight="false" outlineLevel="0" collapsed="false">
      <c r="A271" s="6" t="n">
        <v>270</v>
      </c>
      <c r="B271" s="6" t="s">
        <v>972</v>
      </c>
      <c r="C271" s="6" t="s">
        <v>269</v>
      </c>
      <c r="D271" s="7" t="n">
        <v>1300</v>
      </c>
      <c r="E271" s="6" t="n">
        <v>24</v>
      </c>
      <c r="F271" s="12" t="n">
        <v>0.13</v>
      </c>
      <c r="G271" s="12" t="n">
        <v>0.18</v>
      </c>
      <c r="H271" s="6" t="s">
        <v>672</v>
      </c>
      <c r="I271" s="6" t="s">
        <v>80</v>
      </c>
      <c r="J271" s="6" t="str">
        <f aca="false">IF(E271&lt;=15,"Very Easy",IF(E271&lt;=25,"Easy",IF(E271&lt;=40,"Medium","Hard")))</f>
        <v>Easy</v>
      </c>
      <c r="K271" s="6" t="s">
        <v>673</v>
      </c>
      <c r="L271" s="13" t="s">
        <v>674</v>
      </c>
      <c r="M271" s="6" t="s">
        <v>675</v>
      </c>
      <c r="N271" s="14" t="n">
        <f aca="false">ROUND(D271/MAX(E271,1),1)</f>
        <v>54.2</v>
      </c>
      <c r="O271" s="6" t="s">
        <v>729</v>
      </c>
    </row>
    <row r="272" customFormat="false" ht="15" hidden="false" customHeight="false" outlineLevel="0" collapsed="false">
      <c r="A272" s="6" t="n">
        <v>271</v>
      </c>
      <c r="B272" s="6" t="s">
        <v>973</v>
      </c>
      <c r="C272" s="6" t="s">
        <v>134</v>
      </c>
      <c r="D272" s="7" t="n">
        <v>590</v>
      </c>
      <c r="E272" s="6" t="n">
        <v>11</v>
      </c>
      <c r="F272" s="12" t="n">
        <v>0.06</v>
      </c>
      <c r="G272" s="12" t="n">
        <v>0.06</v>
      </c>
      <c r="H272" s="6" t="s">
        <v>678</v>
      </c>
      <c r="I272" s="6" t="s">
        <v>80</v>
      </c>
      <c r="J272" s="6" t="str">
        <f aca="false">IF(E272&lt;=15,"Very Easy",IF(E272&lt;=25,"Easy",IF(E272&lt;=40,"Medium","Hard")))</f>
        <v>Very Easy</v>
      </c>
      <c r="K272" s="6" t="s">
        <v>679</v>
      </c>
      <c r="L272" s="13" t="s">
        <v>674</v>
      </c>
      <c r="M272" s="6" t="s">
        <v>675</v>
      </c>
      <c r="N272" s="14" t="n">
        <f aca="false">ROUND(D272/MAX(E272,1),1)</f>
        <v>53.6</v>
      </c>
      <c r="O272" s="6" t="s">
        <v>682</v>
      </c>
    </row>
    <row r="273" customFormat="false" ht="15" hidden="false" customHeight="false" outlineLevel="0" collapsed="false">
      <c r="A273" s="6" t="n">
        <v>272</v>
      </c>
      <c r="B273" s="6" t="s">
        <v>974</v>
      </c>
      <c r="C273" s="6" t="s">
        <v>114</v>
      </c>
      <c r="D273" s="7" t="n">
        <v>590</v>
      </c>
      <c r="E273" s="6" t="n">
        <v>11</v>
      </c>
      <c r="F273" s="12" t="n">
        <v>0.02</v>
      </c>
      <c r="G273" s="12" t="n">
        <v>0.07</v>
      </c>
      <c r="H273" s="6" t="s">
        <v>693</v>
      </c>
      <c r="I273" s="6" t="s">
        <v>80</v>
      </c>
      <c r="J273" s="6" t="str">
        <f aca="false">IF(E273&lt;=15,"Very Easy",IF(E273&lt;=25,"Easy",IF(E273&lt;=40,"Medium","Hard")))</f>
        <v>Very Easy</v>
      </c>
      <c r="K273" s="6" t="s">
        <v>694</v>
      </c>
      <c r="L273" s="13" t="s">
        <v>674</v>
      </c>
      <c r="M273" s="6" t="s">
        <v>675</v>
      </c>
      <c r="N273" s="14" t="n">
        <f aca="false">ROUND(D273/MAX(E273,1),1)</f>
        <v>53.6</v>
      </c>
      <c r="O273" s="6" t="s">
        <v>676</v>
      </c>
    </row>
    <row r="274" customFormat="false" ht="15" hidden="false" customHeight="false" outlineLevel="0" collapsed="false">
      <c r="A274" s="6" t="n">
        <v>273</v>
      </c>
      <c r="B274" s="6" t="s">
        <v>975</v>
      </c>
      <c r="C274" s="6" t="s">
        <v>714</v>
      </c>
      <c r="D274" s="7" t="n">
        <v>1600</v>
      </c>
      <c r="E274" s="6" t="n">
        <v>30</v>
      </c>
      <c r="F274" s="12" t="n">
        <v>0.12</v>
      </c>
      <c r="G274" s="12" t="n">
        <v>0.33</v>
      </c>
      <c r="H274" s="6" t="s">
        <v>678</v>
      </c>
      <c r="I274" s="6" t="s">
        <v>80</v>
      </c>
      <c r="J274" s="6" t="str">
        <f aca="false">IF(E274&lt;=15,"Very Easy",IF(E274&lt;=25,"Easy",IF(E274&lt;=40,"Medium","Hard")))</f>
        <v>Medium</v>
      </c>
      <c r="K274" s="6" t="s">
        <v>681</v>
      </c>
      <c r="L274" s="13" t="s">
        <v>674</v>
      </c>
      <c r="M274" s="6" t="s">
        <v>675</v>
      </c>
      <c r="N274" s="14" t="n">
        <f aca="false">ROUND(D274/MAX(E274,1),1)</f>
        <v>53.3</v>
      </c>
      <c r="O274" s="6" t="s">
        <v>806</v>
      </c>
    </row>
    <row r="275" customFormat="false" ht="15" hidden="false" customHeight="false" outlineLevel="0" collapsed="false">
      <c r="A275" s="6" t="n">
        <v>274</v>
      </c>
      <c r="B275" s="6" t="s">
        <v>976</v>
      </c>
      <c r="C275" s="6" t="s">
        <v>134</v>
      </c>
      <c r="D275" s="7" t="n">
        <v>480</v>
      </c>
      <c r="E275" s="6" t="n">
        <v>9</v>
      </c>
      <c r="F275" s="12" t="n">
        <v>0.05</v>
      </c>
      <c r="G275" s="12" t="n">
        <v>0.04</v>
      </c>
      <c r="H275" s="6" t="s">
        <v>693</v>
      </c>
      <c r="I275" s="6" t="s">
        <v>80</v>
      </c>
      <c r="J275" s="6" t="str">
        <f aca="false">IF(E275&lt;=15,"Very Easy",IF(E275&lt;=25,"Easy",IF(E275&lt;=40,"Medium","Hard")))</f>
        <v>Very Easy</v>
      </c>
      <c r="K275" s="6" t="s">
        <v>694</v>
      </c>
      <c r="L275" s="13" t="s">
        <v>674</v>
      </c>
      <c r="M275" s="6" t="s">
        <v>675</v>
      </c>
      <c r="N275" s="14" t="n">
        <f aca="false">ROUND(D275/MAX(E275,1),1)</f>
        <v>53.3</v>
      </c>
      <c r="O275" s="6" t="s">
        <v>676</v>
      </c>
    </row>
    <row r="276" customFormat="false" ht="15" hidden="false" customHeight="false" outlineLevel="0" collapsed="false">
      <c r="A276" s="6" t="n">
        <v>275</v>
      </c>
      <c r="B276" s="6" t="s">
        <v>977</v>
      </c>
      <c r="C276" s="6" t="s">
        <v>52</v>
      </c>
      <c r="D276" s="7" t="n">
        <v>1900</v>
      </c>
      <c r="E276" s="6" t="n">
        <v>36</v>
      </c>
      <c r="F276" s="12" t="n">
        <v>0.11</v>
      </c>
      <c r="G276" s="12" t="n">
        <v>0.42</v>
      </c>
      <c r="H276" s="6" t="s">
        <v>733</v>
      </c>
      <c r="I276" s="6" t="s">
        <v>80</v>
      </c>
      <c r="J276" s="6" t="str">
        <f aca="false">IF(E276&lt;=15,"Very Easy",IF(E276&lt;=25,"Easy",IF(E276&lt;=40,"Medium","Hard")))</f>
        <v>Medium</v>
      </c>
      <c r="K276" s="6" t="s">
        <v>681</v>
      </c>
      <c r="L276" s="13" t="s">
        <v>674</v>
      </c>
      <c r="M276" s="6" t="s">
        <v>675</v>
      </c>
      <c r="N276" s="14" t="n">
        <f aca="false">ROUND(D276/MAX(E276,1),1)</f>
        <v>52.8</v>
      </c>
      <c r="O276" s="6" t="s">
        <v>745</v>
      </c>
    </row>
    <row r="277" customFormat="false" ht="15" hidden="false" customHeight="false" outlineLevel="0" collapsed="false">
      <c r="A277" s="6" t="n">
        <v>276</v>
      </c>
      <c r="B277" s="6" t="s">
        <v>978</v>
      </c>
      <c r="C277" s="6" t="s">
        <v>134</v>
      </c>
      <c r="D277" s="7" t="n">
        <v>1000</v>
      </c>
      <c r="E277" s="6" t="n">
        <v>19</v>
      </c>
      <c r="F277" s="12" t="n">
        <v>0.05</v>
      </c>
      <c r="G277" s="12" t="n">
        <v>0.28</v>
      </c>
      <c r="H277" s="6" t="s">
        <v>678</v>
      </c>
      <c r="I277" s="6" t="s">
        <v>80</v>
      </c>
      <c r="J277" s="6" t="str">
        <f aca="false">IF(E277&lt;=15,"Very Easy",IF(E277&lt;=25,"Easy",IF(E277&lt;=40,"Medium","Hard")))</f>
        <v>Easy</v>
      </c>
      <c r="K277" s="6" t="s">
        <v>679</v>
      </c>
      <c r="L277" s="13" t="s">
        <v>674</v>
      </c>
      <c r="M277" s="6" t="s">
        <v>675</v>
      </c>
      <c r="N277" s="14" t="n">
        <f aca="false">ROUND(D277/MAX(E277,1),1)</f>
        <v>52.6</v>
      </c>
      <c r="O277" s="6" t="s">
        <v>682</v>
      </c>
    </row>
    <row r="278" customFormat="false" ht="15" hidden="false" customHeight="false" outlineLevel="0" collapsed="false">
      <c r="A278" s="6" t="n">
        <v>277</v>
      </c>
      <c r="B278" s="6" t="s">
        <v>979</v>
      </c>
      <c r="C278" s="6" t="s">
        <v>714</v>
      </c>
      <c r="D278" s="7" t="n">
        <v>1300</v>
      </c>
      <c r="E278" s="6" t="n">
        <v>25</v>
      </c>
      <c r="F278" s="12" t="n">
        <v>0.12</v>
      </c>
      <c r="G278" s="12" t="n">
        <v>0.34</v>
      </c>
      <c r="H278" s="6" t="s">
        <v>672</v>
      </c>
      <c r="I278" s="6" t="s">
        <v>80</v>
      </c>
      <c r="J278" s="6" t="str">
        <f aca="false">IF(E278&lt;=15,"Very Easy",IF(E278&lt;=25,"Easy",IF(E278&lt;=40,"Medium","Hard")))</f>
        <v>Easy</v>
      </c>
      <c r="K278" s="6" t="s">
        <v>673</v>
      </c>
      <c r="L278" s="13" t="s">
        <v>674</v>
      </c>
      <c r="M278" s="6" t="s">
        <v>675</v>
      </c>
      <c r="N278" s="14" t="n">
        <f aca="false">ROUND(D278/MAX(E278,1),1)</f>
        <v>52</v>
      </c>
      <c r="O278" s="6" t="s">
        <v>729</v>
      </c>
    </row>
    <row r="279" customFormat="false" ht="15" hidden="false" customHeight="false" outlineLevel="0" collapsed="false">
      <c r="A279" s="6" t="n">
        <v>278</v>
      </c>
      <c r="B279" s="6" t="s">
        <v>980</v>
      </c>
      <c r="C279" s="6" t="s">
        <v>714</v>
      </c>
      <c r="D279" s="7" t="n">
        <v>1300</v>
      </c>
      <c r="E279" s="6" t="n">
        <v>25</v>
      </c>
      <c r="F279" s="12" t="n">
        <v>0.14</v>
      </c>
      <c r="G279" s="12" t="n">
        <v>0.2</v>
      </c>
      <c r="H279" s="6" t="s">
        <v>733</v>
      </c>
      <c r="I279" s="6" t="s">
        <v>80</v>
      </c>
      <c r="J279" s="6" t="str">
        <f aca="false">IF(E279&lt;=15,"Very Easy",IF(E279&lt;=25,"Easy",IF(E279&lt;=40,"Medium","Hard")))</f>
        <v>Easy</v>
      </c>
      <c r="K279" s="6" t="s">
        <v>681</v>
      </c>
      <c r="L279" s="13" t="s">
        <v>674</v>
      </c>
      <c r="M279" s="6" t="s">
        <v>675</v>
      </c>
      <c r="N279" s="14" t="n">
        <f aca="false">ROUND(D279/MAX(E279,1),1)</f>
        <v>52</v>
      </c>
      <c r="O279" s="6" t="s">
        <v>682</v>
      </c>
    </row>
    <row r="280" customFormat="false" ht="15" hidden="false" customHeight="false" outlineLevel="0" collapsed="false">
      <c r="A280" s="6" t="n">
        <v>279</v>
      </c>
      <c r="B280" s="6" t="s">
        <v>981</v>
      </c>
      <c r="C280" s="6" t="s">
        <v>714</v>
      </c>
      <c r="D280" s="7" t="n">
        <v>1300</v>
      </c>
      <c r="E280" s="6" t="n">
        <v>25</v>
      </c>
      <c r="F280" s="12" t="n">
        <v>0.04</v>
      </c>
      <c r="G280" s="12" t="n">
        <v>0.12</v>
      </c>
      <c r="H280" s="6" t="s">
        <v>678</v>
      </c>
      <c r="I280" s="6" t="s">
        <v>80</v>
      </c>
      <c r="J280" s="6" t="str">
        <f aca="false">IF(E280&lt;=15,"Very Easy",IF(E280&lt;=25,"Easy",IF(E280&lt;=40,"Medium","Hard")))</f>
        <v>Easy</v>
      </c>
      <c r="K280" s="6" t="s">
        <v>679</v>
      </c>
      <c r="L280" s="13" t="s">
        <v>674</v>
      </c>
      <c r="M280" s="6" t="s">
        <v>675</v>
      </c>
      <c r="N280" s="14" t="n">
        <f aca="false">ROUND(D280/MAX(E280,1),1)</f>
        <v>52</v>
      </c>
      <c r="O280" s="6" t="s">
        <v>806</v>
      </c>
    </row>
    <row r="281" customFormat="false" ht="15" hidden="false" customHeight="false" outlineLevel="0" collapsed="false">
      <c r="A281" s="6" t="n">
        <v>280</v>
      </c>
      <c r="B281" s="6" t="s">
        <v>982</v>
      </c>
      <c r="C281" s="6" t="s">
        <v>269</v>
      </c>
      <c r="D281" s="7" t="n">
        <v>880</v>
      </c>
      <c r="E281" s="6" t="n">
        <v>17</v>
      </c>
      <c r="F281" s="12" t="n">
        <v>0.24</v>
      </c>
      <c r="G281" s="12" t="n">
        <v>0.23</v>
      </c>
      <c r="H281" s="6" t="s">
        <v>706</v>
      </c>
      <c r="I281" s="6" t="s">
        <v>80</v>
      </c>
      <c r="J281" s="6" t="str">
        <f aca="false">IF(E281&lt;=15,"Very Easy",IF(E281&lt;=25,"Easy",IF(E281&lt;=40,"Medium","Hard")))</f>
        <v>Easy</v>
      </c>
      <c r="K281" s="6" t="s">
        <v>687</v>
      </c>
      <c r="L281" s="13" t="s">
        <v>674</v>
      </c>
      <c r="M281" s="6" t="s">
        <v>675</v>
      </c>
      <c r="N281" s="14" t="n">
        <f aca="false">ROUND(D281/MAX(E281,1),1)</f>
        <v>51.8</v>
      </c>
      <c r="O281" s="6" t="s">
        <v>688</v>
      </c>
    </row>
    <row r="282" customFormat="false" ht="15" hidden="false" customHeight="false" outlineLevel="0" collapsed="false">
      <c r="A282" s="6" t="n">
        <v>281</v>
      </c>
      <c r="B282" s="6" t="s">
        <v>983</v>
      </c>
      <c r="C282" s="6" t="s">
        <v>114</v>
      </c>
      <c r="D282" s="7" t="n">
        <v>880</v>
      </c>
      <c r="E282" s="6" t="n">
        <v>17</v>
      </c>
      <c r="F282" s="12" t="n">
        <v>0.04</v>
      </c>
      <c r="G282" s="12" t="n">
        <v>0.08</v>
      </c>
      <c r="H282" s="6" t="s">
        <v>678</v>
      </c>
      <c r="I282" s="6" t="s">
        <v>80</v>
      </c>
      <c r="J282" s="6" t="str">
        <f aca="false">IF(E282&lt;=15,"Very Easy",IF(E282&lt;=25,"Easy",IF(E282&lt;=40,"Medium","Hard")))</f>
        <v>Easy</v>
      </c>
      <c r="K282" s="6" t="s">
        <v>679</v>
      </c>
      <c r="L282" s="13" t="s">
        <v>674</v>
      </c>
      <c r="M282" s="6" t="s">
        <v>675</v>
      </c>
      <c r="N282" s="14" t="n">
        <f aca="false">ROUND(D282/MAX(E282,1),1)</f>
        <v>51.8</v>
      </c>
      <c r="O282" s="6" t="s">
        <v>682</v>
      </c>
    </row>
    <row r="283" customFormat="false" ht="15" hidden="false" customHeight="false" outlineLevel="0" collapsed="false">
      <c r="A283" s="6" t="n">
        <v>282</v>
      </c>
      <c r="B283" s="6" t="s">
        <v>984</v>
      </c>
      <c r="C283" s="6" t="s">
        <v>714</v>
      </c>
      <c r="D283" s="7" t="n">
        <v>1600</v>
      </c>
      <c r="E283" s="6" t="n">
        <v>31</v>
      </c>
      <c r="F283" s="12" t="n">
        <v>0.13</v>
      </c>
      <c r="G283" s="12" t="n">
        <v>0.3</v>
      </c>
      <c r="H283" s="6" t="s">
        <v>733</v>
      </c>
      <c r="I283" s="6" t="s">
        <v>80</v>
      </c>
      <c r="J283" s="6" t="str">
        <f aca="false">IF(E283&lt;=15,"Very Easy",IF(E283&lt;=25,"Easy",IF(E283&lt;=40,"Medium","Hard")))</f>
        <v>Medium</v>
      </c>
      <c r="K283" s="6" t="s">
        <v>681</v>
      </c>
      <c r="L283" s="13" t="s">
        <v>674</v>
      </c>
      <c r="M283" s="6" t="s">
        <v>675</v>
      </c>
      <c r="N283" s="14" t="n">
        <f aca="false">ROUND(D283/MAX(E283,1),1)</f>
        <v>51.6</v>
      </c>
      <c r="O283" s="6" t="s">
        <v>729</v>
      </c>
    </row>
    <row r="284" customFormat="false" ht="15" hidden="false" customHeight="false" outlineLevel="0" collapsed="false">
      <c r="A284" s="6" t="n">
        <v>283</v>
      </c>
      <c r="B284" s="6" t="s">
        <v>985</v>
      </c>
      <c r="C284" s="6" t="s">
        <v>231</v>
      </c>
      <c r="D284" s="7" t="n">
        <v>720</v>
      </c>
      <c r="E284" s="6" t="n">
        <v>14</v>
      </c>
      <c r="F284" s="12" t="n">
        <v>0.04</v>
      </c>
      <c r="G284" s="12" t="n">
        <v>0.05</v>
      </c>
      <c r="H284" s="6" t="s">
        <v>678</v>
      </c>
      <c r="I284" s="6" t="s">
        <v>80</v>
      </c>
      <c r="J284" s="6" t="str">
        <f aca="false">IF(E284&lt;=15,"Very Easy",IF(E284&lt;=25,"Easy",IF(E284&lt;=40,"Medium","Hard")))</f>
        <v>Very Easy</v>
      </c>
      <c r="K284" s="6" t="s">
        <v>679</v>
      </c>
      <c r="L284" s="13" t="s">
        <v>674</v>
      </c>
      <c r="M284" s="6" t="s">
        <v>675</v>
      </c>
      <c r="N284" s="14" t="n">
        <f aca="false">ROUND(D284/MAX(E284,1),1)</f>
        <v>51.4</v>
      </c>
      <c r="O284" s="6" t="s">
        <v>682</v>
      </c>
    </row>
    <row r="285" customFormat="false" ht="15" hidden="false" customHeight="false" outlineLevel="0" collapsed="false">
      <c r="A285" s="6" t="n">
        <v>284</v>
      </c>
      <c r="B285" s="6" t="s">
        <v>986</v>
      </c>
      <c r="C285" s="6" t="s">
        <v>269</v>
      </c>
      <c r="D285" s="7" t="n">
        <v>720</v>
      </c>
      <c r="E285" s="6" t="n">
        <v>14</v>
      </c>
      <c r="F285" s="12" t="n">
        <v>0.11</v>
      </c>
      <c r="G285" s="12" t="n">
        <v>0.25</v>
      </c>
      <c r="H285" s="6" t="s">
        <v>672</v>
      </c>
      <c r="I285" s="6" t="s">
        <v>80</v>
      </c>
      <c r="J285" s="6" t="str">
        <f aca="false">IF(E285&lt;=15,"Very Easy",IF(E285&lt;=25,"Easy",IF(E285&lt;=40,"Medium","Hard")))</f>
        <v>Very Easy</v>
      </c>
      <c r="K285" s="6" t="s">
        <v>673</v>
      </c>
      <c r="L285" s="13" t="s">
        <v>674</v>
      </c>
      <c r="M285" s="6" t="s">
        <v>675</v>
      </c>
      <c r="N285" s="14" t="n">
        <f aca="false">ROUND(D285/MAX(E285,1),1)</f>
        <v>51.4</v>
      </c>
      <c r="O285" s="6" t="s">
        <v>729</v>
      </c>
    </row>
    <row r="286" customFormat="false" ht="15" hidden="false" customHeight="false" outlineLevel="0" collapsed="false">
      <c r="A286" s="6" t="n">
        <v>285</v>
      </c>
      <c r="B286" s="6" t="s">
        <v>987</v>
      </c>
      <c r="C286" s="6" t="s">
        <v>114</v>
      </c>
      <c r="D286" s="7" t="n">
        <v>1900</v>
      </c>
      <c r="E286" s="6" t="n">
        <v>37</v>
      </c>
      <c r="F286" s="12" t="n">
        <v>0.02</v>
      </c>
      <c r="G286" s="12" t="n">
        <v>0.25</v>
      </c>
      <c r="H286" s="6" t="s">
        <v>690</v>
      </c>
      <c r="I286" s="6" t="s">
        <v>80</v>
      </c>
      <c r="J286" s="6" t="str">
        <f aca="false">IF(E286&lt;=15,"Very Easy",IF(E286&lt;=25,"Easy",IF(E286&lt;=40,"Medium","Hard")))</f>
        <v>Medium</v>
      </c>
      <c r="K286" s="6" t="s">
        <v>679</v>
      </c>
      <c r="L286" s="13" t="s">
        <v>674</v>
      </c>
      <c r="M286" s="6" t="s">
        <v>675</v>
      </c>
      <c r="N286" s="14" t="n">
        <f aca="false">ROUND(D286/MAX(E286,1),1)</f>
        <v>51.4</v>
      </c>
      <c r="O286" s="6" t="s">
        <v>682</v>
      </c>
    </row>
    <row r="287" customFormat="false" ht="15" hidden="false" customHeight="false" outlineLevel="0" collapsed="false">
      <c r="A287" s="6" t="n">
        <v>286</v>
      </c>
      <c r="B287" s="6" t="s">
        <v>988</v>
      </c>
      <c r="C287" s="6" t="s">
        <v>231</v>
      </c>
      <c r="D287" s="7" t="n">
        <v>1300</v>
      </c>
      <c r="E287" s="6" t="n">
        <v>26</v>
      </c>
      <c r="F287" s="12" t="n">
        <v>0.06</v>
      </c>
      <c r="G287" s="12" t="n">
        <v>0.28</v>
      </c>
      <c r="H287" s="6" t="s">
        <v>733</v>
      </c>
      <c r="I287" s="6" t="s">
        <v>80</v>
      </c>
      <c r="J287" s="6" t="str">
        <f aca="false">IF(E287&lt;=15,"Very Easy",IF(E287&lt;=25,"Easy",IF(E287&lt;=40,"Medium","Hard")))</f>
        <v>Medium</v>
      </c>
      <c r="K287" s="6" t="s">
        <v>679</v>
      </c>
      <c r="L287" s="13" t="s">
        <v>674</v>
      </c>
      <c r="M287" s="6" t="s">
        <v>675</v>
      </c>
      <c r="N287" s="14" t="n">
        <f aca="false">ROUND(D287/MAX(E287,1),1)</f>
        <v>50</v>
      </c>
      <c r="O287" s="6" t="s">
        <v>682</v>
      </c>
    </row>
    <row r="288" customFormat="false" ht="15" hidden="false" customHeight="false" outlineLevel="0" collapsed="false">
      <c r="A288" s="6" t="n">
        <v>287</v>
      </c>
      <c r="B288" s="6" t="s">
        <v>989</v>
      </c>
      <c r="C288" s="6" t="s">
        <v>685</v>
      </c>
      <c r="D288" s="7" t="n">
        <v>1000</v>
      </c>
      <c r="E288" s="6" t="n">
        <v>20</v>
      </c>
      <c r="F288" s="12" t="n">
        <v>0.07</v>
      </c>
      <c r="G288" s="12" t="n">
        <v>0.35</v>
      </c>
      <c r="H288" s="6" t="s">
        <v>678</v>
      </c>
      <c r="I288" s="6" t="s">
        <v>80</v>
      </c>
      <c r="J288" s="6" t="str">
        <f aca="false">IF(E288&lt;=15,"Very Easy",IF(E288&lt;=25,"Easy",IF(E288&lt;=40,"Medium","Hard")))</f>
        <v>Easy</v>
      </c>
      <c r="K288" s="6" t="s">
        <v>679</v>
      </c>
      <c r="L288" s="13" t="s">
        <v>674</v>
      </c>
      <c r="M288" s="6" t="s">
        <v>675</v>
      </c>
      <c r="N288" s="14" t="n">
        <f aca="false">ROUND(D288/MAX(E288,1),1)</f>
        <v>50</v>
      </c>
      <c r="O288" s="6" t="s">
        <v>682</v>
      </c>
    </row>
    <row r="289" customFormat="false" ht="15" hidden="false" customHeight="false" outlineLevel="0" collapsed="false">
      <c r="A289" s="6" t="n">
        <v>288</v>
      </c>
      <c r="B289" s="6" t="s">
        <v>990</v>
      </c>
      <c r="C289" s="6" t="s">
        <v>134</v>
      </c>
      <c r="D289" s="7" t="n">
        <v>590</v>
      </c>
      <c r="E289" s="6" t="n">
        <v>12</v>
      </c>
      <c r="F289" s="12" t="n">
        <v>0.18</v>
      </c>
      <c r="G289" s="12" t="n">
        <v>0.03</v>
      </c>
      <c r="H289" s="6" t="s">
        <v>678</v>
      </c>
      <c r="I289" s="6" t="s">
        <v>80</v>
      </c>
      <c r="J289" s="6" t="str">
        <f aca="false">IF(E289&lt;=15,"Very Easy",IF(E289&lt;=25,"Easy",IF(E289&lt;=40,"Medium","Hard")))</f>
        <v>Very Easy</v>
      </c>
      <c r="K289" s="6" t="s">
        <v>681</v>
      </c>
      <c r="L289" s="13" t="s">
        <v>674</v>
      </c>
      <c r="M289" s="6" t="s">
        <v>675</v>
      </c>
      <c r="N289" s="14" t="n">
        <f aca="false">ROUND(D289/MAX(E289,1),1)</f>
        <v>49.2</v>
      </c>
      <c r="O289" s="6" t="s">
        <v>682</v>
      </c>
    </row>
    <row r="290" customFormat="false" ht="15" hidden="false" customHeight="false" outlineLevel="0" collapsed="false">
      <c r="A290" s="6" t="n">
        <v>289</v>
      </c>
      <c r="B290" s="6" t="s">
        <v>991</v>
      </c>
      <c r="C290" s="6" t="s">
        <v>866</v>
      </c>
      <c r="D290" s="7" t="n">
        <v>880</v>
      </c>
      <c r="E290" s="6" t="n">
        <v>18</v>
      </c>
      <c r="F290" s="12" t="n">
        <v>0.1</v>
      </c>
      <c r="G290" s="12" t="n">
        <v>0.25</v>
      </c>
      <c r="H290" s="6" t="s">
        <v>672</v>
      </c>
      <c r="I290" s="6" t="s">
        <v>80</v>
      </c>
      <c r="J290" s="6" t="str">
        <f aca="false">IF(E290&lt;=15,"Very Easy",IF(E290&lt;=25,"Easy",IF(E290&lt;=40,"Medium","Hard")))</f>
        <v>Easy</v>
      </c>
      <c r="K290" s="6" t="s">
        <v>673</v>
      </c>
      <c r="L290" s="13" t="s">
        <v>674</v>
      </c>
      <c r="M290" s="6" t="s">
        <v>675</v>
      </c>
      <c r="N290" s="14" t="n">
        <f aca="false">ROUND(D290/MAX(E290,1),1)</f>
        <v>48.9</v>
      </c>
      <c r="O290" s="6" t="s">
        <v>729</v>
      </c>
    </row>
    <row r="291" customFormat="false" ht="15" hidden="false" customHeight="false" outlineLevel="0" collapsed="false">
      <c r="A291" s="6" t="n">
        <v>290</v>
      </c>
      <c r="B291" s="6" t="s">
        <v>992</v>
      </c>
      <c r="C291" s="6" t="s">
        <v>579</v>
      </c>
      <c r="D291" s="7" t="n">
        <v>390</v>
      </c>
      <c r="E291" s="6" t="n">
        <v>8</v>
      </c>
      <c r="F291" s="12" t="n">
        <v>0.05</v>
      </c>
      <c r="G291" s="12" t="n">
        <v>0.08</v>
      </c>
      <c r="H291" s="6" t="s">
        <v>678</v>
      </c>
      <c r="I291" s="6" t="s">
        <v>80</v>
      </c>
      <c r="J291" s="6" t="str">
        <f aca="false">IF(E291&lt;=15,"Very Easy",IF(E291&lt;=25,"Easy",IF(E291&lt;=40,"Medium","Hard")))</f>
        <v>Very Easy</v>
      </c>
      <c r="K291" s="6" t="s">
        <v>679</v>
      </c>
      <c r="L291" s="13" t="s">
        <v>674</v>
      </c>
      <c r="M291" s="6" t="s">
        <v>675</v>
      </c>
      <c r="N291" s="14" t="n">
        <f aca="false">ROUND(D291/MAX(E291,1),1)</f>
        <v>48.8</v>
      </c>
      <c r="O291" s="6" t="s">
        <v>682</v>
      </c>
    </row>
    <row r="292" customFormat="false" ht="15" hidden="false" customHeight="false" outlineLevel="0" collapsed="false">
      <c r="A292" s="6" t="n">
        <v>291</v>
      </c>
      <c r="B292" s="6" t="s">
        <v>993</v>
      </c>
      <c r="C292" s="6" t="s">
        <v>134</v>
      </c>
      <c r="D292" s="7" t="n">
        <v>480</v>
      </c>
      <c r="E292" s="6" t="n">
        <v>10</v>
      </c>
      <c r="F292" s="12" t="n">
        <v>0.13</v>
      </c>
      <c r="G292" s="12" t="n">
        <v>0.05</v>
      </c>
      <c r="H292" s="6" t="s">
        <v>678</v>
      </c>
      <c r="I292" s="6" t="s">
        <v>80</v>
      </c>
      <c r="J292" s="6" t="str">
        <f aca="false">IF(E292&lt;=15,"Very Easy",IF(E292&lt;=25,"Easy",IF(E292&lt;=40,"Medium","Hard")))</f>
        <v>Very Easy</v>
      </c>
      <c r="K292" s="6" t="s">
        <v>681</v>
      </c>
      <c r="L292" s="13" t="s">
        <v>674</v>
      </c>
      <c r="M292" s="6" t="s">
        <v>675</v>
      </c>
      <c r="N292" s="14" t="n">
        <f aca="false">ROUND(D292/MAX(E292,1),1)</f>
        <v>48</v>
      </c>
      <c r="O292" s="6" t="s">
        <v>682</v>
      </c>
    </row>
    <row r="293" customFormat="false" ht="15" hidden="false" customHeight="false" outlineLevel="0" collapsed="false">
      <c r="A293" s="6" t="n">
        <v>292</v>
      </c>
      <c r="B293" s="6" t="s">
        <v>994</v>
      </c>
      <c r="C293" s="6" t="s">
        <v>114</v>
      </c>
      <c r="D293" s="7" t="n">
        <v>720</v>
      </c>
      <c r="E293" s="6" t="n">
        <v>15</v>
      </c>
      <c r="F293" s="12" t="n">
        <v>0.07</v>
      </c>
      <c r="G293" s="12" t="n">
        <v>0.3</v>
      </c>
      <c r="H293" s="6" t="s">
        <v>690</v>
      </c>
      <c r="I293" s="6" t="s">
        <v>80</v>
      </c>
      <c r="J293" s="6" t="str">
        <f aca="false">IF(E293&lt;=15,"Very Easy",IF(E293&lt;=25,"Easy",IF(E293&lt;=40,"Medium","Hard")))</f>
        <v>Very Easy</v>
      </c>
      <c r="K293" s="6" t="s">
        <v>679</v>
      </c>
      <c r="L293" s="13" t="s">
        <v>674</v>
      </c>
      <c r="M293" s="6" t="s">
        <v>675</v>
      </c>
      <c r="N293" s="14" t="n">
        <f aca="false">ROUND(D293/MAX(E293,1),1)</f>
        <v>48</v>
      </c>
      <c r="O293" s="6" t="s">
        <v>682</v>
      </c>
    </row>
    <row r="294" customFormat="false" ht="15" hidden="false" customHeight="false" outlineLevel="0" collapsed="false">
      <c r="A294" s="6" t="n">
        <v>293</v>
      </c>
      <c r="B294" s="6" t="s">
        <v>995</v>
      </c>
      <c r="C294" s="6" t="s">
        <v>269</v>
      </c>
      <c r="D294" s="7" t="n">
        <v>1000</v>
      </c>
      <c r="E294" s="6" t="n">
        <v>21</v>
      </c>
      <c r="F294" s="12" t="n">
        <v>0.17</v>
      </c>
      <c r="G294" s="12" t="n">
        <v>0.13</v>
      </c>
      <c r="H294" s="6" t="s">
        <v>678</v>
      </c>
      <c r="I294" s="6" t="s">
        <v>80</v>
      </c>
      <c r="J294" s="6" t="str">
        <f aca="false">IF(E294&lt;=15,"Very Easy",IF(E294&lt;=25,"Easy",IF(E294&lt;=40,"Medium","Hard")))</f>
        <v>Easy</v>
      </c>
      <c r="K294" s="6" t="s">
        <v>681</v>
      </c>
      <c r="L294" s="13" t="s">
        <v>674</v>
      </c>
      <c r="M294" s="6" t="s">
        <v>675</v>
      </c>
      <c r="N294" s="14" t="n">
        <f aca="false">ROUND(D294/MAX(E294,1),1)</f>
        <v>47.6</v>
      </c>
      <c r="O294" s="6" t="s">
        <v>682</v>
      </c>
    </row>
    <row r="295" customFormat="false" ht="15" hidden="false" customHeight="false" outlineLevel="0" collapsed="false">
      <c r="A295" s="6" t="n">
        <v>294</v>
      </c>
      <c r="B295" s="6" t="s">
        <v>996</v>
      </c>
      <c r="C295" s="6" t="s">
        <v>134</v>
      </c>
      <c r="D295" s="7" t="n">
        <v>1000</v>
      </c>
      <c r="E295" s="6" t="n">
        <v>21</v>
      </c>
      <c r="F295" s="12" t="n">
        <v>0.06</v>
      </c>
      <c r="G295" s="12" t="n">
        <v>0.19</v>
      </c>
      <c r="H295" s="6" t="s">
        <v>672</v>
      </c>
      <c r="I295" s="6" t="s">
        <v>80</v>
      </c>
      <c r="J295" s="6" t="str">
        <f aca="false">IF(E295&lt;=15,"Very Easy",IF(E295&lt;=25,"Easy",IF(E295&lt;=40,"Medium","Hard")))</f>
        <v>Easy</v>
      </c>
      <c r="K295" s="6" t="s">
        <v>673</v>
      </c>
      <c r="L295" s="13" t="s">
        <v>674</v>
      </c>
      <c r="M295" s="6" t="s">
        <v>675</v>
      </c>
      <c r="N295" s="14" t="n">
        <f aca="false">ROUND(D295/MAX(E295,1),1)</f>
        <v>47.6</v>
      </c>
      <c r="O295" s="6" t="s">
        <v>729</v>
      </c>
    </row>
    <row r="296" customFormat="false" ht="15" hidden="false" customHeight="false" outlineLevel="0" collapsed="false">
      <c r="A296" s="6" t="n">
        <v>295</v>
      </c>
      <c r="B296" s="6" t="s">
        <v>997</v>
      </c>
      <c r="C296" s="6" t="s">
        <v>114</v>
      </c>
      <c r="D296" s="7" t="n">
        <v>1000</v>
      </c>
      <c r="E296" s="6" t="n">
        <v>22</v>
      </c>
      <c r="F296" s="12" t="n">
        <v>0.04</v>
      </c>
      <c r="G296" s="12" t="n">
        <v>0.05</v>
      </c>
      <c r="H296" s="6" t="s">
        <v>678</v>
      </c>
      <c r="I296" s="6" t="s">
        <v>80</v>
      </c>
      <c r="J296" s="6" t="str">
        <f aca="false">IF(E296&lt;=15,"Very Easy",IF(E296&lt;=25,"Easy",IF(E296&lt;=40,"Medium","Hard")))</f>
        <v>Easy</v>
      </c>
      <c r="K296" s="6" t="s">
        <v>679</v>
      </c>
      <c r="L296" s="13" t="s">
        <v>674</v>
      </c>
      <c r="M296" s="6" t="s">
        <v>675</v>
      </c>
      <c r="N296" s="14" t="n">
        <f aca="false">ROUND(D296/MAX(E296,1),1)</f>
        <v>45.5</v>
      </c>
      <c r="O296" s="6" t="s">
        <v>682</v>
      </c>
    </row>
    <row r="297" customFormat="false" ht="15" hidden="false" customHeight="false" outlineLevel="0" collapsed="false">
      <c r="A297" s="6" t="n">
        <v>296</v>
      </c>
      <c r="B297" s="6" t="s">
        <v>998</v>
      </c>
      <c r="C297" s="6" t="s">
        <v>134</v>
      </c>
      <c r="D297" s="7" t="n">
        <v>590</v>
      </c>
      <c r="E297" s="6" t="n">
        <v>13</v>
      </c>
      <c r="F297" s="12" t="n">
        <v>0.06</v>
      </c>
      <c r="G297" s="12" t="n">
        <v>0.03</v>
      </c>
      <c r="H297" s="6" t="s">
        <v>678</v>
      </c>
      <c r="I297" s="6" t="s">
        <v>80</v>
      </c>
      <c r="J297" s="6" t="str">
        <f aca="false">IF(E297&lt;=15,"Very Easy",IF(E297&lt;=25,"Easy",IF(E297&lt;=40,"Medium","Hard")))</f>
        <v>Very Easy</v>
      </c>
      <c r="K297" s="6" t="s">
        <v>679</v>
      </c>
      <c r="L297" s="13" t="s">
        <v>674</v>
      </c>
      <c r="M297" s="6" t="s">
        <v>675</v>
      </c>
      <c r="N297" s="14" t="n">
        <f aca="false">ROUND(D297/MAX(E297,1),1)</f>
        <v>45.4</v>
      </c>
      <c r="O297" s="6" t="s">
        <v>682</v>
      </c>
    </row>
    <row r="298" customFormat="false" ht="15" hidden="false" customHeight="false" outlineLevel="0" collapsed="false">
      <c r="A298" s="6" t="n">
        <v>297</v>
      </c>
      <c r="B298" s="6" t="s">
        <v>999</v>
      </c>
      <c r="C298" s="6" t="s">
        <v>866</v>
      </c>
      <c r="D298" s="7" t="n">
        <v>590</v>
      </c>
      <c r="E298" s="6" t="n">
        <v>13</v>
      </c>
      <c r="F298" s="12" t="n">
        <v>0.08</v>
      </c>
      <c r="G298" s="12" t="n">
        <v>0.29</v>
      </c>
      <c r="H298" s="6" t="s">
        <v>678</v>
      </c>
      <c r="I298" s="6" t="s">
        <v>80</v>
      </c>
      <c r="J298" s="6" t="str">
        <f aca="false">IF(E298&lt;=15,"Very Easy",IF(E298&lt;=25,"Easy",IF(E298&lt;=40,"Medium","Hard")))</f>
        <v>Very Easy</v>
      </c>
      <c r="K298" s="6" t="s">
        <v>679</v>
      </c>
      <c r="L298" s="13" t="s">
        <v>674</v>
      </c>
      <c r="M298" s="6" t="s">
        <v>675</v>
      </c>
      <c r="N298" s="14" t="n">
        <f aca="false">ROUND(D298/MAX(E298,1),1)</f>
        <v>45.4</v>
      </c>
      <c r="O298" s="6" t="s">
        <v>682</v>
      </c>
    </row>
    <row r="299" customFormat="false" ht="15" hidden="false" customHeight="false" outlineLevel="0" collapsed="false">
      <c r="A299" s="6" t="n">
        <v>298</v>
      </c>
      <c r="B299" s="6" t="s">
        <v>1000</v>
      </c>
      <c r="C299" s="6" t="s">
        <v>231</v>
      </c>
      <c r="D299" s="7" t="n">
        <v>1300</v>
      </c>
      <c r="E299" s="6" t="n">
        <v>29</v>
      </c>
      <c r="F299" s="12" t="n">
        <v>0.1</v>
      </c>
      <c r="G299" s="12" t="n">
        <v>0.17</v>
      </c>
      <c r="H299" s="6" t="s">
        <v>672</v>
      </c>
      <c r="I299" s="6" t="s">
        <v>80</v>
      </c>
      <c r="J299" s="6" t="str">
        <f aca="false">IF(E299&lt;=15,"Very Easy",IF(E299&lt;=25,"Easy",IF(E299&lt;=40,"Medium","Hard")))</f>
        <v>Medium</v>
      </c>
      <c r="K299" s="6" t="s">
        <v>673</v>
      </c>
      <c r="L299" s="13" t="s">
        <v>674</v>
      </c>
      <c r="M299" s="6" t="s">
        <v>675</v>
      </c>
      <c r="N299" s="14" t="n">
        <f aca="false">ROUND(D299/MAX(E299,1),1)</f>
        <v>44.8</v>
      </c>
      <c r="O299" s="6" t="s">
        <v>682</v>
      </c>
    </row>
    <row r="300" customFormat="false" ht="15" hidden="false" customHeight="false" outlineLevel="0" collapsed="false">
      <c r="A300" s="6" t="n">
        <v>299</v>
      </c>
      <c r="B300" s="6" t="s">
        <v>1001</v>
      </c>
      <c r="C300" s="6" t="s">
        <v>114</v>
      </c>
      <c r="D300" s="7" t="n">
        <v>1300</v>
      </c>
      <c r="E300" s="6" t="n">
        <v>29</v>
      </c>
      <c r="F300" s="12" t="n">
        <v>0.03</v>
      </c>
      <c r="G300" s="12" t="n">
        <v>0.13</v>
      </c>
      <c r="H300" s="6" t="s">
        <v>686</v>
      </c>
      <c r="I300" s="6" t="s">
        <v>80</v>
      </c>
      <c r="J300" s="6" t="str">
        <f aca="false">IF(E300&lt;=15,"Very Easy",IF(E300&lt;=25,"Easy",IF(E300&lt;=40,"Medium","Hard")))</f>
        <v>Medium</v>
      </c>
      <c r="K300" s="6" t="s">
        <v>687</v>
      </c>
      <c r="L300" s="13" t="s">
        <v>674</v>
      </c>
      <c r="M300" s="6" t="s">
        <v>675</v>
      </c>
      <c r="N300" s="14" t="n">
        <f aca="false">ROUND(D300/MAX(E300,1),1)</f>
        <v>44.8</v>
      </c>
      <c r="O300" s="6" t="s">
        <v>688</v>
      </c>
    </row>
    <row r="301" customFormat="false" ht="15" hidden="false" customHeight="false" outlineLevel="0" collapsed="false">
      <c r="A301" s="6" t="n">
        <v>300</v>
      </c>
      <c r="B301" s="6" t="s">
        <v>1002</v>
      </c>
      <c r="C301" s="6" t="s">
        <v>866</v>
      </c>
      <c r="D301" s="7" t="n">
        <v>260</v>
      </c>
      <c r="E301" s="6" t="n">
        <v>6</v>
      </c>
      <c r="F301" s="12" t="n">
        <v>0.08</v>
      </c>
      <c r="G301" s="12" t="n">
        <v>0.24</v>
      </c>
      <c r="H301" s="6" t="s">
        <v>678</v>
      </c>
      <c r="I301" s="6" t="s">
        <v>80</v>
      </c>
      <c r="J301" s="6" t="str">
        <f aca="false">IF(E301&lt;=15,"Very Easy",IF(E301&lt;=25,"Easy",IF(E301&lt;=40,"Medium","Hard")))</f>
        <v>Very Easy</v>
      </c>
      <c r="K301" s="6" t="s">
        <v>679</v>
      </c>
      <c r="L301" s="13" t="s">
        <v>674</v>
      </c>
      <c r="M301" s="6" t="s">
        <v>675</v>
      </c>
      <c r="N301" s="14" t="n">
        <f aca="false">ROUND(D301/MAX(E301,1),1)</f>
        <v>43.3</v>
      </c>
      <c r="O301" s="6" t="s">
        <v>682</v>
      </c>
    </row>
    <row r="302" customFormat="false" ht="15" hidden="false" customHeight="false" outlineLevel="0" collapsed="false">
      <c r="A302" s="6" t="n">
        <v>301</v>
      </c>
      <c r="B302" s="6" t="s">
        <v>1003</v>
      </c>
      <c r="C302" s="6" t="s">
        <v>579</v>
      </c>
      <c r="D302" s="7" t="n">
        <v>390</v>
      </c>
      <c r="E302" s="6" t="n">
        <v>9</v>
      </c>
      <c r="F302" s="12" t="n">
        <v>0.14</v>
      </c>
      <c r="G302" s="12" t="n">
        <v>0.23</v>
      </c>
      <c r="H302" s="6" t="s">
        <v>672</v>
      </c>
      <c r="I302" s="6" t="s">
        <v>80</v>
      </c>
      <c r="J302" s="6" t="str">
        <f aca="false">IF(E302&lt;=15,"Very Easy",IF(E302&lt;=25,"Easy",IF(E302&lt;=40,"Medium","Hard")))</f>
        <v>Very Easy</v>
      </c>
      <c r="K302" s="6" t="s">
        <v>673</v>
      </c>
      <c r="L302" s="13" t="s">
        <v>674</v>
      </c>
      <c r="M302" s="6" t="s">
        <v>675</v>
      </c>
      <c r="N302" s="14" t="n">
        <f aca="false">ROUND(D302/MAX(E302,1),1)</f>
        <v>43.3</v>
      </c>
      <c r="O302" s="6" t="s">
        <v>729</v>
      </c>
    </row>
    <row r="303" customFormat="false" ht="15" hidden="false" customHeight="false" outlineLevel="0" collapsed="false">
      <c r="A303" s="6" t="n">
        <v>302</v>
      </c>
      <c r="B303" s="6" t="s">
        <v>1004</v>
      </c>
      <c r="C303" s="6" t="s">
        <v>114</v>
      </c>
      <c r="D303" s="7" t="n">
        <v>1300</v>
      </c>
      <c r="E303" s="6" t="n">
        <v>30</v>
      </c>
      <c r="F303" s="12" t="n">
        <v>0.01</v>
      </c>
      <c r="G303" s="12" t="n">
        <v>0.06</v>
      </c>
      <c r="H303" s="6" t="s">
        <v>678</v>
      </c>
      <c r="I303" s="6" t="s">
        <v>80</v>
      </c>
      <c r="J303" s="6" t="str">
        <f aca="false">IF(E303&lt;=15,"Very Easy",IF(E303&lt;=25,"Easy",IF(E303&lt;=40,"Medium","Hard")))</f>
        <v>Medium</v>
      </c>
      <c r="K303" s="6" t="s">
        <v>679</v>
      </c>
      <c r="L303" s="13" t="s">
        <v>674</v>
      </c>
      <c r="M303" s="6" t="s">
        <v>675</v>
      </c>
      <c r="N303" s="14" t="n">
        <f aca="false">ROUND(D303/MAX(E303,1),1)</f>
        <v>43.3</v>
      </c>
      <c r="O303" s="6" t="s">
        <v>682</v>
      </c>
    </row>
    <row r="304" customFormat="false" ht="15" hidden="false" customHeight="false" outlineLevel="0" collapsed="false">
      <c r="A304" s="6" t="n">
        <v>303</v>
      </c>
      <c r="B304" s="6" t="s">
        <v>1005</v>
      </c>
      <c r="C304" s="6" t="s">
        <v>714</v>
      </c>
      <c r="D304" s="7" t="n">
        <v>1600</v>
      </c>
      <c r="E304" s="6" t="n">
        <v>37</v>
      </c>
      <c r="F304" s="12" t="n">
        <v>0.14</v>
      </c>
      <c r="G304" s="12" t="n">
        <v>0.07</v>
      </c>
      <c r="H304" s="6" t="s">
        <v>678</v>
      </c>
      <c r="I304" s="6" t="s">
        <v>80</v>
      </c>
      <c r="J304" s="6" t="str">
        <f aca="false">IF(E304&lt;=15,"Very Easy",IF(E304&lt;=25,"Easy",IF(E304&lt;=40,"Medium","Hard")))</f>
        <v>Medium</v>
      </c>
      <c r="K304" s="6" t="s">
        <v>681</v>
      </c>
      <c r="L304" s="13" t="s">
        <v>674</v>
      </c>
      <c r="M304" s="6" t="s">
        <v>675</v>
      </c>
      <c r="N304" s="14" t="n">
        <f aca="false">ROUND(D304/MAX(E304,1),1)</f>
        <v>43.2</v>
      </c>
      <c r="O304" s="6" t="s">
        <v>806</v>
      </c>
    </row>
    <row r="305" customFormat="false" ht="15" hidden="false" customHeight="false" outlineLevel="0" collapsed="false">
      <c r="A305" s="6" t="n">
        <v>304</v>
      </c>
      <c r="B305" s="6" t="s">
        <v>1006</v>
      </c>
      <c r="C305" s="6" t="s">
        <v>231</v>
      </c>
      <c r="D305" s="7" t="n">
        <v>590</v>
      </c>
      <c r="E305" s="6" t="n">
        <v>14</v>
      </c>
      <c r="F305" s="12" t="n">
        <v>0.1</v>
      </c>
      <c r="G305" s="12" t="n">
        <v>0.19</v>
      </c>
      <c r="H305" s="6" t="s">
        <v>678</v>
      </c>
      <c r="I305" s="6" t="s">
        <v>80</v>
      </c>
      <c r="J305" s="6" t="str">
        <f aca="false">IF(E305&lt;=15,"Very Easy",IF(E305&lt;=25,"Easy",IF(E305&lt;=40,"Medium","Hard")))</f>
        <v>Very Easy</v>
      </c>
      <c r="K305" s="6" t="s">
        <v>681</v>
      </c>
      <c r="L305" s="13" t="s">
        <v>674</v>
      </c>
      <c r="M305" s="6" t="s">
        <v>675</v>
      </c>
      <c r="N305" s="14" t="n">
        <f aca="false">ROUND(D305/MAX(E305,1),1)</f>
        <v>42.1</v>
      </c>
      <c r="O305" s="6" t="s">
        <v>682</v>
      </c>
    </row>
    <row r="306" customFormat="false" ht="15" hidden="false" customHeight="false" outlineLevel="0" collapsed="false">
      <c r="A306" s="6" t="n">
        <v>305</v>
      </c>
      <c r="B306" s="6" t="s">
        <v>1007</v>
      </c>
      <c r="C306" s="6" t="s">
        <v>579</v>
      </c>
      <c r="D306" s="7" t="n">
        <v>590</v>
      </c>
      <c r="E306" s="6" t="n">
        <v>14</v>
      </c>
      <c r="F306" s="12" t="n">
        <v>0.11</v>
      </c>
      <c r="G306" s="12" t="n">
        <v>0.09</v>
      </c>
      <c r="H306" s="6" t="s">
        <v>678</v>
      </c>
      <c r="I306" s="6" t="s">
        <v>80</v>
      </c>
      <c r="J306" s="6" t="str">
        <f aca="false">IF(E306&lt;=15,"Very Easy",IF(E306&lt;=25,"Easy",IF(E306&lt;=40,"Medium","Hard")))</f>
        <v>Very Easy</v>
      </c>
      <c r="K306" s="6" t="s">
        <v>681</v>
      </c>
      <c r="L306" s="13" t="s">
        <v>674</v>
      </c>
      <c r="M306" s="6" t="s">
        <v>675</v>
      </c>
      <c r="N306" s="14" t="n">
        <f aca="false">ROUND(D306/MAX(E306,1),1)</f>
        <v>42.1</v>
      </c>
      <c r="O306" s="6" t="s">
        <v>682</v>
      </c>
    </row>
    <row r="307" customFormat="false" ht="15" hidden="false" customHeight="false" outlineLevel="0" collapsed="false">
      <c r="A307" s="6" t="n">
        <v>306</v>
      </c>
      <c r="B307" s="6" t="s">
        <v>1008</v>
      </c>
      <c r="C307" s="6" t="s">
        <v>134</v>
      </c>
      <c r="D307" s="7" t="n">
        <v>880</v>
      </c>
      <c r="E307" s="6" t="n">
        <v>21</v>
      </c>
      <c r="F307" s="12" t="n">
        <v>0.04</v>
      </c>
      <c r="G307" s="12" t="n">
        <v>0.18</v>
      </c>
      <c r="H307" s="6" t="s">
        <v>678</v>
      </c>
      <c r="I307" s="6" t="s">
        <v>80</v>
      </c>
      <c r="J307" s="6" t="str">
        <f aca="false">IF(E307&lt;=15,"Very Easy",IF(E307&lt;=25,"Easy",IF(E307&lt;=40,"Medium","Hard")))</f>
        <v>Easy</v>
      </c>
      <c r="K307" s="6" t="s">
        <v>679</v>
      </c>
      <c r="L307" s="13" t="s">
        <v>674</v>
      </c>
      <c r="M307" s="6" t="s">
        <v>675</v>
      </c>
      <c r="N307" s="14" t="n">
        <f aca="false">ROUND(D307/MAX(E307,1),1)</f>
        <v>41.9</v>
      </c>
      <c r="O307" s="6" t="s">
        <v>682</v>
      </c>
    </row>
    <row r="308" customFormat="false" ht="15" hidden="false" customHeight="false" outlineLevel="0" collapsed="false">
      <c r="A308" s="6" t="n">
        <v>307</v>
      </c>
      <c r="B308" s="6" t="s">
        <v>1009</v>
      </c>
      <c r="C308" s="6" t="s">
        <v>685</v>
      </c>
      <c r="D308" s="7" t="n">
        <v>1000</v>
      </c>
      <c r="E308" s="6" t="n">
        <v>25</v>
      </c>
      <c r="F308" s="12" t="n">
        <v>0.02</v>
      </c>
      <c r="G308" s="12" t="n">
        <v>0.36</v>
      </c>
      <c r="H308" s="6" t="s">
        <v>690</v>
      </c>
      <c r="I308" s="6" t="s">
        <v>80</v>
      </c>
      <c r="J308" s="6" t="str">
        <f aca="false">IF(E308&lt;=15,"Very Easy",IF(E308&lt;=25,"Easy",IF(E308&lt;=40,"Medium","Hard")))</f>
        <v>Easy</v>
      </c>
      <c r="K308" s="6" t="s">
        <v>679</v>
      </c>
      <c r="L308" s="13" t="s">
        <v>674</v>
      </c>
      <c r="M308" s="6" t="s">
        <v>675</v>
      </c>
      <c r="N308" s="14" t="n">
        <f aca="false">ROUND(D308/MAX(E308,1),1)</f>
        <v>40</v>
      </c>
      <c r="O308" s="6" t="s">
        <v>682</v>
      </c>
    </row>
    <row r="309" customFormat="false" ht="15" hidden="false" customHeight="false" outlineLevel="0" collapsed="false">
      <c r="A309" s="6" t="n">
        <v>308</v>
      </c>
      <c r="B309" s="6" t="s">
        <v>1010</v>
      </c>
      <c r="C309" s="6" t="s">
        <v>52</v>
      </c>
      <c r="D309" s="7" t="n">
        <v>1000</v>
      </c>
      <c r="E309" s="6" t="n">
        <v>25</v>
      </c>
      <c r="F309" s="12" t="n">
        <v>0.16</v>
      </c>
      <c r="G309" s="12" t="n">
        <v>0.35</v>
      </c>
      <c r="H309" s="6" t="s">
        <v>672</v>
      </c>
      <c r="I309" s="6" t="s">
        <v>80</v>
      </c>
      <c r="J309" s="6" t="str">
        <f aca="false">IF(E309&lt;=15,"Very Easy",IF(E309&lt;=25,"Easy",IF(E309&lt;=40,"Medium","Hard")))</f>
        <v>Easy</v>
      </c>
      <c r="K309" s="6" t="s">
        <v>673</v>
      </c>
      <c r="L309" s="13" t="s">
        <v>674</v>
      </c>
      <c r="M309" s="6" t="s">
        <v>675</v>
      </c>
      <c r="N309" s="14" t="n">
        <f aca="false">ROUND(D309/MAX(E309,1),1)</f>
        <v>40</v>
      </c>
      <c r="O309" s="6" t="s">
        <v>729</v>
      </c>
    </row>
    <row r="310" customFormat="false" ht="15" hidden="false" customHeight="false" outlineLevel="0" collapsed="false">
      <c r="A310" s="6" t="n">
        <v>309</v>
      </c>
      <c r="B310" s="6" t="s">
        <v>1011</v>
      </c>
      <c r="C310" s="6" t="s">
        <v>52</v>
      </c>
      <c r="D310" s="7" t="n">
        <v>1300</v>
      </c>
      <c r="E310" s="6" t="n">
        <v>33</v>
      </c>
      <c r="F310" s="12" t="n">
        <v>0.18</v>
      </c>
      <c r="G310" s="12" t="n">
        <v>0.09</v>
      </c>
      <c r="H310" s="6" t="s">
        <v>678</v>
      </c>
      <c r="I310" s="6" t="s">
        <v>80</v>
      </c>
      <c r="J310" s="6" t="str">
        <f aca="false">IF(E310&lt;=15,"Very Easy",IF(E310&lt;=25,"Easy",IF(E310&lt;=40,"Medium","Hard")))</f>
        <v>Medium</v>
      </c>
      <c r="K310" s="6" t="s">
        <v>681</v>
      </c>
      <c r="L310" s="13" t="s">
        <v>674</v>
      </c>
      <c r="M310" s="6" t="s">
        <v>675</v>
      </c>
      <c r="N310" s="14" t="n">
        <f aca="false">ROUND(D310/MAX(E310,1),1)</f>
        <v>39.4</v>
      </c>
      <c r="O310" s="6" t="s">
        <v>745</v>
      </c>
    </row>
    <row r="311" customFormat="false" ht="15" hidden="false" customHeight="false" outlineLevel="0" collapsed="false">
      <c r="A311" s="6" t="n">
        <v>310</v>
      </c>
      <c r="B311" s="6" t="s">
        <v>1012</v>
      </c>
      <c r="C311" s="6" t="s">
        <v>269</v>
      </c>
      <c r="D311" s="7" t="n">
        <v>1000</v>
      </c>
      <c r="E311" s="6" t="n">
        <v>26</v>
      </c>
      <c r="F311" s="12" t="n">
        <v>0.13</v>
      </c>
      <c r="G311" s="12" t="n">
        <v>0.12</v>
      </c>
      <c r="H311" s="6" t="s">
        <v>678</v>
      </c>
      <c r="I311" s="6" t="s">
        <v>80</v>
      </c>
      <c r="J311" s="6" t="str">
        <f aca="false">IF(E311&lt;=15,"Very Easy",IF(E311&lt;=25,"Easy",IF(E311&lt;=40,"Medium","Hard")))</f>
        <v>Medium</v>
      </c>
      <c r="K311" s="6" t="s">
        <v>681</v>
      </c>
      <c r="L311" s="13" t="s">
        <v>674</v>
      </c>
      <c r="M311" s="6" t="s">
        <v>675</v>
      </c>
      <c r="N311" s="14" t="n">
        <f aca="false">ROUND(D311/MAX(E311,1),1)</f>
        <v>38.5</v>
      </c>
      <c r="O311" s="6" t="s">
        <v>682</v>
      </c>
    </row>
    <row r="312" customFormat="false" ht="15" hidden="false" customHeight="false" outlineLevel="0" collapsed="false">
      <c r="A312" s="6" t="n">
        <v>311</v>
      </c>
      <c r="B312" s="6" t="s">
        <v>1013</v>
      </c>
      <c r="C312" s="6" t="s">
        <v>134</v>
      </c>
      <c r="D312" s="7" t="n">
        <v>480</v>
      </c>
      <c r="E312" s="6" t="n">
        <v>13</v>
      </c>
      <c r="F312" s="12" t="n">
        <v>0.21</v>
      </c>
      <c r="G312" s="12" t="n">
        <v>0.03</v>
      </c>
      <c r="H312" s="6" t="s">
        <v>678</v>
      </c>
      <c r="I312" s="6" t="s">
        <v>80</v>
      </c>
      <c r="J312" s="6" t="str">
        <f aca="false">IF(E312&lt;=15,"Very Easy",IF(E312&lt;=25,"Easy",IF(E312&lt;=40,"Medium","Hard")))</f>
        <v>Very Easy</v>
      </c>
      <c r="K312" s="6" t="s">
        <v>681</v>
      </c>
      <c r="L312" s="13" t="s">
        <v>674</v>
      </c>
      <c r="M312" s="6" t="s">
        <v>675</v>
      </c>
      <c r="N312" s="14" t="n">
        <f aca="false">ROUND(D312/MAX(E312,1),1)</f>
        <v>36.9</v>
      </c>
      <c r="O312" s="6" t="s">
        <v>682</v>
      </c>
    </row>
    <row r="313" customFormat="false" ht="15" hidden="false" customHeight="false" outlineLevel="0" collapsed="false">
      <c r="A313" s="6" t="n">
        <v>312</v>
      </c>
      <c r="B313" s="6" t="s">
        <v>1014</v>
      </c>
      <c r="C313" s="6" t="s">
        <v>714</v>
      </c>
      <c r="D313" s="7" t="n">
        <v>1300</v>
      </c>
      <c r="E313" s="6" t="n">
        <v>36</v>
      </c>
      <c r="F313" s="12" t="n">
        <v>0.1</v>
      </c>
      <c r="G313" s="12" t="n">
        <v>0.03</v>
      </c>
      <c r="H313" s="6" t="s">
        <v>678</v>
      </c>
      <c r="I313" s="6" t="s">
        <v>80</v>
      </c>
      <c r="J313" s="6" t="str">
        <f aca="false">IF(E313&lt;=15,"Very Easy",IF(E313&lt;=25,"Easy",IF(E313&lt;=40,"Medium","Hard")))</f>
        <v>Medium</v>
      </c>
      <c r="K313" s="6" t="s">
        <v>681</v>
      </c>
      <c r="L313" s="13" t="s">
        <v>674</v>
      </c>
      <c r="M313" s="6" t="s">
        <v>675</v>
      </c>
      <c r="N313" s="14" t="n">
        <f aca="false">ROUND(D313/MAX(E313,1),1)</f>
        <v>36.1</v>
      </c>
      <c r="O313" s="6" t="s">
        <v>806</v>
      </c>
    </row>
    <row r="314" customFormat="false" ht="15" hidden="false" customHeight="false" outlineLevel="0" collapsed="false">
      <c r="A314" s="6" t="n">
        <v>313</v>
      </c>
      <c r="B314" s="6" t="s">
        <v>1015</v>
      </c>
      <c r="C314" s="6" t="s">
        <v>866</v>
      </c>
      <c r="D314" s="7" t="n">
        <v>720</v>
      </c>
      <c r="E314" s="6" t="n">
        <v>20</v>
      </c>
      <c r="F314" s="12" t="n">
        <v>0.1</v>
      </c>
      <c r="G314" s="12" t="n">
        <v>0.28</v>
      </c>
      <c r="H314" s="6" t="s">
        <v>672</v>
      </c>
      <c r="I314" s="6" t="s">
        <v>80</v>
      </c>
      <c r="J314" s="6" t="str">
        <f aca="false">IF(E314&lt;=15,"Very Easy",IF(E314&lt;=25,"Easy",IF(E314&lt;=40,"Medium","Hard")))</f>
        <v>Easy</v>
      </c>
      <c r="K314" s="6" t="s">
        <v>673</v>
      </c>
      <c r="L314" s="13" t="s">
        <v>674</v>
      </c>
      <c r="M314" s="6" t="s">
        <v>675</v>
      </c>
      <c r="N314" s="14" t="n">
        <f aca="false">ROUND(D314/MAX(E314,1),1)</f>
        <v>36</v>
      </c>
      <c r="O314" s="6" t="s">
        <v>729</v>
      </c>
    </row>
    <row r="315" customFormat="false" ht="15" hidden="false" customHeight="false" outlineLevel="0" collapsed="false">
      <c r="A315" s="6" t="n">
        <v>314</v>
      </c>
      <c r="B315" s="6" t="s">
        <v>1016</v>
      </c>
      <c r="C315" s="6" t="s">
        <v>114</v>
      </c>
      <c r="D315" s="7" t="n">
        <v>880</v>
      </c>
      <c r="E315" s="6" t="n">
        <v>25</v>
      </c>
      <c r="F315" s="12" t="n">
        <v>0.03</v>
      </c>
      <c r="G315" s="12" t="n">
        <v>0.08</v>
      </c>
      <c r="H315" s="6" t="s">
        <v>678</v>
      </c>
      <c r="I315" s="6" t="s">
        <v>80</v>
      </c>
      <c r="J315" s="6" t="str">
        <f aca="false">IF(E315&lt;=15,"Very Easy",IF(E315&lt;=25,"Easy",IF(E315&lt;=40,"Medium","Hard")))</f>
        <v>Easy</v>
      </c>
      <c r="K315" s="6" t="s">
        <v>679</v>
      </c>
      <c r="L315" s="13" t="s">
        <v>674</v>
      </c>
      <c r="M315" s="6" t="s">
        <v>675</v>
      </c>
      <c r="N315" s="14" t="n">
        <f aca="false">ROUND(D315/MAX(E315,1),1)</f>
        <v>35.2</v>
      </c>
      <c r="O315" s="6" t="s">
        <v>682</v>
      </c>
    </row>
    <row r="316" customFormat="false" ht="15" hidden="false" customHeight="false" outlineLevel="0" collapsed="false">
      <c r="A316" s="6" t="n">
        <v>315</v>
      </c>
      <c r="B316" s="6" t="s">
        <v>1017</v>
      </c>
      <c r="C316" s="6" t="s">
        <v>114</v>
      </c>
      <c r="D316" s="7" t="n">
        <v>880</v>
      </c>
      <c r="E316" s="6" t="n">
        <v>25</v>
      </c>
      <c r="F316" s="12" t="n">
        <v>0.02</v>
      </c>
      <c r="G316" s="12" t="n">
        <v>0.16</v>
      </c>
      <c r="H316" s="6" t="s">
        <v>690</v>
      </c>
      <c r="I316" s="6" t="s">
        <v>80</v>
      </c>
      <c r="J316" s="6" t="str">
        <f aca="false">IF(E316&lt;=15,"Very Easy",IF(E316&lt;=25,"Easy",IF(E316&lt;=40,"Medium","Hard")))</f>
        <v>Easy</v>
      </c>
      <c r="K316" s="6" t="s">
        <v>679</v>
      </c>
      <c r="L316" s="13" t="s">
        <v>674</v>
      </c>
      <c r="M316" s="6" t="s">
        <v>675</v>
      </c>
      <c r="N316" s="14" t="n">
        <f aca="false">ROUND(D316/MAX(E316,1),1)</f>
        <v>35.2</v>
      </c>
      <c r="O316" s="6" t="s">
        <v>682</v>
      </c>
    </row>
    <row r="317" customFormat="false" ht="15" hidden="false" customHeight="false" outlineLevel="0" collapsed="false">
      <c r="A317" s="6" t="n">
        <v>316</v>
      </c>
      <c r="B317" s="6" t="s">
        <v>1018</v>
      </c>
      <c r="C317" s="6" t="s">
        <v>52</v>
      </c>
      <c r="D317" s="7" t="n">
        <v>720</v>
      </c>
      <c r="E317" s="6" t="n">
        <v>21</v>
      </c>
      <c r="F317" s="12" t="n">
        <v>0.14</v>
      </c>
      <c r="G317" s="12" t="n">
        <v>0.11</v>
      </c>
      <c r="H317" s="6" t="s">
        <v>678</v>
      </c>
      <c r="I317" s="6" t="s">
        <v>80</v>
      </c>
      <c r="J317" s="6" t="str">
        <f aca="false">IF(E317&lt;=15,"Very Easy",IF(E317&lt;=25,"Easy",IF(E317&lt;=40,"Medium","Hard")))</f>
        <v>Easy</v>
      </c>
      <c r="K317" s="6" t="s">
        <v>681</v>
      </c>
      <c r="L317" s="13" t="s">
        <v>674</v>
      </c>
      <c r="M317" s="6" t="s">
        <v>675</v>
      </c>
      <c r="N317" s="14" t="n">
        <f aca="false">ROUND(D317/MAX(E317,1),1)</f>
        <v>34.3</v>
      </c>
      <c r="O317" s="6" t="s">
        <v>745</v>
      </c>
    </row>
    <row r="318" customFormat="false" ht="15" hidden="false" customHeight="false" outlineLevel="0" collapsed="false">
      <c r="A318" s="6" t="n">
        <v>317</v>
      </c>
      <c r="B318" s="6" t="s">
        <v>1019</v>
      </c>
      <c r="C318" s="6" t="s">
        <v>714</v>
      </c>
      <c r="D318" s="7" t="n">
        <v>1300</v>
      </c>
      <c r="E318" s="6" t="n">
        <v>39</v>
      </c>
      <c r="F318" s="12" t="n">
        <v>0.11</v>
      </c>
      <c r="G318" s="12" t="n">
        <v>0.19</v>
      </c>
      <c r="H318" s="6" t="s">
        <v>678</v>
      </c>
      <c r="I318" s="6" t="s">
        <v>80</v>
      </c>
      <c r="J318" s="6" t="str">
        <f aca="false">IF(E318&lt;=15,"Very Easy",IF(E318&lt;=25,"Easy",IF(E318&lt;=40,"Medium","Hard")))</f>
        <v>Medium</v>
      </c>
      <c r="K318" s="6" t="s">
        <v>681</v>
      </c>
      <c r="L318" s="13" t="s">
        <v>674</v>
      </c>
      <c r="M318" s="6" t="s">
        <v>675</v>
      </c>
      <c r="N318" s="14" t="n">
        <f aca="false">ROUND(D318/MAX(E318,1),1)</f>
        <v>33.3</v>
      </c>
      <c r="O318" s="6" t="s">
        <v>682</v>
      </c>
    </row>
    <row r="319" customFormat="false" ht="15" hidden="false" customHeight="false" outlineLevel="0" collapsed="false">
      <c r="A319" s="6" t="n">
        <v>318</v>
      </c>
      <c r="B319" s="6" t="s">
        <v>1020</v>
      </c>
      <c r="C319" s="6" t="s">
        <v>866</v>
      </c>
      <c r="D319" s="7" t="n">
        <v>1000</v>
      </c>
      <c r="E319" s="6" t="n">
        <v>30</v>
      </c>
      <c r="F319" s="12" t="n">
        <v>0.08</v>
      </c>
      <c r="G319" s="12" t="n">
        <v>0.37</v>
      </c>
      <c r="H319" s="6" t="s">
        <v>690</v>
      </c>
      <c r="I319" s="6" t="s">
        <v>80</v>
      </c>
      <c r="J319" s="6" t="str">
        <f aca="false">IF(E319&lt;=15,"Very Easy",IF(E319&lt;=25,"Easy",IF(E319&lt;=40,"Medium","Hard")))</f>
        <v>Medium</v>
      </c>
      <c r="K319" s="6" t="s">
        <v>679</v>
      </c>
      <c r="L319" s="13" t="s">
        <v>674</v>
      </c>
      <c r="M319" s="6" t="s">
        <v>675</v>
      </c>
      <c r="N319" s="14" t="n">
        <f aca="false">ROUND(D319/MAX(E319,1),1)</f>
        <v>33.3</v>
      </c>
      <c r="O319" s="6" t="s">
        <v>682</v>
      </c>
    </row>
    <row r="320" customFormat="false" ht="15" hidden="false" customHeight="false" outlineLevel="0" collapsed="false">
      <c r="A320" s="6" t="n">
        <v>319</v>
      </c>
      <c r="B320" s="6" t="s">
        <v>1021</v>
      </c>
      <c r="C320" s="6" t="s">
        <v>685</v>
      </c>
      <c r="D320" s="7" t="n">
        <v>1000</v>
      </c>
      <c r="E320" s="6" t="n">
        <v>30</v>
      </c>
      <c r="F320" s="12" t="n">
        <v>0.09</v>
      </c>
      <c r="G320" s="12" t="n">
        <v>0.11</v>
      </c>
      <c r="H320" s="6" t="s">
        <v>678</v>
      </c>
      <c r="I320" s="6" t="s">
        <v>80</v>
      </c>
      <c r="J320" s="6" t="str">
        <f aca="false">IF(E320&lt;=15,"Very Easy",IF(E320&lt;=25,"Easy",IF(E320&lt;=40,"Medium","Hard")))</f>
        <v>Medium</v>
      </c>
      <c r="K320" s="6" t="s">
        <v>679</v>
      </c>
      <c r="L320" s="13" t="s">
        <v>674</v>
      </c>
      <c r="M320" s="6" t="s">
        <v>675</v>
      </c>
      <c r="N320" s="14" t="n">
        <f aca="false">ROUND(D320/MAX(E320,1),1)</f>
        <v>33.3</v>
      </c>
      <c r="O320" s="6" t="s">
        <v>682</v>
      </c>
    </row>
    <row r="321" customFormat="false" ht="15" hidden="false" customHeight="false" outlineLevel="0" collapsed="false">
      <c r="A321" s="6" t="n">
        <v>320</v>
      </c>
      <c r="B321" s="6" t="s">
        <v>1022</v>
      </c>
      <c r="C321" s="6" t="s">
        <v>52</v>
      </c>
      <c r="D321" s="7" t="n">
        <v>590</v>
      </c>
      <c r="E321" s="6" t="n">
        <v>18</v>
      </c>
      <c r="F321" s="12" t="n">
        <v>0.05</v>
      </c>
      <c r="G321" s="12" t="n">
        <v>0.41</v>
      </c>
      <c r="H321" s="6" t="s">
        <v>678</v>
      </c>
      <c r="I321" s="6" t="s">
        <v>80</v>
      </c>
      <c r="J321" s="6" t="str">
        <f aca="false">IF(E321&lt;=15,"Very Easy",IF(E321&lt;=25,"Easy",IF(E321&lt;=40,"Medium","Hard")))</f>
        <v>Easy</v>
      </c>
      <c r="K321" s="6" t="s">
        <v>679</v>
      </c>
      <c r="L321" s="13" t="s">
        <v>674</v>
      </c>
      <c r="M321" s="6" t="s">
        <v>675</v>
      </c>
      <c r="N321" s="14" t="n">
        <f aca="false">ROUND(D321/MAX(E321,1),1)</f>
        <v>32.8</v>
      </c>
      <c r="O321" s="6" t="s">
        <v>745</v>
      </c>
    </row>
    <row r="322" customFormat="false" ht="15" hidden="false" customHeight="false" outlineLevel="0" collapsed="false">
      <c r="A322" s="6" t="n">
        <v>321</v>
      </c>
      <c r="B322" s="6" t="s">
        <v>1023</v>
      </c>
      <c r="C322" s="6" t="s">
        <v>579</v>
      </c>
      <c r="D322" s="7" t="n">
        <v>260</v>
      </c>
      <c r="E322" s="6" t="n">
        <v>8</v>
      </c>
      <c r="F322" s="12" t="n">
        <v>0.12</v>
      </c>
      <c r="G322" s="12" t="n">
        <v>0.25</v>
      </c>
      <c r="H322" s="6" t="s">
        <v>733</v>
      </c>
      <c r="I322" s="6" t="s">
        <v>80</v>
      </c>
      <c r="J322" s="6" t="str">
        <f aca="false">IF(E322&lt;=15,"Very Easy",IF(E322&lt;=25,"Easy",IF(E322&lt;=40,"Medium","Hard")))</f>
        <v>Very Easy</v>
      </c>
      <c r="K322" s="6" t="s">
        <v>681</v>
      </c>
      <c r="L322" s="13" t="s">
        <v>674</v>
      </c>
      <c r="M322" s="6" t="s">
        <v>675</v>
      </c>
      <c r="N322" s="14" t="n">
        <f aca="false">ROUND(D322/MAX(E322,1),1)</f>
        <v>32.5</v>
      </c>
      <c r="O322" s="6" t="s">
        <v>682</v>
      </c>
    </row>
    <row r="323" customFormat="false" ht="15" hidden="false" customHeight="false" outlineLevel="0" collapsed="false">
      <c r="A323" s="6" t="n">
        <v>322</v>
      </c>
      <c r="B323" s="6" t="s">
        <v>1024</v>
      </c>
      <c r="C323" s="6" t="s">
        <v>866</v>
      </c>
      <c r="D323" s="7" t="n">
        <v>480</v>
      </c>
      <c r="E323" s="6" t="n">
        <v>15</v>
      </c>
      <c r="F323" s="12" t="n">
        <v>0.1</v>
      </c>
      <c r="G323" s="12" t="n">
        <v>0.12</v>
      </c>
      <c r="H323" s="6" t="s">
        <v>733</v>
      </c>
      <c r="I323" s="6" t="s">
        <v>80</v>
      </c>
      <c r="J323" s="6" t="str">
        <f aca="false">IF(E323&lt;=15,"Very Easy",IF(E323&lt;=25,"Easy",IF(E323&lt;=40,"Medium","Hard")))</f>
        <v>Very Easy</v>
      </c>
      <c r="K323" s="6" t="s">
        <v>681</v>
      </c>
      <c r="L323" s="13" t="s">
        <v>674</v>
      </c>
      <c r="M323" s="6" t="s">
        <v>675</v>
      </c>
      <c r="N323" s="14" t="n">
        <f aca="false">ROUND(D323/MAX(E323,1),1)</f>
        <v>32</v>
      </c>
      <c r="O323" s="6" t="s">
        <v>682</v>
      </c>
    </row>
    <row r="324" customFormat="false" ht="15" hidden="false" customHeight="false" outlineLevel="0" collapsed="false">
      <c r="A324" s="6" t="n">
        <v>323</v>
      </c>
      <c r="B324" s="6" t="s">
        <v>1025</v>
      </c>
      <c r="C324" s="6" t="s">
        <v>579</v>
      </c>
      <c r="D324" s="7" t="n">
        <v>320</v>
      </c>
      <c r="E324" s="6" t="n">
        <v>10</v>
      </c>
      <c r="F324" s="12" t="n">
        <v>0.16</v>
      </c>
      <c r="G324" s="12" t="n">
        <v>0.3</v>
      </c>
      <c r="H324" s="6" t="s">
        <v>678</v>
      </c>
      <c r="I324" s="6" t="s">
        <v>80</v>
      </c>
      <c r="J324" s="6" t="str">
        <f aca="false">IF(E324&lt;=15,"Very Easy",IF(E324&lt;=25,"Easy",IF(E324&lt;=40,"Medium","Hard")))</f>
        <v>Very Easy</v>
      </c>
      <c r="K324" s="6" t="s">
        <v>681</v>
      </c>
      <c r="L324" s="13" t="s">
        <v>674</v>
      </c>
      <c r="M324" s="6" t="s">
        <v>675</v>
      </c>
      <c r="N324" s="14" t="n">
        <f aca="false">ROUND(D324/MAX(E324,1),1)</f>
        <v>32</v>
      </c>
      <c r="O324" s="6" t="s">
        <v>682</v>
      </c>
    </row>
    <row r="325" customFormat="false" ht="15" hidden="false" customHeight="false" outlineLevel="0" collapsed="false">
      <c r="A325" s="6" t="n">
        <v>324</v>
      </c>
      <c r="B325" s="6" t="s">
        <v>1026</v>
      </c>
      <c r="C325" s="6" t="s">
        <v>52</v>
      </c>
      <c r="D325" s="7" t="n">
        <v>320</v>
      </c>
      <c r="E325" s="6" t="n">
        <v>10</v>
      </c>
      <c r="F325" s="12" t="n">
        <v>0.13</v>
      </c>
      <c r="G325" s="12" t="n">
        <v>0.05</v>
      </c>
      <c r="H325" s="6" t="s">
        <v>678</v>
      </c>
      <c r="I325" s="6" t="s">
        <v>80</v>
      </c>
      <c r="J325" s="6" t="str">
        <f aca="false">IF(E325&lt;=15,"Very Easy",IF(E325&lt;=25,"Easy",IF(E325&lt;=40,"Medium","Hard")))</f>
        <v>Very Easy</v>
      </c>
      <c r="K325" s="6" t="s">
        <v>681</v>
      </c>
      <c r="L325" s="13" t="s">
        <v>674</v>
      </c>
      <c r="M325" s="6" t="s">
        <v>675</v>
      </c>
      <c r="N325" s="14" t="n">
        <f aca="false">ROUND(D325/MAX(E325,1),1)</f>
        <v>32</v>
      </c>
      <c r="O325" s="6" t="s">
        <v>745</v>
      </c>
    </row>
    <row r="326" customFormat="false" ht="15" hidden="false" customHeight="false" outlineLevel="0" collapsed="false">
      <c r="A326" s="6" t="n">
        <v>325</v>
      </c>
      <c r="B326" s="6" t="s">
        <v>1027</v>
      </c>
      <c r="C326" s="6" t="s">
        <v>114</v>
      </c>
      <c r="D326" s="7" t="n">
        <v>590</v>
      </c>
      <c r="E326" s="6" t="n">
        <v>19</v>
      </c>
      <c r="F326" s="12" t="n">
        <v>0.02</v>
      </c>
      <c r="G326" s="12" t="n">
        <v>0.22</v>
      </c>
      <c r="H326" s="6" t="s">
        <v>672</v>
      </c>
      <c r="I326" s="6" t="s">
        <v>80</v>
      </c>
      <c r="J326" s="6" t="str">
        <f aca="false">IF(E326&lt;=15,"Very Easy",IF(E326&lt;=25,"Easy",IF(E326&lt;=40,"Medium","Hard")))</f>
        <v>Easy</v>
      </c>
      <c r="K326" s="6" t="s">
        <v>673</v>
      </c>
      <c r="L326" s="13" t="s">
        <v>674</v>
      </c>
      <c r="M326" s="6" t="s">
        <v>675</v>
      </c>
      <c r="N326" s="14" t="n">
        <f aca="false">ROUND(D326/MAX(E326,1),1)</f>
        <v>31.1</v>
      </c>
      <c r="O326" s="6" t="s">
        <v>676</v>
      </c>
    </row>
    <row r="327" customFormat="false" ht="15" hidden="false" customHeight="false" outlineLevel="0" collapsed="false">
      <c r="A327" s="6" t="n">
        <v>326</v>
      </c>
      <c r="B327" s="6" t="s">
        <v>1028</v>
      </c>
      <c r="C327" s="6" t="s">
        <v>52</v>
      </c>
      <c r="D327" s="7" t="n">
        <v>590</v>
      </c>
      <c r="E327" s="6" t="n">
        <v>19</v>
      </c>
      <c r="F327" s="12" t="n">
        <v>0.13</v>
      </c>
      <c r="G327" s="12" t="n">
        <v>0.23</v>
      </c>
      <c r="H327" s="6" t="s">
        <v>678</v>
      </c>
      <c r="I327" s="6" t="s">
        <v>80</v>
      </c>
      <c r="J327" s="6" t="str">
        <f aca="false">IF(E327&lt;=15,"Very Easy",IF(E327&lt;=25,"Easy",IF(E327&lt;=40,"Medium","Hard")))</f>
        <v>Easy</v>
      </c>
      <c r="K327" s="6" t="s">
        <v>681</v>
      </c>
      <c r="L327" s="13" t="s">
        <v>674</v>
      </c>
      <c r="M327" s="6" t="s">
        <v>675</v>
      </c>
      <c r="N327" s="14" t="n">
        <f aca="false">ROUND(D327/MAX(E327,1),1)</f>
        <v>31.1</v>
      </c>
      <c r="O327" s="6" t="s">
        <v>745</v>
      </c>
    </row>
    <row r="328" customFormat="false" ht="15" hidden="false" customHeight="false" outlineLevel="0" collapsed="false">
      <c r="A328" s="6" t="n">
        <v>327</v>
      </c>
      <c r="B328" s="6" t="s">
        <v>1029</v>
      </c>
      <c r="C328" s="6" t="s">
        <v>866</v>
      </c>
      <c r="D328" s="7" t="n">
        <v>480</v>
      </c>
      <c r="E328" s="6" t="n">
        <v>16</v>
      </c>
      <c r="F328" s="12" t="n">
        <v>0.08</v>
      </c>
      <c r="G328" s="12" t="n">
        <v>0.22</v>
      </c>
      <c r="H328" s="6" t="s">
        <v>678</v>
      </c>
      <c r="I328" s="6" t="s">
        <v>80</v>
      </c>
      <c r="J328" s="6" t="str">
        <f aca="false">IF(E328&lt;=15,"Very Easy",IF(E328&lt;=25,"Easy",IF(E328&lt;=40,"Medium","Hard")))</f>
        <v>Easy</v>
      </c>
      <c r="K328" s="6" t="s">
        <v>679</v>
      </c>
      <c r="L328" s="13" t="s">
        <v>674</v>
      </c>
      <c r="M328" s="6" t="s">
        <v>675</v>
      </c>
      <c r="N328" s="14" t="n">
        <f aca="false">ROUND(D328/MAX(E328,1),1)</f>
        <v>30</v>
      </c>
      <c r="O328" s="6" t="s">
        <v>682</v>
      </c>
    </row>
    <row r="329" customFormat="false" ht="15" hidden="false" customHeight="false" outlineLevel="0" collapsed="false">
      <c r="A329" s="6" t="n">
        <v>328</v>
      </c>
      <c r="B329" s="6" t="s">
        <v>1030</v>
      </c>
      <c r="C329" s="6" t="s">
        <v>866</v>
      </c>
      <c r="D329" s="7" t="n">
        <v>210</v>
      </c>
      <c r="E329" s="6" t="n">
        <v>7</v>
      </c>
      <c r="F329" s="12" t="n">
        <v>0.08</v>
      </c>
      <c r="G329" s="12" t="n">
        <v>0.22</v>
      </c>
      <c r="H329" s="6" t="s">
        <v>672</v>
      </c>
      <c r="I329" s="6" t="s">
        <v>80</v>
      </c>
      <c r="J329" s="6" t="str">
        <f aca="false">IF(E329&lt;=15,"Very Easy",IF(E329&lt;=25,"Easy",IF(E329&lt;=40,"Medium","Hard")))</f>
        <v>Very Easy</v>
      </c>
      <c r="K329" s="6" t="s">
        <v>673</v>
      </c>
      <c r="L329" s="13" t="s">
        <v>674</v>
      </c>
      <c r="M329" s="6" t="s">
        <v>675</v>
      </c>
      <c r="N329" s="14" t="n">
        <f aca="false">ROUND(D329/MAX(E329,1),1)</f>
        <v>30</v>
      </c>
      <c r="O329" s="6" t="s">
        <v>729</v>
      </c>
    </row>
    <row r="330" customFormat="false" ht="15" hidden="false" customHeight="false" outlineLevel="0" collapsed="false">
      <c r="A330" s="6" t="n">
        <v>329</v>
      </c>
      <c r="B330" s="6" t="s">
        <v>1031</v>
      </c>
      <c r="C330" s="6" t="s">
        <v>866</v>
      </c>
      <c r="D330" s="7" t="n">
        <v>210</v>
      </c>
      <c r="E330" s="6" t="n">
        <v>7</v>
      </c>
      <c r="F330" s="12" t="n">
        <v>0.09</v>
      </c>
      <c r="G330" s="12" t="n">
        <v>0.12</v>
      </c>
      <c r="H330" s="6" t="s">
        <v>672</v>
      </c>
      <c r="I330" s="6" t="s">
        <v>80</v>
      </c>
      <c r="J330" s="6" t="str">
        <f aca="false">IF(E330&lt;=15,"Very Easy",IF(E330&lt;=25,"Easy",IF(E330&lt;=40,"Medium","Hard")))</f>
        <v>Very Easy</v>
      </c>
      <c r="K330" s="6" t="s">
        <v>673</v>
      </c>
      <c r="L330" s="13" t="s">
        <v>674</v>
      </c>
      <c r="M330" s="6" t="s">
        <v>675</v>
      </c>
      <c r="N330" s="14" t="n">
        <f aca="false">ROUND(D330/MAX(E330,1),1)</f>
        <v>30</v>
      </c>
      <c r="O330" s="6" t="s">
        <v>676</v>
      </c>
    </row>
    <row r="331" customFormat="false" ht="15" hidden="false" customHeight="false" outlineLevel="0" collapsed="false">
      <c r="A331" s="6" t="n">
        <v>330</v>
      </c>
      <c r="B331" s="6" t="s">
        <v>1032</v>
      </c>
      <c r="C331" s="6" t="s">
        <v>114</v>
      </c>
      <c r="D331" s="7" t="n">
        <v>590</v>
      </c>
      <c r="E331" s="6" t="n">
        <v>20</v>
      </c>
      <c r="F331" s="12" t="n">
        <v>0.13</v>
      </c>
      <c r="G331" s="12" t="n">
        <v>0.06</v>
      </c>
      <c r="H331" s="6" t="s">
        <v>678</v>
      </c>
      <c r="I331" s="6" t="s">
        <v>80</v>
      </c>
      <c r="J331" s="6" t="str">
        <f aca="false">IF(E331&lt;=15,"Very Easy",IF(E331&lt;=25,"Easy",IF(E331&lt;=40,"Medium","Hard")))</f>
        <v>Easy</v>
      </c>
      <c r="K331" s="6" t="s">
        <v>681</v>
      </c>
      <c r="L331" s="13" t="s">
        <v>674</v>
      </c>
      <c r="M331" s="6" t="s">
        <v>675</v>
      </c>
      <c r="N331" s="14" t="n">
        <f aca="false">ROUND(D331/MAX(E331,1),1)</f>
        <v>29.5</v>
      </c>
      <c r="O331" s="6" t="s">
        <v>682</v>
      </c>
    </row>
    <row r="332" customFormat="false" ht="15" hidden="false" customHeight="false" outlineLevel="0" collapsed="false">
      <c r="A332" s="6" t="n">
        <v>331</v>
      </c>
      <c r="B332" s="6" t="s">
        <v>1033</v>
      </c>
      <c r="C332" s="6" t="s">
        <v>866</v>
      </c>
      <c r="D332" s="7" t="n">
        <v>260</v>
      </c>
      <c r="E332" s="6" t="n">
        <v>9</v>
      </c>
      <c r="F332" s="12" t="n">
        <v>0.1</v>
      </c>
      <c r="G332" s="12" t="n">
        <v>0.31</v>
      </c>
      <c r="H332" s="6" t="s">
        <v>672</v>
      </c>
      <c r="I332" s="6" t="s">
        <v>80</v>
      </c>
      <c r="J332" s="6" t="str">
        <f aca="false">IF(E332&lt;=15,"Very Easy",IF(E332&lt;=25,"Easy",IF(E332&lt;=40,"Medium","Hard")))</f>
        <v>Very Easy</v>
      </c>
      <c r="K332" s="6" t="s">
        <v>673</v>
      </c>
      <c r="L332" s="13" t="s">
        <v>674</v>
      </c>
      <c r="M332" s="6" t="s">
        <v>675</v>
      </c>
      <c r="N332" s="14" t="n">
        <f aca="false">ROUND(D332/MAX(E332,1),1)</f>
        <v>28.9</v>
      </c>
      <c r="O332" s="6" t="s">
        <v>729</v>
      </c>
    </row>
    <row r="333" customFormat="false" ht="15" hidden="false" customHeight="false" outlineLevel="0" collapsed="false">
      <c r="A333" s="6" t="n">
        <v>332</v>
      </c>
      <c r="B333" s="6" t="s">
        <v>1034</v>
      </c>
      <c r="C333" s="6" t="s">
        <v>231</v>
      </c>
      <c r="D333" s="7" t="n">
        <v>590</v>
      </c>
      <c r="E333" s="6" t="n">
        <v>22</v>
      </c>
      <c r="F333" s="12" t="n">
        <v>0.1</v>
      </c>
      <c r="G333" s="12" t="n">
        <v>0.06</v>
      </c>
      <c r="H333" s="6" t="s">
        <v>678</v>
      </c>
      <c r="I333" s="6" t="s">
        <v>80</v>
      </c>
      <c r="J333" s="6" t="str">
        <f aca="false">IF(E333&lt;=15,"Very Easy",IF(E333&lt;=25,"Easy",IF(E333&lt;=40,"Medium","Hard")))</f>
        <v>Easy</v>
      </c>
      <c r="K333" s="6" t="s">
        <v>681</v>
      </c>
      <c r="L333" s="13" t="s">
        <v>674</v>
      </c>
      <c r="M333" s="6" t="s">
        <v>675</v>
      </c>
      <c r="N333" s="14" t="n">
        <f aca="false">ROUND(D333/MAX(E333,1),1)</f>
        <v>26.8</v>
      </c>
      <c r="O333" s="6" t="s">
        <v>682</v>
      </c>
    </row>
    <row r="334" customFormat="false" ht="15" hidden="false" customHeight="false" outlineLevel="0" collapsed="false">
      <c r="A334" s="6" t="n">
        <v>333</v>
      </c>
      <c r="B334" s="6" t="s">
        <v>1035</v>
      </c>
      <c r="C334" s="6" t="s">
        <v>114</v>
      </c>
      <c r="D334" s="7" t="n">
        <v>590</v>
      </c>
      <c r="E334" s="6" t="n">
        <v>22</v>
      </c>
      <c r="F334" s="12" t="n">
        <v>0.02</v>
      </c>
      <c r="G334" s="12" t="n">
        <v>0.2</v>
      </c>
      <c r="H334" s="6" t="s">
        <v>690</v>
      </c>
      <c r="I334" s="6" t="s">
        <v>80</v>
      </c>
      <c r="J334" s="6" t="str">
        <f aca="false">IF(E334&lt;=15,"Very Easy",IF(E334&lt;=25,"Easy",IF(E334&lt;=40,"Medium","Hard")))</f>
        <v>Easy</v>
      </c>
      <c r="K334" s="6" t="s">
        <v>679</v>
      </c>
      <c r="L334" s="13" t="s">
        <v>674</v>
      </c>
      <c r="M334" s="6" t="s">
        <v>675</v>
      </c>
      <c r="N334" s="14" t="n">
        <f aca="false">ROUND(D334/MAX(E334,1),1)</f>
        <v>26.8</v>
      </c>
      <c r="O334" s="6" t="s">
        <v>682</v>
      </c>
    </row>
    <row r="335" customFormat="false" ht="15" hidden="false" customHeight="false" outlineLevel="0" collapsed="false">
      <c r="A335" s="6" t="n">
        <v>334</v>
      </c>
      <c r="B335" s="6" t="s">
        <v>1036</v>
      </c>
      <c r="C335" s="6" t="s">
        <v>269</v>
      </c>
      <c r="D335" s="7" t="n">
        <v>720</v>
      </c>
      <c r="E335" s="6" t="n">
        <v>27</v>
      </c>
      <c r="F335" s="12" t="n">
        <v>0.08</v>
      </c>
      <c r="G335" s="12" t="n">
        <v>0.31</v>
      </c>
      <c r="H335" s="6" t="s">
        <v>678</v>
      </c>
      <c r="I335" s="6" t="s">
        <v>80</v>
      </c>
      <c r="J335" s="6" t="str">
        <f aca="false">IF(E335&lt;=15,"Very Easy",IF(E335&lt;=25,"Easy",IF(E335&lt;=40,"Medium","Hard")))</f>
        <v>Medium</v>
      </c>
      <c r="K335" s="6" t="s">
        <v>679</v>
      </c>
      <c r="L335" s="13" t="s">
        <v>674</v>
      </c>
      <c r="M335" s="6" t="s">
        <v>675</v>
      </c>
      <c r="N335" s="14" t="n">
        <f aca="false">ROUND(D335/MAX(E335,1),1)</f>
        <v>26.7</v>
      </c>
      <c r="O335" s="6" t="s">
        <v>682</v>
      </c>
    </row>
    <row r="336" customFormat="false" ht="15" hidden="false" customHeight="false" outlineLevel="0" collapsed="false">
      <c r="A336" s="6" t="n">
        <v>335</v>
      </c>
      <c r="B336" s="6" t="s">
        <v>1037</v>
      </c>
      <c r="C336" s="6" t="s">
        <v>579</v>
      </c>
      <c r="D336" s="7" t="n">
        <v>320</v>
      </c>
      <c r="E336" s="6" t="n">
        <v>12</v>
      </c>
      <c r="F336" s="12" t="n">
        <v>0.13</v>
      </c>
      <c r="G336" s="12" t="n">
        <v>0.2</v>
      </c>
      <c r="H336" s="6" t="s">
        <v>672</v>
      </c>
      <c r="I336" s="6" t="s">
        <v>80</v>
      </c>
      <c r="J336" s="6" t="str">
        <f aca="false">IF(E336&lt;=15,"Very Easy",IF(E336&lt;=25,"Easy",IF(E336&lt;=40,"Medium","Hard")))</f>
        <v>Very Easy</v>
      </c>
      <c r="K336" s="6" t="s">
        <v>673</v>
      </c>
      <c r="L336" s="13" t="s">
        <v>674</v>
      </c>
      <c r="M336" s="6" t="s">
        <v>675</v>
      </c>
      <c r="N336" s="14" t="n">
        <f aca="false">ROUND(D336/MAX(E336,1),1)</f>
        <v>26.7</v>
      </c>
      <c r="O336" s="6" t="s">
        <v>729</v>
      </c>
    </row>
    <row r="337" customFormat="false" ht="15" hidden="false" customHeight="false" outlineLevel="0" collapsed="false">
      <c r="A337" s="6" t="n">
        <v>336</v>
      </c>
      <c r="B337" s="6" t="s">
        <v>1038</v>
      </c>
      <c r="C337" s="6" t="s">
        <v>52</v>
      </c>
      <c r="D337" s="7" t="n">
        <v>210</v>
      </c>
      <c r="E337" s="6" t="n">
        <v>8</v>
      </c>
      <c r="F337" s="12" t="n">
        <v>0.15</v>
      </c>
      <c r="G337" s="12" t="n">
        <v>0.34</v>
      </c>
      <c r="H337" s="6" t="s">
        <v>672</v>
      </c>
      <c r="I337" s="6" t="s">
        <v>80</v>
      </c>
      <c r="J337" s="6" t="str">
        <f aca="false">IF(E337&lt;=15,"Very Easy",IF(E337&lt;=25,"Easy",IF(E337&lt;=40,"Medium","Hard")))</f>
        <v>Very Easy</v>
      </c>
      <c r="K337" s="6" t="s">
        <v>673</v>
      </c>
      <c r="L337" s="13" t="s">
        <v>674</v>
      </c>
      <c r="M337" s="6" t="s">
        <v>675</v>
      </c>
      <c r="N337" s="14" t="n">
        <f aca="false">ROUND(D337/MAX(E337,1),1)</f>
        <v>26.3</v>
      </c>
      <c r="O337" s="6" t="s">
        <v>745</v>
      </c>
    </row>
    <row r="338" customFormat="false" ht="15" hidden="false" customHeight="false" outlineLevel="0" collapsed="false">
      <c r="A338" s="6" t="n">
        <v>337</v>
      </c>
      <c r="B338" s="6" t="s">
        <v>1039</v>
      </c>
      <c r="C338" s="6" t="s">
        <v>866</v>
      </c>
      <c r="D338" s="7" t="n">
        <v>260</v>
      </c>
      <c r="E338" s="6" t="n">
        <v>10</v>
      </c>
      <c r="F338" s="12" t="n">
        <v>0.07</v>
      </c>
      <c r="G338" s="12" t="n">
        <v>0.16</v>
      </c>
      <c r="H338" s="6" t="s">
        <v>678</v>
      </c>
      <c r="I338" s="6" t="s">
        <v>80</v>
      </c>
      <c r="J338" s="6" t="str">
        <f aca="false">IF(E338&lt;=15,"Very Easy",IF(E338&lt;=25,"Easy",IF(E338&lt;=40,"Medium","Hard")))</f>
        <v>Very Easy</v>
      </c>
      <c r="K338" s="6" t="s">
        <v>679</v>
      </c>
      <c r="L338" s="13" t="s">
        <v>674</v>
      </c>
      <c r="M338" s="6" t="s">
        <v>675</v>
      </c>
      <c r="N338" s="14" t="n">
        <f aca="false">ROUND(D338/MAX(E338,1),1)</f>
        <v>26</v>
      </c>
      <c r="O338" s="6" t="s">
        <v>682</v>
      </c>
    </row>
    <row r="339" customFormat="false" ht="15" hidden="false" customHeight="false" outlineLevel="0" collapsed="false">
      <c r="A339" s="6" t="n">
        <v>338</v>
      </c>
      <c r="B339" s="6" t="s">
        <v>1040</v>
      </c>
      <c r="C339" s="6" t="s">
        <v>52</v>
      </c>
      <c r="D339" s="7" t="n">
        <v>390</v>
      </c>
      <c r="E339" s="6" t="n">
        <v>17</v>
      </c>
      <c r="F339" s="12" t="n">
        <v>0.15</v>
      </c>
      <c r="G339" s="12" t="n">
        <v>0.52</v>
      </c>
      <c r="H339" s="6" t="s">
        <v>672</v>
      </c>
      <c r="I339" s="6" t="s">
        <v>80</v>
      </c>
      <c r="J339" s="6" t="str">
        <f aca="false">IF(E339&lt;=15,"Very Easy",IF(E339&lt;=25,"Easy",IF(E339&lt;=40,"Medium","Hard")))</f>
        <v>Easy</v>
      </c>
      <c r="K339" s="6" t="s">
        <v>673</v>
      </c>
      <c r="L339" s="13" t="s">
        <v>674</v>
      </c>
      <c r="M339" s="6" t="s">
        <v>675</v>
      </c>
      <c r="N339" s="14" t="n">
        <f aca="false">ROUND(D339/MAX(E339,1),1)</f>
        <v>22.9</v>
      </c>
      <c r="O339" s="6" t="s">
        <v>729</v>
      </c>
    </row>
    <row r="340" customFormat="false" ht="15" hidden="false" customHeight="false" outlineLevel="0" collapsed="false">
      <c r="A340" s="6" t="n">
        <v>339</v>
      </c>
      <c r="B340" s="6" t="s">
        <v>1041</v>
      </c>
      <c r="C340" s="6" t="s">
        <v>579</v>
      </c>
      <c r="D340" s="7" t="n">
        <v>390</v>
      </c>
      <c r="E340" s="6" t="n">
        <v>19</v>
      </c>
      <c r="F340" s="12" t="n">
        <v>0.09</v>
      </c>
      <c r="G340" s="12" t="n">
        <v>0.11</v>
      </c>
      <c r="H340" s="6" t="s">
        <v>733</v>
      </c>
      <c r="I340" s="6" t="s">
        <v>80</v>
      </c>
      <c r="J340" s="6" t="str">
        <f aca="false">IF(E340&lt;=15,"Very Easy",IF(E340&lt;=25,"Easy",IF(E340&lt;=40,"Medium","Hard")))</f>
        <v>Easy</v>
      </c>
      <c r="K340" s="6" t="s">
        <v>679</v>
      </c>
      <c r="L340" s="13" t="s">
        <v>674</v>
      </c>
      <c r="M340" s="6" t="s">
        <v>675</v>
      </c>
      <c r="N340" s="14" t="n">
        <f aca="false">ROUND(D340/MAX(E340,1),1)</f>
        <v>20.5</v>
      </c>
      <c r="O340" s="6" t="s">
        <v>682</v>
      </c>
    </row>
    <row r="341" customFormat="false" ht="15" hidden="false" customHeight="false" outlineLevel="0" collapsed="false">
      <c r="A341" s="6" t="n">
        <v>340</v>
      </c>
      <c r="B341" s="6" t="s">
        <v>1042</v>
      </c>
      <c r="C341" s="6" t="s">
        <v>579</v>
      </c>
      <c r="D341" s="7" t="n">
        <v>260</v>
      </c>
      <c r="E341" s="6" t="n">
        <v>13</v>
      </c>
      <c r="F341" s="12" t="n">
        <v>0.15</v>
      </c>
      <c r="G341" s="12" t="n">
        <v>0.11</v>
      </c>
      <c r="H341" s="6" t="s">
        <v>672</v>
      </c>
      <c r="I341" s="6" t="s">
        <v>80</v>
      </c>
      <c r="J341" s="6" t="str">
        <f aca="false">IF(E341&lt;=15,"Very Easy",IF(E341&lt;=25,"Easy",IF(E341&lt;=40,"Medium","Hard")))</f>
        <v>Very Easy</v>
      </c>
      <c r="K341" s="6" t="s">
        <v>673</v>
      </c>
      <c r="L341" s="13" t="s">
        <v>674</v>
      </c>
      <c r="M341" s="6" t="s">
        <v>675</v>
      </c>
      <c r="N341" s="14" t="n">
        <f aca="false">ROUND(D341/MAX(E341,1),1)</f>
        <v>20</v>
      </c>
      <c r="O341" s="6" t="s">
        <v>682</v>
      </c>
    </row>
    <row r="342" customFormat="false" ht="15" hidden="false" customHeight="false" outlineLevel="0" collapsed="false">
      <c r="A342" s="6" t="n">
        <v>341</v>
      </c>
      <c r="B342" s="6" t="s">
        <v>1043</v>
      </c>
      <c r="C342" s="6" t="s">
        <v>866</v>
      </c>
      <c r="D342" s="7" t="n">
        <v>320</v>
      </c>
      <c r="E342" s="6" t="n">
        <v>17</v>
      </c>
      <c r="F342" s="12" t="n">
        <v>0.04</v>
      </c>
      <c r="G342" s="12" t="n">
        <v>0.19</v>
      </c>
      <c r="H342" s="6" t="s">
        <v>678</v>
      </c>
      <c r="I342" s="6" t="s">
        <v>80</v>
      </c>
      <c r="J342" s="6" t="str">
        <f aca="false">IF(E342&lt;=15,"Very Easy",IF(E342&lt;=25,"Easy",IF(E342&lt;=40,"Medium","Hard")))</f>
        <v>Easy</v>
      </c>
      <c r="K342" s="6" t="s">
        <v>679</v>
      </c>
      <c r="L342" s="13" t="s">
        <v>674</v>
      </c>
      <c r="M342" s="6" t="s">
        <v>675</v>
      </c>
      <c r="N342" s="14" t="n">
        <f aca="false">ROUND(D342/MAX(E342,1),1)</f>
        <v>18.8</v>
      </c>
      <c r="O342" s="6" t="s">
        <v>682</v>
      </c>
    </row>
    <row r="343" customFormat="false" ht="15" hidden="false" customHeight="false" outlineLevel="0" collapsed="false">
      <c r="A343" s="6" t="n">
        <v>342</v>
      </c>
      <c r="B343" s="6" t="s">
        <v>1044</v>
      </c>
      <c r="C343" s="6" t="s">
        <v>866</v>
      </c>
      <c r="D343" s="7" t="n">
        <v>390</v>
      </c>
      <c r="E343" s="6" t="n">
        <v>21</v>
      </c>
      <c r="F343" s="12" t="n">
        <v>0.1</v>
      </c>
      <c r="G343" s="12" t="n">
        <v>0.17</v>
      </c>
      <c r="H343" s="6" t="s">
        <v>733</v>
      </c>
      <c r="I343" s="6" t="s">
        <v>80</v>
      </c>
      <c r="J343" s="6" t="str">
        <f aca="false">IF(E343&lt;=15,"Very Easy",IF(E343&lt;=25,"Easy",IF(E343&lt;=40,"Medium","Hard")))</f>
        <v>Easy</v>
      </c>
      <c r="K343" s="6" t="s">
        <v>681</v>
      </c>
      <c r="L343" s="13" t="s">
        <v>674</v>
      </c>
      <c r="M343" s="6" t="s">
        <v>675</v>
      </c>
      <c r="N343" s="14" t="n">
        <f aca="false">ROUND(D343/MAX(E343,1),1)</f>
        <v>18.6</v>
      </c>
      <c r="O343" s="6" t="s">
        <v>682</v>
      </c>
    </row>
    <row r="344" customFormat="false" ht="15" hidden="false" customHeight="false" outlineLevel="0" collapsed="false">
      <c r="A344" s="6" t="n">
        <v>343</v>
      </c>
      <c r="B344" s="6" t="s">
        <v>1045</v>
      </c>
      <c r="C344" s="6" t="s">
        <v>866</v>
      </c>
      <c r="D344" s="7" t="n">
        <v>170</v>
      </c>
      <c r="E344" s="6" t="n">
        <v>10</v>
      </c>
      <c r="F344" s="12" t="n">
        <v>0.1</v>
      </c>
      <c r="G344" s="12" t="n">
        <v>0.26</v>
      </c>
      <c r="H344" s="6" t="s">
        <v>672</v>
      </c>
      <c r="I344" s="6" t="s">
        <v>80</v>
      </c>
      <c r="J344" s="6" t="str">
        <f aca="false">IF(E344&lt;=15,"Very Easy",IF(E344&lt;=25,"Easy",IF(E344&lt;=40,"Medium","Hard")))</f>
        <v>Very Easy</v>
      </c>
      <c r="K344" s="6" t="s">
        <v>673</v>
      </c>
      <c r="L344" s="13" t="s">
        <v>674</v>
      </c>
      <c r="M344" s="6" t="s">
        <v>675</v>
      </c>
      <c r="N344" s="14" t="n">
        <f aca="false">ROUND(D344/MAX(E344,1),1)</f>
        <v>17</v>
      </c>
      <c r="O344" s="6" t="s">
        <v>682</v>
      </c>
    </row>
    <row r="345" customFormat="false" ht="15" hidden="false" customHeight="false" outlineLevel="0" collapsed="false">
      <c r="A345" s="6" t="n">
        <v>344</v>
      </c>
      <c r="B345" s="6" t="s">
        <v>1046</v>
      </c>
      <c r="C345" s="6" t="s">
        <v>52</v>
      </c>
      <c r="D345" s="7" t="n">
        <v>480</v>
      </c>
      <c r="E345" s="6" t="n">
        <v>29</v>
      </c>
      <c r="F345" s="12" t="n">
        <v>0.11</v>
      </c>
      <c r="G345" s="12" t="n">
        <v>0.4</v>
      </c>
      <c r="H345" s="6" t="s">
        <v>733</v>
      </c>
      <c r="I345" s="6" t="s">
        <v>80</v>
      </c>
      <c r="J345" s="6" t="str">
        <f aca="false">IF(E345&lt;=15,"Very Easy",IF(E345&lt;=25,"Easy",IF(E345&lt;=40,"Medium","Hard")))</f>
        <v>Medium</v>
      </c>
      <c r="K345" s="6" t="s">
        <v>681</v>
      </c>
      <c r="L345" s="13" t="s">
        <v>674</v>
      </c>
      <c r="M345" s="6" t="s">
        <v>675</v>
      </c>
      <c r="N345" s="14" t="n">
        <f aca="false">ROUND(D345/MAX(E345,1),1)</f>
        <v>16.6</v>
      </c>
      <c r="O345" s="6" t="s">
        <v>745</v>
      </c>
    </row>
    <row r="346" customFormat="false" ht="15" hidden="false" customHeight="false" outlineLevel="0" collapsed="false">
      <c r="A346" s="6" t="n">
        <v>345</v>
      </c>
      <c r="B346" s="6" t="s">
        <v>1047</v>
      </c>
      <c r="C346" s="6" t="s">
        <v>52</v>
      </c>
      <c r="D346" s="7" t="n">
        <v>590</v>
      </c>
      <c r="E346" s="6" t="n">
        <v>37</v>
      </c>
      <c r="F346" s="12" t="n">
        <v>0.13</v>
      </c>
      <c r="G346" s="12" t="n">
        <v>0.47</v>
      </c>
      <c r="H346" s="6" t="s">
        <v>678</v>
      </c>
      <c r="I346" s="6" t="s">
        <v>80</v>
      </c>
      <c r="J346" s="6" t="str">
        <f aca="false">IF(E346&lt;=15,"Very Easy",IF(E346&lt;=25,"Easy",IF(E346&lt;=40,"Medium","Hard")))</f>
        <v>Medium</v>
      </c>
      <c r="K346" s="6" t="s">
        <v>681</v>
      </c>
      <c r="L346" s="13" t="s">
        <v>674</v>
      </c>
      <c r="M346" s="6" t="s">
        <v>675</v>
      </c>
      <c r="N346" s="14" t="n">
        <f aca="false">ROUND(D346/MAX(E346,1),1)</f>
        <v>15.9</v>
      </c>
      <c r="O346" s="6" t="s">
        <v>745</v>
      </c>
    </row>
    <row r="347" customFormat="false" ht="15" hidden="false" customHeight="false" outlineLevel="0" collapsed="false">
      <c r="A347" s="6" t="n">
        <v>346</v>
      </c>
      <c r="B347" s="6" t="s">
        <v>1048</v>
      </c>
      <c r="C347" s="6" t="s">
        <v>579</v>
      </c>
      <c r="D347" s="7" t="n">
        <v>320</v>
      </c>
      <c r="E347" s="6" t="n">
        <v>21</v>
      </c>
      <c r="F347" s="12" t="n">
        <v>0</v>
      </c>
      <c r="G347" s="12" t="n">
        <v>0.01</v>
      </c>
      <c r="H347" s="6" t="s">
        <v>678</v>
      </c>
      <c r="I347" s="6" t="s">
        <v>80</v>
      </c>
      <c r="J347" s="6" t="str">
        <f aca="false">IF(E347&lt;=15,"Very Easy",IF(E347&lt;=25,"Easy",IF(E347&lt;=40,"Medium","Hard")))</f>
        <v>Easy</v>
      </c>
      <c r="K347" s="6" t="s">
        <v>679</v>
      </c>
      <c r="L347" s="13" t="s">
        <v>674</v>
      </c>
      <c r="M347" s="6" t="s">
        <v>675</v>
      </c>
      <c r="N347" s="14" t="n">
        <f aca="false">ROUND(D347/MAX(E347,1),1)</f>
        <v>15.2</v>
      </c>
      <c r="O347" s="6" t="s">
        <v>682</v>
      </c>
    </row>
    <row r="348" customFormat="false" ht="15" hidden="false" customHeight="false" outlineLevel="0" collapsed="false">
      <c r="A348" s="6" t="n">
        <v>347</v>
      </c>
      <c r="B348" s="6" t="s">
        <v>1049</v>
      </c>
      <c r="C348" s="6" t="s">
        <v>866</v>
      </c>
      <c r="D348" s="7" t="n">
        <v>210</v>
      </c>
      <c r="E348" s="6" t="n">
        <v>14</v>
      </c>
      <c r="F348" s="12" t="n">
        <v>0.03</v>
      </c>
      <c r="G348" s="12" t="n">
        <v>0.1</v>
      </c>
      <c r="H348" s="6" t="s">
        <v>690</v>
      </c>
      <c r="I348" s="6" t="s">
        <v>80</v>
      </c>
      <c r="J348" s="6" t="str">
        <f aca="false">IF(E348&lt;=15,"Very Easy",IF(E348&lt;=25,"Easy",IF(E348&lt;=40,"Medium","Hard")))</f>
        <v>Very Easy</v>
      </c>
      <c r="K348" s="6" t="s">
        <v>679</v>
      </c>
      <c r="L348" s="13" t="s">
        <v>674</v>
      </c>
      <c r="M348" s="6" t="s">
        <v>675</v>
      </c>
      <c r="N348" s="14" t="n">
        <f aca="false">ROUND(D348/MAX(E348,1),1)</f>
        <v>15</v>
      </c>
      <c r="O348" s="6" t="s">
        <v>682</v>
      </c>
    </row>
    <row r="349" customFormat="false" ht="15" hidden="false" customHeight="false" outlineLevel="0" collapsed="false">
      <c r="A349" s="6" t="n">
        <v>348</v>
      </c>
      <c r="B349" s="6" t="s">
        <v>1050</v>
      </c>
      <c r="C349" s="6" t="s">
        <v>866</v>
      </c>
      <c r="D349" s="7" t="n">
        <v>170</v>
      </c>
      <c r="E349" s="6" t="n">
        <v>12</v>
      </c>
      <c r="F349" s="12" t="n">
        <v>0.1</v>
      </c>
      <c r="G349" s="12" t="n">
        <v>0.17</v>
      </c>
      <c r="H349" s="6" t="s">
        <v>678</v>
      </c>
      <c r="I349" s="6" t="s">
        <v>80</v>
      </c>
      <c r="J349" s="6" t="str">
        <f aca="false">IF(E349&lt;=15,"Very Easy",IF(E349&lt;=25,"Easy",IF(E349&lt;=40,"Medium","Hard")))</f>
        <v>Very Easy</v>
      </c>
      <c r="K349" s="6" t="s">
        <v>681</v>
      </c>
      <c r="L349" s="13" t="s">
        <v>674</v>
      </c>
      <c r="M349" s="6" t="s">
        <v>675</v>
      </c>
      <c r="N349" s="14" t="n">
        <f aca="false">ROUND(D349/MAX(E349,1),1)</f>
        <v>14.2</v>
      </c>
      <c r="O349" s="6" t="s">
        <v>682</v>
      </c>
    </row>
    <row r="350" customFormat="false" ht="15" hidden="false" customHeight="false" outlineLevel="0" collapsed="false">
      <c r="A350" s="6" t="n">
        <v>349</v>
      </c>
      <c r="B350" s="6" t="s">
        <v>1051</v>
      </c>
      <c r="C350" s="6" t="s">
        <v>579</v>
      </c>
      <c r="D350" s="7" t="n">
        <v>260</v>
      </c>
      <c r="E350" s="6" t="n">
        <v>21</v>
      </c>
      <c r="F350" s="12" t="n">
        <v>0.12</v>
      </c>
      <c r="G350" s="12" t="n">
        <v>0.16</v>
      </c>
      <c r="H350" s="6" t="s">
        <v>672</v>
      </c>
      <c r="I350" s="6" t="s">
        <v>80</v>
      </c>
      <c r="J350" s="6" t="str">
        <f aca="false">IF(E350&lt;=15,"Very Easy",IF(E350&lt;=25,"Easy",IF(E350&lt;=40,"Medium","Hard")))</f>
        <v>Easy</v>
      </c>
      <c r="K350" s="6" t="s">
        <v>673</v>
      </c>
      <c r="L350" s="13" t="s">
        <v>674</v>
      </c>
      <c r="M350" s="6" t="s">
        <v>675</v>
      </c>
      <c r="N350" s="14" t="n">
        <f aca="false">ROUND(D350/MAX(E350,1),1)</f>
        <v>12.4</v>
      </c>
      <c r="O350" s="6" t="s">
        <v>729</v>
      </c>
    </row>
    <row r="351" customFormat="false" ht="15" hidden="false" customHeight="false" outlineLevel="0" collapsed="false">
      <c r="A351" s="6" t="n">
        <v>350</v>
      </c>
      <c r="B351" s="6" t="s">
        <v>1052</v>
      </c>
      <c r="C351" s="6" t="s">
        <v>52</v>
      </c>
      <c r="D351" s="7" t="n">
        <v>210</v>
      </c>
      <c r="E351" s="6" t="n">
        <v>17</v>
      </c>
      <c r="F351" s="12" t="n">
        <v>0.15</v>
      </c>
      <c r="G351" s="12" t="n">
        <v>0.45</v>
      </c>
      <c r="H351" s="6" t="s">
        <v>678</v>
      </c>
      <c r="I351" s="6" t="s">
        <v>80</v>
      </c>
      <c r="J351" s="6" t="str">
        <f aca="false">IF(E351&lt;=15,"Very Easy",IF(E351&lt;=25,"Easy",IF(E351&lt;=40,"Medium","Hard")))</f>
        <v>Easy</v>
      </c>
      <c r="K351" s="6" t="s">
        <v>681</v>
      </c>
      <c r="L351" s="13" t="s">
        <v>674</v>
      </c>
      <c r="M351" s="6" t="s">
        <v>675</v>
      </c>
      <c r="N351" s="14" t="n">
        <f aca="false">ROUND(D351/MAX(E351,1),1)</f>
        <v>12.4</v>
      </c>
      <c r="O351" s="6" t="s">
        <v>745</v>
      </c>
    </row>
    <row r="352" customFormat="false" ht="15" hidden="false" customHeight="false" outlineLevel="0" collapsed="false">
      <c r="A352" s="6" t="n">
        <v>351</v>
      </c>
      <c r="B352" s="6" t="s">
        <v>1053</v>
      </c>
      <c r="C352" s="6" t="s">
        <v>52</v>
      </c>
      <c r="D352" s="7" t="n">
        <v>320</v>
      </c>
      <c r="E352" s="6" t="n">
        <v>27</v>
      </c>
      <c r="F352" s="12" t="n">
        <v>0.13</v>
      </c>
      <c r="G352" s="12" t="n">
        <v>0.05</v>
      </c>
      <c r="H352" s="6" t="s">
        <v>733</v>
      </c>
      <c r="I352" s="6" t="s">
        <v>80</v>
      </c>
      <c r="J352" s="6" t="str">
        <f aca="false">IF(E352&lt;=15,"Very Easy",IF(E352&lt;=25,"Easy",IF(E352&lt;=40,"Medium","Hard")))</f>
        <v>Medium</v>
      </c>
      <c r="K352" s="6" t="s">
        <v>681</v>
      </c>
      <c r="L352" s="13" t="s">
        <v>674</v>
      </c>
      <c r="M352" s="6" t="s">
        <v>675</v>
      </c>
      <c r="N352" s="14" t="n">
        <f aca="false">ROUND(D352/MAX(E352,1),1)</f>
        <v>11.9</v>
      </c>
      <c r="O352" s="6" t="s">
        <v>745</v>
      </c>
    </row>
    <row r="353" customFormat="false" ht="15" hidden="false" customHeight="false" outlineLevel="0" collapsed="false">
      <c r="A353" s="6" t="n">
        <v>352</v>
      </c>
      <c r="B353" s="6" t="s">
        <v>1054</v>
      </c>
      <c r="C353" s="6" t="s">
        <v>52</v>
      </c>
      <c r="D353" s="7" t="n">
        <v>170</v>
      </c>
      <c r="E353" s="6" t="n">
        <v>15</v>
      </c>
      <c r="F353" s="12" t="n">
        <v>0.09</v>
      </c>
      <c r="G353" s="12" t="n">
        <v>0.51</v>
      </c>
      <c r="H353" s="6" t="s">
        <v>678</v>
      </c>
      <c r="I353" s="6" t="s">
        <v>80</v>
      </c>
      <c r="J353" s="6" t="str">
        <f aca="false">IF(E353&lt;=15,"Very Easy",IF(E353&lt;=25,"Easy",IF(E353&lt;=40,"Medium","Hard")))</f>
        <v>Very Easy</v>
      </c>
      <c r="K353" s="6" t="s">
        <v>679</v>
      </c>
      <c r="L353" s="13" t="s">
        <v>674</v>
      </c>
      <c r="M353" s="6" t="s">
        <v>675</v>
      </c>
      <c r="N353" s="14" t="n">
        <f aca="false">ROUND(D353/MAX(E353,1),1)</f>
        <v>11.3</v>
      </c>
      <c r="O353" s="6" t="s">
        <v>745</v>
      </c>
    </row>
    <row r="354" customFormat="false" ht="15" hidden="false" customHeight="false" outlineLevel="0" collapsed="false">
      <c r="A354" s="6" t="n">
        <v>353</v>
      </c>
      <c r="B354" s="6" t="s">
        <v>1055</v>
      </c>
      <c r="C354" s="6" t="s">
        <v>579</v>
      </c>
      <c r="D354" s="7" t="n">
        <v>260</v>
      </c>
      <c r="E354" s="6" t="n">
        <v>24</v>
      </c>
      <c r="F354" s="12" t="n">
        <v>0.15</v>
      </c>
      <c r="G354" s="12" t="n">
        <v>0.25</v>
      </c>
      <c r="H354" s="6" t="s">
        <v>678</v>
      </c>
      <c r="I354" s="6" t="s">
        <v>80</v>
      </c>
      <c r="J354" s="6" t="str">
        <f aca="false">IF(E354&lt;=15,"Very Easy",IF(E354&lt;=25,"Easy",IF(E354&lt;=40,"Medium","Hard")))</f>
        <v>Easy</v>
      </c>
      <c r="K354" s="6" t="s">
        <v>681</v>
      </c>
      <c r="L354" s="13" t="s">
        <v>674</v>
      </c>
      <c r="M354" s="6" t="s">
        <v>675</v>
      </c>
      <c r="N354" s="14" t="n">
        <f aca="false">ROUND(D354/MAX(E354,1),1)</f>
        <v>10.8</v>
      </c>
      <c r="O354" s="6" t="s">
        <v>682</v>
      </c>
    </row>
    <row r="355" customFormat="false" ht="15" hidden="false" customHeight="false" outlineLevel="0" collapsed="false">
      <c r="A355" s="6" t="n">
        <v>354</v>
      </c>
      <c r="B355" s="6" t="s">
        <v>1056</v>
      </c>
      <c r="C355" s="6" t="s">
        <v>52</v>
      </c>
      <c r="D355" s="7" t="n">
        <v>210</v>
      </c>
      <c r="E355" s="6" t="n">
        <v>20</v>
      </c>
      <c r="F355" s="12" t="n">
        <v>0.11</v>
      </c>
      <c r="G355" s="12" t="n">
        <v>0.15</v>
      </c>
      <c r="H355" s="6" t="s">
        <v>672</v>
      </c>
      <c r="I355" s="6" t="s">
        <v>80</v>
      </c>
      <c r="J355" s="6" t="str">
        <f aca="false">IF(E355&lt;=15,"Very Easy",IF(E355&lt;=25,"Easy",IF(E355&lt;=40,"Medium","Hard")))</f>
        <v>Easy</v>
      </c>
      <c r="K355" s="6" t="s">
        <v>673</v>
      </c>
      <c r="L355" s="13" t="s">
        <v>674</v>
      </c>
      <c r="M355" s="6" t="s">
        <v>675</v>
      </c>
      <c r="N355" s="14" t="n">
        <f aca="false">ROUND(D355/MAX(E355,1),1)</f>
        <v>10.5</v>
      </c>
      <c r="O355" s="6" t="s">
        <v>745</v>
      </c>
    </row>
    <row r="356" customFormat="false" ht="15" hidden="false" customHeight="false" outlineLevel="0" collapsed="false">
      <c r="A356" s="6" t="n">
        <v>355</v>
      </c>
      <c r="B356" s="6" t="s">
        <v>1057</v>
      </c>
      <c r="C356" s="6" t="s">
        <v>52</v>
      </c>
      <c r="D356" s="7" t="n">
        <v>260</v>
      </c>
      <c r="E356" s="6" t="n">
        <v>25</v>
      </c>
      <c r="F356" s="12" t="n">
        <v>0.04</v>
      </c>
      <c r="G356" s="12" t="n">
        <v>0.02</v>
      </c>
      <c r="H356" s="6" t="s">
        <v>672</v>
      </c>
      <c r="I356" s="6" t="s">
        <v>80</v>
      </c>
      <c r="J356" s="6" t="str">
        <f aca="false">IF(E356&lt;=15,"Very Easy",IF(E356&lt;=25,"Easy",IF(E356&lt;=40,"Medium","Hard")))</f>
        <v>Easy</v>
      </c>
      <c r="K356" s="6" t="s">
        <v>673</v>
      </c>
      <c r="L356" s="13" t="s">
        <v>674</v>
      </c>
      <c r="M356" s="6" t="s">
        <v>675</v>
      </c>
      <c r="N356" s="14" t="n">
        <f aca="false">ROUND(D356/MAX(E356,1),1)</f>
        <v>10.4</v>
      </c>
      <c r="O356" s="6" t="s">
        <v>745</v>
      </c>
    </row>
    <row r="357" customFormat="false" ht="15" hidden="false" customHeight="false" outlineLevel="0" collapsed="false">
      <c r="A357" s="6" t="n">
        <v>356</v>
      </c>
      <c r="B357" s="6" t="s">
        <v>1058</v>
      </c>
      <c r="C357" s="6" t="s">
        <v>52</v>
      </c>
      <c r="D357" s="7" t="n">
        <v>390</v>
      </c>
      <c r="E357" s="6" t="n">
        <v>41</v>
      </c>
      <c r="F357" s="12" t="n">
        <v>0.05</v>
      </c>
      <c r="G357" s="12" t="n">
        <v>0.44</v>
      </c>
      <c r="H357" s="6" t="s">
        <v>678</v>
      </c>
      <c r="I357" s="6" t="s">
        <v>80</v>
      </c>
      <c r="J357" s="6" t="str">
        <f aca="false">IF(E357&lt;=15,"Very Easy",IF(E357&lt;=25,"Easy",IF(E357&lt;=40,"Medium","Hard")))</f>
        <v>Hard</v>
      </c>
      <c r="K357" s="6" t="s">
        <v>679</v>
      </c>
      <c r="L357" s="13" t="s">
        <v>674</v>
      </c>
      <c r="M357" s="6" t="s">
        <v>675</v>
      </c>
      <c r="N357" s="14" t="n">
        <f aca="false">ROUND(D357/MAX(E357,1),1)</f>
        <v>9.5</v>
      </c>
      <c r="O357" s="6" t="s">
        <v>745</v>
      </c>
    </row>
    <row r="358" customFormat="false" ht="15" hidden="false" customHeight="false" outlineLevel="0" collapsed="false">
      <c r="A358" s="6" t="n">
        <v>357</v>
      </c>
      <c r="B358" s="6" t="s">
        <v>1059</v>
      </c>
      <c r="C358" s="6" t="s">
        <v>52</v>
      </c>
      <c r="D358" s="7" t="n">
        <v>210</v>
      </c>
      <c r="E358" s="6" t="n">
        <v>23</v>
      </c>
      <c r="F358" s="12" t="n">
        <v>0.12</v>
      </c>
      <c r="G358" s="12" t="n">
        <v>0.47</v>
      </c>
      <c r="H358" s="6" t="s">
        <v>686</v>
      </c>
      <c r="I358" s="6" t="s">
        <v>80</v>
      </c>
      <c r="J358" s="6" t="str">
        <f aca="false">IF(E358&lt;=15,"Very Easy",IF(E358&lt;=25,"Easy",IF(E358&lt;=40,"Medium","Hard")))</f>
        <v>Easy</v>
      </c>
      <c r="K358" s="6" t="s">
        <v>687</v>
      </c>
      <c r="L358" s="13" t="s">
        <v>674</v>
      </c>
      <c r="M358" s="6" t="s">
        <v>675</v>
      </c>
      <c r="N358" s="14" t="n">
        <f aca="false">ROUND(D358/MAX(E358,1),1)</f>
        <v>9.1</v>
      </c>
      <c r="O358" s="6" t="s">
        <v>745</v>
      </c>
    </row>
    <row r="359" customFormat="false" ht="15" hidden="false" customHeight="false" outlineLevel="0" collapsed="false">
      <c r="A359" s="6" t="n">
        <v>358</v>
      </c>
      <c r="B359" s="6" t="s">
        <v>1060</v>
      </c>
      <c r="C359" s="6" t="s">
        <v>52</v>
      </c>
      <c r="D359" s="7" t="n">
        <v>170</v>
      </c>
      <c r="E359" s="6" t="n">
        <v>20</v>
      </c>
      <c r="F359" s="12" t="n">
        <v>0.13</v>
      </c>
      <c r="G359" s="12" t="n">
        <v>0.32</v>
      </c>
      <c r="H359" s="6" t="s">
        <v>672</v>
      </c>
      <c r="I359" s="6" t="s">
        <v>80</v>
      </c>
      <c r="J359" s="6" t="str">
        <f aca="false">IF(E359&lt;=15,"Very Easy",IF(E359&lt;=25,"Easy",IF(E359&lt;=40,"Medium","Hard")))</f>
        <v>Easy</v>
      </c>
      <c r="K359" s="6" t="s">
        <v>673</v>
      </c>
      <c r="L359" s="13" t="s">
        <v>674</v>
      </c>
      <c r="M359" s="6" t="s">
        <v>675</v>
      </c>
      <c r="N359" s="14" t="n">
        <f aca="false">ROUND(D359/MAX(E359,1),1)</f>
        <v>8.5</v>
      </c>
      <c r="O359" s="6" t="s">
        <v>729</v>
      </c>
    </row>
    <row r="360" customFormat="false" ht="15" hidden="false" customHeight="false" outlineLevel="0" collapsed="false">
      <c r="A360" s="6" t="n">
        <v>359</v>
      </c>
      <c r="B360" s="6" t="s">
        <v>1061</v>
      </c>
      <c r="C360" s="6" t="s">
        <v>52</v>
      </c>
      <c r="D360" s="7" t="n">
        <v>210</v>
      </c>
      <c r="E360" s="6" t="n">
        <v>26</v>
      </c>
      <c r="F360" s="12" t="n">
        <v>0.1</v>
      </c>
      <c r="G360" s="12" t="n">
        <v>0.08</v>
      </c>
      <c r="H360" s="6" t="s">
        <v>678</v>
      </c>
      <c r="I360" s="6" t="s">
        <v>80</v>
      </c>
      <c r="J360" s="6" t="str">
        <f aca="false">IF(E360&lt;=15,"Very Easy",IF(E360&lt;=25,"Easy",IF(E360&lt;=40,"Medium","Hard")))</f>
        <v>Medium</v>
      </c>
      <c r="K360" s="6" t="s">
        <v>681</v>
      </c>
      <c r="L360" s="13" t="s">
        <v>674</v>
      </c>
      <c r="M360" s="6" t="s">
        <v>675</v>
      </c>
      <c r="N360" s="14" t="n">
        <f aca="false">ROUND(D360/MAX(E360,1),1)</f>
        <v>8.1</v>
      </c>
      <c r="O360" s="6" t="s">
        <v>745</v>
      </c>
    </row>
    <row r="361" customFormat="false" ht="15" hidden="false" customHeight="false" outlineLevel="0" collapsed="false">
      <c r="A361" s="6" t="n">
        <v>360</v>
      </c>
      <c r="B361" s="6" t="s">
        <v>1062</v>
      </c>
      <c r="C361" s="6" t="s">
        <v>52</v>
      </c>
      <c r="D361" s="7" t="n">
        <v>260</v>
      </c>
      <c r="E361" s="6" t="n">
        <v>33</v>
      </c>
      <c r="F361" s="12" t="n">
        <v>0.13</v>
      </c>
      <c r="G361" s="12" t="n">
        <v>0.06</v>
      </c>
      <c r="H361" s="6" t="s">
        <v>678</v>
      </c>
      <c r="I361" s="6" t="s">
        <v>80</v>
      </c>
      <c r="J361" s="6" t="str">
        <f aca="false">IF(E361&lt;=15,"Very Easy",IF(E361&lt;=25,"Easy",IF(E361&lt;=40,"Medium","Hard")))</f>
        <v>Medium</v>
      </c>
      <c r="K361" s="6" t="s">
        <v>681</v>
      </c>
      <c r="L361" s="13" t="s">
        <v>674</v>
      </c>
      <c r="M361" s="6" t="s">
        <v>675</v>
      </c>
      <c r="N361" s="14" t="n">
        <f aca="false">ROUND(D361/MAX(E361,1),1)</f>
        <v>7.9</v>
      </c>
      <c r="O361" s="6" t="s">
        <v>745</v>
      </c>
    </row>
    <row r="362" customFormat="false" ht="15" hidden="false" customHeight="false" outlineLevel="0" collapsed="false">
      <c r="A362" s="6" t="n">
        <v>361</v>
      </c>
      <c r="B362" s="6" t="s">
        <v>1063</v>
      </c>
      <c r="C362" s="6" t="s">
        <v>52</v>
      </c>
      <c r="D362" s="7" t="n">
        <v>260</v>
      </c>
      <c r="E362" s="6" t="n">
        <v>36</v>
      </c>
      <c r="F362" s="12" t="n">
        <v>0.07</v>
      </c>
      <c r="G362" s="12" t="n">
        <v>0.05</v>
      </c>
      <c r="H362" s="6" t="s">
        <v>678</v>
      </c>
      <c r="I362" s="6" t="s">
        <v>80</v>
      </c>
      <c r="J362" s="6" t="str">
        <f aca="false">IF(E362&lt;=15,"Very Easy",IF(E362&lt;=25,"Easy",IF(E362&lt;=40,"Medium","Hard")))</f>
        <v>Medium</v>
      </c>
      <c r="K362" s="6" t="s">
        <v>679</v>
      </c>
      <c r="L362" s="13" t="s">
        <v>674</v>
      </c>
      <c r="M362" s="6" t="s">
        <v>675</v>
      </c>
      <c r="N362" s="14" t="n">
        <f aca="false">ROUND(D362/MAX(E362,1),1)</f>
        <v>7.2</v>
      </c>
      <c r="O362" s="6" t="s">
        <v>745</v>
      </c>
    </row>
    <row r="363" customFormat="false" ht="15" hidden="false" customHeight="false" outlineLevel="0" collapsed="false">
      <c r="A363" s="6" t="n">
        <v>362</v>
      </c>
      <c r="B363" s="6" t="s">
        <v>1064</v>
      </c>
      <c r="C363" s="6" t="s">
        <v>52</v>
      </c>
      <c r="D363" s="7" t="n">
        <v>260</v>
      </c>
      <c r="E363" s="6" t="n">
        <v>37</v>
      </c>
      <c r="F363" s="12" t="n">
        <v>0.12</v>
      </c>
      <c r="G363" s="12" t="n">
        <v>0.29</v>
      </c>
      <c r="H363" s="6" t="s">
        <v>678</v>
      </c>
      <c r="I363" s="6" t="s">
        <v>80</v>
      </c>
      <c r="J363" s="6" t="str">
        <f aca="false">IF(E363&lt;=15,"Very Easy",IF(E363&lt;=25,"Easy",IF(E363&lt;=40,"Medium","Hard")))</f>
        <v>Medium</v>
      </c>
      <c r="K363" s="6" t="s">
        <v>681</v>
      </c>
      <c r="L363" s="13" t="s">
        <v>674</v>
      </c>
      <c r="M363" s="6" t="s">
        <v>675</v>
      </c>
      <c r="N363" s="14" t="n">
        <f aca="false">ROUND(D363/MAX(E363,1),1)</f>
        <v>7</v>
      </c>
      <c r="O363" s="6" t="s">
        <v>745</v>
      </c>
    </row>
    <row r="364" customFormat="false" ht="15" hidden="false" customHeight="false" outlineLevel="0" collapsed="false">
      <c r="A364" s="6" t="n">
        <v>363</v>
      </c>
      <c r="B364" s="6" t="s">
        <v>1065</v>
      </c>
      <c r="C364" s="6" t="s">
        <v>52</v>
      </c>
      <c r="D364" s="7" t="n">
        <v>170</v>
      </c>
      <c r="E364" s="6" t="n">
        <v>36</v>
      </c>
      <c r="F364" s="12" t="n">
        <v>0.1</v>
      </c>
      <c r="G364" s="12" t="n">
        <v>0.38</v>
      </c>
      <c r="H364" s="6" t="s">
        <v>733</v>
      </c>
      <c r="I364" s="6" t="s">
        <v>80</v>
      </c>
      <c r="J364" s="6" t="str">
        <f aca="false">IF(E364&lt;=15,"Very Easy",IF(E364&lt;=25,"Easy",IF(E364&lt;=40,"Medium","Hard")))</f>
        <v>Medium</v>
      </c>
      <c r="K364" s="6" t="s">
        <v>681</v>
      </c>
      <c r="L364" s="13" t="s">
        <v>674</v>
      </c>
      <c r="M364" s="6" t="s">
        <v>675</v>
      </c>
      <c r="N364" s="14" t="n">
        <f aca="false">ROUND(D364/MAX(E364,1),1)</f>
        <v>4.7</v>
      </c>
      <c r="O364" s="6" t="s">
        <v>745</v>
      </c>
    </row>
    <row r="366" customFormat="false" ht="15" hidden="false" customHeight="false" outlineLevel="0" collapsed="false">
      <c r="B366" s="10" t="s">
        <v>1066</v>
      </c>
      <c r="D366" s="11" t="n">
        <f aca="false">COUNT(D2:D364)</f>
        <v>363</v>
      </c>
    </row>
    <row r="367" customFormat="false" ht="15" hidden="false" customHeight="false" outlineLevel="0" collapsed="false">
      <c r="B367" s="10" t="s">
        <v>1067</v>
      </c>
      <c r="D367" s="11" t="n">
        <f aca="false">SUM(D2:D364)</f>
        <v>1244720</v>
      </c>
    </row>
    <row r="368" customFormat="false" ht="15" hidden="false" customHeight="false" outlineLevel="0" collapsed="false">
      <c r="B368" s="10" t="s">
        <v>1068</v>
      </c>
      <c r="D368" s="11" t="n">
        <f aca="false">COUNTIF(E2:E364,"&lt;=20")</f>
        <v>250</v>
      </c>
    </row>
    <row r="369" customFormat="false" ht="15" hidden="false" customHeight="false" outlineLevel="0" collapsed="false">
      <c r="B369" s="10" t="s">
        <v>1069</v>
      </c>
      <c r="D369" s="11" t="n">
        <f aca="false">SUMIF(E2:E364,"&lt;=20",D2:D364)</f>
        <v>748820</v>
      </c>
    </row>
    <row r="370" customFormat="false" ht="15" hidden="false" customHeight="false" outlineLevel="0" collapsed="false">
      <c r="B370" s="10" t="s">
        <v>1070</v>
      </c>
      <c r="D370" s="11" t="n">
        <f aca="false">COUNTIFS(E2:E364,"&lt;=20",D2:D364,"&gt;=1000")</f>
        <v>176</v>
      </c>
    </row>
    <row r="371" customFormat="false" ht="15" hidden="false" customHeight="false" outlineLevel="0" collapsed="false">
      <c r="B371" s="10" t="s">
        <v>1071</v>
      </c>
      <c r="D371" s="11" t="n">
        <f aca="false">ROUND(SUMIF(E2:E364,"&lt;=20",D2:D364)*0.11,0)</f>
        <v>82370</v>
      </c>
    </row>
    <row r="373" customFormat="false" ht="15" hidden="false" customHeight="false" outlineLevel="0" collapsed="false">
      <c r="B373" s="2" t="s">
        <v>1072</v>
      </c>
    </row>
  </sheetData>
  <autoFilter ref="A1:O36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4" min="3" style="0" width="26"/>
    <col collapsed="false" customWidth="true" hidden="false" outlineLevel="0" max="5" min="5" style="0" width="10"/>
    <col collapsed="false" customWidth="true" hidden="false" outlineLevel="0" max="6" min="6" style="0" width="14"/>
    <col collapsed="false" customWidth="true" hidden="false" outlineLevel="0" max="7" min="7" style="0" width="22"/>
    <col collapsed="false" customWidth="true" hidden="false" outlineLevel="0" max="9" min="8" style="0" width="34"/>
    <col collapsed="false" customWidth="true" hidden="false" outlineLevel="0" max="10" min="10" style="0" width="40"/>
    <col collapsed="false" customWidth="true" hidden="false" outlineLevel="0" max="11" min="11" style="0" width="12"/>
    <col collapsed="false" customWidth="true" hidden="false" outlineLevel="0" max="12" min="12" style="0" width="30"/>
    <col collapsed="false" customWidth="true" hidden="false" outlineLevel="0" max="13" min="13" style="0" width="34"/>
    <col collapsed="false" customWidth="true" hidden="false" outlineLevel="0" max="15" min="14" style="0" width="54"/>
  </cols>
  <sheetData>
    <row r="1" customFormat="false" ht="18.55" hidden="false" customHeight="false" outlineLevel="0" collapsed="false">
      <c r="A1" s="15" t="s">
        <v>1073</v>
      </c>
    </row>
    <row r="2" customFormat="false" ht="15" hidden="false" customHeight="false" outlineLevel="0" collapsed="false">
      <c r="A2" s="2" t="s">
        <v>1074</v>
      </c>
    </row>
    <row r="4" customFormat="false" ht="31.5" hidden="false" customHeight="true" outlineLevel="0" collapsed="false">
      <c r="A4" s="5" t="s">
        <v>656</v>
      </c>
      <c r="B4" s="5" t="s">
        <v>50</v>
      </c>
      <c r="C4" s="5" t="s">
        <v>61</v>
      </c>
      <c r="D4" s="5" t="s">
        <v>1075</v>
      </c>
      <c r="E4" s="5" t="s">
        <v>1076</v>
      </c>
      <c r="F4" s="5" t="s">
        <v>1077</v>
      </c>
      <c r="G4" s="5" t="s">
        <v>1078</v>
      </c>
      <c r="H4" s="5" t="s">
        <v>1079</v>
      </c>
      <c r="I4" s="5" t="s">
        <v>1080</v>
      </c>
      <c r="J4" s="5" t="s">
        <v>1081</v>
      </c>
      <c r="K4" s="5" t="s">
        <v>1082</v>
      </c>
      <c r="L4" s="5" t="s">
        <v>1083</v>
      </c>
      <c r="M4" s="5" t="s">
        <v>1084</v>
      </c>
      <c r="N4" s="5" t="s">
        <v>1085</v>
      </c>
      <c r="O4" s="5" t="s">
        <v>1086</v>
      </c>
    </row>
    <row r="5" customFormat="false" ht="61.5" hidden="false" customHeight="true" outlineLevel="0" collapsed="false">
      <c r="A5" s="9" t="n">
        <v>1</v>
      </c>
      <c r="B5" s="9" t="s">
        <v>86</v>
      </c>
      <c r="C5" s="16" t="s">
        <v>1087</v>
      </c>
      <c r="D5" s="9" t="s">
        <v>1088</v>
      </c>
      <c r="E5" s="9" t="s">
        <v>1089</v>
      </c>
      <c r="F5" s="9" t="s">
        <v>1090</v>
      </c>
      <c r="G5" s="9" t="s">
        <v>81</v>
      </c>
      <c r="H5" s="9" t="s">
        <v>1091</v>
      </c>
      <c r="I5" s="9" t="s">
        <v>1092</v>
      </c>
      <c r="J5" s="9" t="s">
        <v>1093</v>
      </c>
      <c r="K5" s="9" t="s">
        <v>1094</v>
      </c>
      <c r="L5" s="9" t="s">
        <v>1095</v>
      </c>
      <c r="M5" s="9" t="s">
        <v>1096</v>
      </c>
      <c r="N5" s="9" t="s">
        <v>1097</v>
      </c>
      <c r="O5" s="9" t="s">
        <v>1098</v>
      </c>
    </row>
    <row r="6" customFormat="false" ht="61.5" hidden="false" customHeight="true" outlineLevel="0" collapsed="false">
      <c r="A6" s="9" t="n">
        <v>2</v>
      </c>
      <c r="B6" s="9" t="s">
        <v>267</v>
      </c>
      <c r="C6" s="16" t="s">
        <v>1099</v>
      </c>
      <c r="D6" s="9" t="s">
        <v>1100</v>
      </c>
      <c r="E6" s="9" t="s">
        <v>1101</v>
      </c>
      <c r="F6" s="9" t="s">
        <v>80</v>
      </c>
      <c r="G6" s="9" t="s">
        <v>81</v>
      </c>
      <c r="H6" s="9" t="s">
        <v>1102</v>
      </c>
      <c r="I6" s="9" t="s">
        <v>1103</v>
      </c>
      <c r="J6" s="9" t="s">
        <v>1100</v>
      </c>
      <c r="K6" s="9" t="s">
        <v>1104</v>
      </c>
      <c r="L6" s="9" t="s">
        <v>1104</v>
      </c>
      <c r="M6" s="9" t="s">
        <v>1104</v>
      </c>
      <c r="N6" s="9" t="s">
        <v>1105</v>
      </c>
      <c r="O6" s="9" t="s">
        <v>1106</v>
      </c>
    </row>
    <row r="7" customFormat="false" ht="61.5" hidden="false" customHeight="true" outlineLevel="0" collapsed="false">
      <c r="A7" s="9" t="n">
        <v>3</v>
      </c>
      <c r="B7" s="9" t="s">
        <v>1107</v>
      </c>
      <c r="C7" s="16" t="s">
        <v>1108</v>
      </c>
      <c r="D7" s="9" t="s">
        <v>1109</v>
      </c>
      <c r="E7" s="9" t="s">
        <v>1110</v>
      </c>
      <c r="F7" s="9" t="s">
        <v>1111</v>
      </c>
      <c r="G7" s="9" t="s">
        <v>81</v>
      </c>
      <c r="H7" s="9" t="s">
        <v>1112</v>
      </c>
      <c r="I7" s="9" t="s">
        <v>1113</v>
      </c>
      <c r="J7" s="9" t="s">
        <v>1100</v>
      </c>
      <c r="K7" s="9" t="s">
        <v>1104</v>
      </c>
      <c r="L7" s="9" t="s">
        <v>1104</v>
      </c>
      <c r="M7" s="9" t="s">
        <v>1104</v>
      </c>
      <c r="N7" s="9" t="s">
        <v>1114</v>
      </c>
      <c r="O7" s="9" t="s">
        <v>1115</v>
      </c>
    </row>
    <row r="8" customFormat="false" ht="61.5" hidden="false" customHeight="true" outlineLevel="0" collapsed="false">
      <c r="A8" s="9" t="n">
        <v>4</v>
      </c>
      <c r="B8" s="9" t="s">
        <v>1116</v>
      </c>
      <c r="C8" s="16" t="s">
        <v>1117</v>
      </c>
      <c r="D8" s="9" t="s">
        <v>1118</v>
      </c>
      <c r="E8" s="9" t="s">
        <v>1119</v>
      </c>
      <c r="F8" s="9" t="s">
        <v>1120</v>
      </c>
      <c r="G8" s="9" t="s">
        <v>81</v>
      </c>
      <c r="H8" s="9" t="s">
        <v>1121</v>
      </c>
      <c r="I8" s="9" t="s">
        <v>80</v>
      </c>
      <c r="J8" s="9" t="s">
        <v>1122</v>
      </c>
      <c r="K8" s="9" t="s">
        <v>1123</v>
      </c>
      <c r="L8" s="9" t="s">
        <v>1124</v>
      </c>
      <c r="M8" s="9" t="s">
        <v>1125</v>
      </c>
      <c r="N8" s="9" t="s">
        <v>1126</v>
      </c>
      <c r="O8" s="9" t="s">
        <v>1127</v>
      </c>
    </row>
    <row r="9" customFormat="false" ht="61.5" hidden="false" customHeight="true" outlineLevel="0" collapsed="false">
      <c r="A9" s="9" t="n">
        <v>5</v>
      </c>
      <c r="B9" s="9" t="s">
        <v>378</v>
      </c>
      <c r="C9" s="16" t="s">
        <v>1128</v>
      </c>
      <c r="D9" s="9" t="s">
        <v>1129</v>
      </c>
      <c r="E9" s="9" t="s">
        <v>1130</v>
      </c>
      <c r="F9" s="9" t="s">
        <v>1131</v>
      </c>
      <c r="G9" s="9" t="s">
        <v>81</v>
      </c>
      <c r="H9" s="9" t="s">
        <v>1112</v>
      </c>
      <c r="I9" s="9" t="s">
        <v>1132</v>
      </c>
      <c r="J9" s="9" t="s">
        <v>1133</v>
      </c>
      <c r="K9" s="9" t="s">
        <v>1134</v>
      </c>
      <c r="L9" s="9" t="s">
        <v>1135</v>
      </c>
      <c r="M9" s="9" t="s">
        <v>1136</v>
      </c>
      <c r="N9" s="9" t="s">
        <v>1137</v>
      </c>
      <c r="O9" s="9" t="s">
        <v>1138</v>
      </c>
    </row>
    <row r="10" customFormat="false" ht="61.5" hidden="false" customHeight="true" outlineLevel="0" collapsed="false">
      <c r="A10" s="9" t="n">
        <v>6</v>
      </c>
      <c r="B10" s="9" t="s">
        <v>218</v>
      </c>
      <c r="C10" s="16" t="s">
        <v>1139</v>
      </c>
      <c r="D10" s="9" t="s">
        <v>1140</v>
      </c>
      <c r="E10" s="9" t="s">
        <v>1141</v>
      </c>
      <c r="F10" s="9" t="s">
        <v>1120</v>
      </c>
      <c r="G10" s="9" t="s">
        <v>81</v>
      </c>
      <c r="H10" s="9" t="s">
        <v>1142</v>
      </c>
      <c r="I10" s="9" t="s">
        <v>1109</v>
      </c>
      <c r="J10" s="9" t="s">
        <v>1100</v>
      </c>
      <c r="K10" s="9" t="s">
        <v>1104</v>
      </c>
      <c r="L10" s="9" t="s">
        <v>1104</v>
      </c>
      <c r="M10" s="9" t="s">
        <v>1104</v>
      </c>
      <c r="N10" s="9" t="s">
        <v>1143</v>
      </c>
      <c r="O10" s="9" t="s">
        <v>1144</v>
      </c>
    </row>
    <row r="11" customFormat="false" ht="61.5" hidden="false" customHeight="true" outlineLevel="0" collapsed="false">
      <c r="A11" s="9" t="n">
        <v>7</v>
      </c>
      <c r="B11" s="9" t="s">
        <v>70</v>
      </c>
      <c r="C11" s="16" t="s">
        <v>1145</v>
      </c>
      <c r="D11" s="9" t="s">
        <v>1146</v>
      </c>
      <c r="E11" s="9" t="s">
        <v>1147</v>
      </c>
      <c r="F11" s="9" t="s">
        <v>1090</v>
      </c>
      <c r="G11" s="9" t="s">
        <v>81</v>
      </c>
      <c r="H11" s="9" t="s">
        <v>1148</v>
      </c>
      <c r="I11" s="9" t="s">
        <v>1149</v>
      </c>
      <c r="J11" s="9" t="s">
        <v>1100</v>
      </c>
      <c r="K11" s="9" t="s">
        <v>1104</v>
      </c>
      <c r="L11" s="9" t="s">
        <v>1104</v>
      </c>
      <c r="M11" s="9" t="s">
        <v>1104</v>
      </c>
      <c r="N11" s="9" t="s">
        <v>1150</v>
      </c>
      <c r="O11" s="9" t="s">
        <v>1151</v>
      </c>
    </row>
    <row r="12" customFormat="false" ht="61.5" hidden="false" customHeight="true" outlineLevel="0" collapsed="false">
      <c r="A12" s="9" t="n">
        <v>8</v>
      </c>
      <c r="B12" s="9" t="s">
        <v>178</v>
      </c>
      <c r="C12" s="16" t="s">
        <v>1152</v>
      </c>
      <c r="D12" s="9" t="s">
        <v>1153</v>
      </c>
      <c r="E12" s="9" t="s">
        <v>1154</v>
      </c>
      <c r="F12" s="9" t="s">
        <v>1090</v>
      </c>
      <c r="G12" s="9" t="s">
        <v>81</v>
      </c>
      <c r="H12" s="9" t="s">
        <v>1148</v>
      </c>
      <c r="I12" s="9" t="s">
        <v>1109</v>
      </c>
      <c r="J12" s="9" t="s">
        <v>1100</v>
      </c>
      <c r="K12" s="9" t="s">
        <v>1104</v>
      </c>
      <c r="L12" s="9" t="s">
        <v>1104</v>
      </c>
      <c r="M12" s="9" t="s">
        <v>1104</v>
      </c>
      <c r="N12" s="9" t="s">
        <v>1155</v>
      </c>
      <c r="O12" s="9" t="s">
        <v>1156</v>
      </c>
    </row>
    <row r="13" customFormat="false" ht="61.5" hidden="false" customHeight="true" outlineLevel="0" collapsed="false">
      <c r="A13" s="9" t="n">
        <v>9</v>
      </c>
      <c r="B13" s="9" t="s">
        <v>132</v>
      </c>
      <c r="C13" s="16" t="s">
        <v>1157</v>
      </c>
      <c r="D13" s="9" t="s">
        <v>1158</v>
      </c>
      <c r="E13" s="9" t="s">
        <v>1109</v>
      </c>
      <c r="F13" s="9" t="s">
        <v>80</v>
      </c>
      <c r="G13" s="9" t="s">
        <v>81</v>
      </c>
      <c r="H13" s="9" t="s">
        <v>1159</v>
      </c>
      <c r="I13" s="9" t="s">
        <v>1109</v>
      </c>
      <c r="J13" s="9" t="s">
        <v>1100</v>
      </c>
      <c r="K13" s="9" t="s">
        <v>1104</v>
      </c>
      <c r="L13" s="9" t="s">
        <v>1104</v>
      </c>
      <c r="M13" s="9" t="s">
        <v>1104</v>
      </c>
      <c r="N13" s="9" t="s">
        <v>1160</v>
      </c>
      <c r="O13" s="9" t="s">
        <v>1161</v>
      </c>
    </row>
    <row r="14" customFormat="false" ht="61.5" hidden="false" customHeight="true" outlineLevel="0" collapsed="false">
      <c r="A14" s="9" t="n">
        <v>10</v>
      </c>
      <c r="B14" s="9" t="s">
        <v>96</v>
      </c>
      <c r="C14" s="16" t="s">
        <v>1162</v>
      </c>
      <c r="D14" s="9" t="s">
        <v>1163</v>
      </c>
      <c r="E14" s="9" t="s">
        <v>1164</v>
      </c>
      <c r="F14" s="9" t="s">
        <v>1120</v>
      </c>
      <c r="G14" s="9" t="s">
        <v>1165</v>
      </c>
      <c r="H14" s="9" t="s">
        <v>1148</v>
      </c>
      <c r="I14" s="9" t="s">
        <v>1166</v>
      </c>
      <c r="J14" s="9" t="s">
        <v>1100</v>
      </c>
      <c r="K14" s="9" t="s">
        <v>1104</v>
      </c>
      <c r="L14" s="9" t="s">
        <v>1104</v>
      </c>
      <c r="M14" s="9" t="s">
        <v>1104</v>
      </c>
      <c r="N14" s="9" t="s">
        <v>1167</v>
      </c>
      <c r="O14" s="9" t="s">
        <v>1168</v>
      </c>
    </row>
    <row r="15" customFormat="false" ht="61.5" hidden="false" customHeight="true" outlineLevel="0" collapsed="false">
      <c r="A15" s="9" t="n">
        <v>11</v>
      </c>
      <c r="B15" s="9" t="s">
        <v>123</v>
      </c>
      <c r="C15" s="16" t="s">
        <v>1169</v>
      </c>
      <c r="D15" s="9" t="s">
        <v>1170</v>
      </c>
      <c r="E15" s="9" t="s">
        <v>1171</v>
      </c>
      <c r="F15" s="9" t="s">
        <v>1120</v>
      </c>
      <c r="G15" s="9" t="s">
        <v>81</v>
      </c>
      <c r="H15" s="9" t="s">
        <v>1172</v>
      </c>
      <c r="I15" s="9" t="s">
        <v>1173</v>
      </c>
      <c r="J15" s="9" t="s">
        <v>1100</v>
      </c>
      <c r="K15" s="9" t="s">
        <v>1104</v>
      </c>
      <c r="L15" s="9" t="s">
        <v>1104</v>
      </c>
      <c r="M15" s="9" t="s">
        <v>1104</v>
      </c>
      <c r="N15" s="9" t="s">
        <v>1174</v>
      </c>
      <c r="O15" s="9" t="s">
        <v>1175</v>
      </c>
    </row>
    <row r="16" customFormat="false" ht="61.5" hidden="false" customHeight="true" outlineLevel="0" collapsed="false">
      <c r="A16" s="9" t="n">
        <v>12</v>
      </c>
      <c r="B16" s="9" t="s">
        <v>373</v>
      </c>
      <c r="C16" s="16" t="s">
        <v>1176</v>
      </c>
      <c r="D16" s="9" t="s">
        <v>1177</v>
      </c>
      <c r="E16" s="9" t="s">
        <v>1178</v>
      </c>
      <c r="F16" s="9" t="s">
        <v>1090</v>
      </c>
      <c r="G16" s="9" t="s">
        <v>81</v>
      </c>
      <c r="H16" s="9" t="s">
        <v>1121</v>
      </c>
      <c r="I16" s="9" t="s">
        <v>1179</v>
      </c>
      <c r="J16" s="9" t="s">
        <v>1100</v>
      </c>
      <c r="K16" s="9" t="s">
        <v>1104</v>
      </c>
      <c r="L16" s="9" t="s">
        <v>1104</v>
      </c>
      <c r="M16" s="9" t="s">
        <v>1104</v>
      </c>
      <c r="N16" s="9" t="s">
        <v>1180</v>
      </c>
      <c r="O16" s="9" t="s">
        <v>1181</v>
      </c>
    </row>
    <row r="17" customFormat="false" ht="61.5" hidden="false" customHeight="true" outlineLevel="0" collapsed="false">
      <c r="A17" s="9" t="n">
        <v>13</v>
      </c>
      <c r="B17" s="9" t="s">
        <v>1182</v>
      </c>
      <c r="C17" s="16" t="s">
        <v>1183</v>
      </c>
      <c r="D17" s="9" t="s">
        <v>1109</v>
      </c>
      <c r="E17" s="9" t="s">
        <v>1184</v>
      </c>
      <c r="F17" s="9" t="s">
        <v>1120</v>
      </c>
      <c r="G17" s="9" t="s">
        <v>81</v>
      </c>
      <c r="H17" s="9" t="s">
        <v>1185</v>
      </c>
      <c r="I17" s="9" t="s">
        <v>1186</v>
      </c>
      <c r="J17" s="9" t="s">
        <v>1100</v>
      </c>
      <c r="K17" s="9" t="s">
        <v>1104</v>
      </c>
      <c r="L17" s="9" t="s">
        <v>1104</v>
      </c>
      <c r="M17" s="9" t="s">
        <v>1104</v>
      </c>
      <c r="N17" s="9" t="s">
        <v>1187</v>
      </c>
      <c r="O17" s="9" t="s">
        <v>1188</v>
      </c>
    </row>
    <row r="18" customFormat="false" ht="61.5" hidden="false" customHeight="true" outlineLevel="0" collapsed="false">
      <c r="A18" s="9" t="n">
        <v>14</v>
      </c>
      <c r="B18" s="9" t="s">
        <v>140</v>
      </c>
      <c r="C18" s="16" t="s">
        <v>1189</v>
      </c>
      <c r="D18" s="9" t="s">
        <v>1190</v>
      </c>
      <c r="E18" s="9" t="s">
        <v>1109</v>
      </c>
      <c r="F18" s="9" t="s">
        <v>1120</v>
      </c>
      <c r="G18" s="9" t="s">
        <v>81</v>
      </c>
      <c r="H18" s="9" t="s">
        <v>1191</v>
      </c>
      <c r="I18" s="9" t="s">
        <v>1192</v>
      </c>
      <c r="J18" s="9" t="s">
        <v>1100</v>
      </c>
      <c r="K18" s="9" t="s">
        <v>1104</v>
      </c>
      <c r="L18" s="9" t="s">
        <v>1104</v>
      </c>
      <c r="M18" s="9" t="s">
        <v>1104</v>
      </c>
      <c r="N18" s="9" t="s">
        <v>1193</v>
      </c>
      <c r="O18" s="9" t="s">
        <v>1194</v>
      </c>
    </row>
    <row r="19" customFormat="false" ht="61.5" hidden="false" customHeight="true" outlineLevel="0" collapsed="false">
      <c r="A19" s="9" t="n">
        <v>15</v>
      </c>
      <c r="B19" s="9" t="s">
        <v>257</v>
      </c>
      <c r="C19" s="16" t="s">
        <v>1195</v>
      </c>
      <c r="D19" s="9" t="s">
        <v>1196</v>
      </c>
      <c r="E19" s="9" t="s">
        <v>1147</v>
      </c>
      <c r="F19" s="9" t="s">
        <v>1120</v>
      </c>
      <c r="G19" s="9" t="s">
        <v>81</v>
      </c>
      <c r="H19" s="9" t="s">
        <v>1148</v>
      </c>
      <c r="I19" s="9" t="s">
        <v>1109</v>
      </c>
      <c r="J19" s="9" t="s">
        <v>1100</v>
      </c>
      <c r="K19" s="9" t="s">
        <v>1104</v>
      </c>
      <c r="L19" s="9" t="s">
        <v>1104</v>
      </c>
      <c r="M19" s="9" t="s">
        <v>1104</v>
      </c>
      <c r="N19" s="9" t="s">
        <v>1197</v>
      </c>
      <c r="O19" s="9" t="s">
        <v>1198</v>
      </c>
    </row>
    <row r="20" customFormat="false" ht="61.5" hidden="false" customHeight="true" outlineLevel="0" collapsed="false">
      <c r="A20" s="9" t="n">
        <v>16</v>
      </c>
      <c r="B20" s="9" t="s">
        <v>417</v>
      </c>
      <c r="C20" s="16" t="s">
        <v>1199</v>
      </c>
      <c r="D20" s="9" t="s">
        <v>1200</v>
      </c>
      <c r="E20" s="9" t="s">
        <v>1201</v>
      </c>
      <c r="F20" s="9" t="s">
        <v>1120</v>
      </c>
      <c r="G20" s="9" t="s">
        <v>81</v>
      </c>
      <c r="H20" s="9" t="s">
        <v>1202</v>
      </c>
      <c r="I20" s="9" t="s">
        <v>1203</v>
      </c>
      <c r="J20" s="9" t="s">
        <v>1204</v>
      </c>
      <c r="K20" s="9" t="s">
        <v>1205</v>
      </c>
      <c r="L20" s="9" t="s">
        <v>1206</v>
      </c>
      <c r="M20" s="9" t="s">
        <v>1207</v>
      </c>
      <c r="N20" s="9" t="s">
        <v>1208</v>
      </c>
      <c r="O20" s="9" t="s">
        <v>1209</v>
      </c>
    </row>
    <row r="21" customFormat="false" ht="61.5" hidden="false" customHeight="true" outlineLevel="0" collapsed="false">
      <c r="A21" s="9" t="n">
        <v>17</v>
      </c>
      <c r="B21" s="9" t="s">
        <v>1210</v>
      </c>
      <c r="C21" s="16" t="s">
        <v>1211</v>
      </c>
      <c r="D21" s="9" t="s">
        <v>1109</v>
      </c>
      <c r="E21" s="9" t="s">
        <v>1212</v>
      </c>
      <c r="F21" s="9" t="s">
        <v>1090</v>
      </c>
      <c r="G21" s="9" t="s">
        <v>81</v>
      </c>
      <c r="H21" s="9" t="s">
        <v>1213</v>
      </c>
      <c r="I21" s="9" t="s">
        <v>80</v>
      </c>
      <c r="J21" s="9" t="s">
        <v>1100</v>
      </c>
      <c r="K21" s="9" t="s">
        <v>1104</v>
      </c>
      <c r="L21" s="9" t="s">
        <v>1104</v>
      </c>
      <c r="M21" s="9" t="s">
        <v>1104</v>
      </c>
      <c r="N21" s="9" t="s">
        <v>1214</v>
      </c>
      <c r="O21" s="9" t="s">
        <v>1215</v>
      </c>
    </row>
    <row r="22" customFormat="false" ht="61.5" hidden="false" customHeight="true" outlineLevel="0" collapsed="false">
      <c r="A22" s="9" t="n">
        <v>18</v>
      </c>
      <c r="B22" s="9" t="s">
        <v>1216</v>
      </c>
      <c r="C22" s="16" t="s">
        <v>1217</v>
      </c>
      <c r="D22" s="9" t="s">
        <v>1109</v>
      </c>
      <c r="E22" s="9" t="s">
        <v>1109</v>
      </c>
      <c r="F22" s="9" t="s">
        <v>1090</v>
      </c>
      <c r="G22" s="9" t="s">
        <v>81</v>
      </c>
      <c r="H22" s="9" t="s">
        <v>1218</v>
      </c>
      <c r="I22" s="9" t="s">
        <v>1219</v>
      </c>
      <c r="J22" s="9" t="s">
        <v>1100</v>
      </c>
      <c r="K22" s="9" t="s">
        <v>1104</v>
      </c>
      <c r="L22" s="9" t="s">
        <v>1104</v>
      </c>
      <c r="M22" s="9" t="s">
        <v>1104</v>
      </c>
      <c r="N22" s="9" t="s">
        <v>1220</v>
      </c>
      <c r="O22" s="9" t="s">
        <v>1221</v>
      </c>
    </row>
    <row r="23" customFormat="false" ht="61.5" hidden="false" customHeight="true" outlineLevel="0" collapsed="false">
      <c r="A23" s="9" t="n">
        <v>19</v>
      </c>
      <c r="B23" s="9" t="s">
        <v>191</v>
      </c>
      <c r="C23" s="16" t="s">
        <v>1222</v>
      </c>
      <c r="D23" s="9" t="s">
        <v>1109</v>
      </c>
      <c r="E23" s="9" t="s">
        <v>1109</v>
      </c>
      <c r="F23" s="9" t="s">
        <v>1090</v>
      </c>
      <c r="G23" s="9" t="s">
        <v>199</v>
      </c>
      <c r="H23" s="9" t="s">
        <v>1109</v>
      </c>
      <c r="I23" s="9" t="s">
        <v>1223</v>
      </c>
      <c r="J23" s="9" t="s">
        <v>1100</v>
      </c>
      <c r="K23" s="9" t="s">
        <v>1104</v>
      </c>
      <c r="L23" s="9" t="s">
        <v>1104</v>
      </c>
      <c r="M23" s="9" t="s">
        <v>1104</v>
      </c>
      <c r="N23" s="9" t="s">
        <v>1224</v>
      </c>
      <c r="O23" s="9" t="s">
        <v>1225</v>
      </c>
    </row>
    <row r="24" customFormat="false" ht="61.5" hidden="false" customHeight="true" outlineLevel="0" collapsed="false">
      <c r="A24" s="9" t="n">
        <v>20</v>
      </c>
      <c r="B24" s="9" t="s">
        <v>1226</v>
      </c>
      <c r="C24" s="16" t="s">
        <v>1227</v>
      </c>
      <c r="D24" s="9" t="s">
        <v>1228</v>
      </c>
      <c r="E24" s="9" t="s">
        <v>1229</v>
      </c>
      <c r="F24" s="9" t="s">
        <v>1120</v>
      </c>
      <c r="G24" s="9" t="s">
        <v>81</v>
      </c>
      <c r="H24" s="9" t="s">
        <v>1230</v>
      </c>
      <c r="I24" s="9" t="s">
        <v>1231</v>
      </c>
      <c r="J24" s="9" t="s">
        <v>1100</v>
      </c>
      <c r="K24" s="9" t="s">
        <v>1104</v>
      </c>
      <c r="L24" s="9" t="s">
        <v>1104</v>
      </c>
      <c r="M24" s="9" t="s">
        <v>1104</v>
      </c>
      <c r="N24" s="9" t="s">
        <v>1232</v>
      </c>
      <c r="O24" s="9" t="s">
        <v>1233</v>
      </c>
    </row>
    <row r="25" customFormat="false" ht="61.5" hidden="false" customHeight="true" outlineLevel="0" collapsed="false">
      <c r="A25" s="9" t="n">
        <v>21</v>
      </c>
      <c r="B25" s="9" t="s">
        <v>1234</v>
      </c>
      <c r="C25" s="16" t="s">
        <v>1235</v>
      </c>
      <c r="D25" s="9" t="s">
        <v>1236</v>
      </c>
      <c r="E25" s="9" t="s">
        <v>1237</v>
      </c>
      <c r="F25" s="9" t="s">
        <v>1090</v>
      </c>
      <c r="G25" s="9" t="s">
        <v>81</v>
      </c>
      <c r="H25" s="9" t="s">
        <v>1238</v>
      </c>
      <c r="I25" s="9" t="s">
        <v>80</v>
      </c>
      <c r="J25" s="9" t="s">
        <v>1100</v>
      </c>
      <c r="K25" s="9" t="s">
        <v>1104</v>
      </c>
      <c r="L25" s="9" t="s">
        <v>1104</v>
      </c>
      <c r="M25" s="9" t="s">
        <v>1104</v>
      </c>
      <c r="N25" s="9" t="s">
        <v>1239</v>
      </c>
      <c r="O25" s="9" t="s">
        <v>1240</v>
      </c>
    </row>
    <row r="26" customFormat="false" ht="61.5" hidden="false" customHeight="true" outlineLevel="0" collapsed="false">
      <c r="A26" s="9" t="n">
        <v>22</v>
      </c>
      <c r="B26" s="9" t="s">
        <v>1241</v>
      </c>
      <c r="C26" s="16" t="s">
        <v>1242</v>
      </c>
      <c r="D26" s="9" t="s">
        <v>1109</v>
      </c>
      <c r="E26" s="9" t="s">
        <v>1243</v>
      </c>
      <c r="F26" s="9" t="s">
        <v>1090</v>
      </c>
      <c r="G26" s="9" t="s">
        <v>81</v>
      </c>
      <c r="H26" s="9" t="s">
        <v>1244</v>
      </c>
      <c r="I26" s="9" t="s">
        <v>1109</v>
      </c>
      <c r="J26" s="9" t="s">
        <v>1100</v>
      </c>
      <c r="K26" s="9" t="s">
        <v>1104</v>
      </c>
      <c r="L26" s="9" t="s">
        <v>1104</v>
      </c>
      <c r="M26" s="9" t="s">
        <v>1104</v>
      </c>
      <c r="N26" s="9" t="s">
        <v>1245</v>
      </c>
      <c r="O26" s="9" t="s">
        <v>1246</v>
      </c>
    </row>
    <row r="27" customFormat="false" ht="61.5" hidden="false" customHeight="true" outlineLevel="0" collapsed="false">
      <c r="A27" s="9" t="n">
        <v>23</v>
      </c>
      <c r="B27" s="9" t="s">
        <v>1247</v>
      </c>
      <c r="C27" s="16" t="s">
        <v>1248</v>
      </c>
      <c r="D27" s="9" t="s">
        <v>1249</v>
      </c>
      <c r="E27" s="9" t="s">
        <v>1109</v>
      </c>
      <c r="F27" s="9" t="s">
        <v>80</v>
      </c>
      <c r="G27" s="9" t="s">
        <v>81</v>
      </c>
      <c r="H27" s="9" t="s">
        <v>1250</v>
      </c>
      <c r="I27" s="9" t="s">
        <v>1251</v>
      </c>
      <c r="J27" s="9" t="s">
        <v>1100</v>
      </c>
      <c r="K27" s="9" t="s">
        <v>1104</v>
      </c>
      <c r="L27" s="9" t="s">
        <v>1104</v>
      </c>
      <c r="M27" s="9" t="s">
        <v>1104</v>
      </c>
      <c r="N27" s="9" t="s">
        <v>1252</v>
      </c>
      <c r="O27" s="9" t="s">
        <v>1253</v>
      </c>
    </row>
    <row r="28" customFormat="false" ht="61.5" hidden="false" customHeight="true" outlineLevel="0" collapsed="false">
      <c r="A28" s="9" t="n">
        <v>24</v>
      </c>
      <c r="B28" s="9" t="s">
        <v>1254</v>
      </c>
      <c r="C28" s="16" t="s">
        <v>1255</v>
      </c>
      <c r="D28" s="9" t="s">
        <v>1256</v>
      </c>
      <c r="E28" s="9" t="s">
        <v>1257</v>
      </c>
      <c r="F28" s="9" t="s">
        <v>1258</v>
      </c>
      <c r="G28" s="9" t="s">
        <v>81</v>
      </c>
      <c r="H28" s="9" t="s">
        <v>1259</v>
      </c>
      <c r="I28" s="9" t="s">
        <v>80</v>
      </c>
      <c r="J28" s="9" t="s">
        <v>1260</v>
      </c>
      <c r="K28" s="9" t="s">
        <v>1141</v>
      </c>
      <c r="L28" s="9" t="s">
        <v>1124</v>
      </c>
      <c r="M28" s="9" t="s">
        <v>1261</v>
      </c>
      <c r="N28" s="9" t="s">
        <v>1262</v>
      </c>
      <c r="O28" s="9" t="s">
        <v>1263</v>
      </c>
    </row>
    <row r="29" customFormat="false" ht="61.5" hidden="false" customHeight="true" outlineLevel="0" collapsed="false">
      <c r="A29" s="9" t="n">
        <v>25</v>
      </c>
      <c r="B29" s="9" t="s">
        <v>1264</v>
      </c>
      <c r="C29" s="16" t="s">
        <v>1265</v>
      </c>
      <c r="D29" s="9" t="s">
        <v>1109</v>
      </c>
      <c r="E29" s="9" t="s">
        <v>1109</v>
      </c>
      <c r="F29" s="9" t="s">
        <v>1120</v>
      </c>
      <c r="G29" s="9" t="s">
        <v>199</v>
      </c>
      <c r="H29" s="9" t="s">
        <v>1109</v>
      </c>
      <c r="I29" s="9" t="s">
        <v>1266</v>
      </c>
      <c r="J29" s="9" t="s">
        <v>1100</v>
      </c>
      <c r="K29" s="9" t="s">
        <v>1104</v>
      </c>
      <c r="L29" s="9" t="s">
        <v>1104</v>
      </c>
      <c r="M29" s="9" t="s">
        <v>1104</v>
      </c>
      <c r="N29" s="9" t="s">
        <v>1267</v>
      </c>
      <c r="O29" s="9" t="s">
        <v>1268</v>
      </c>
    </row>
    <row r="30" customFormat="false" ht="61.5" hidden="false" customHeight="true" outlineLevel="0" collapsed="false">
      <c r="A30" s="9" t="n">
        <v>26</v>
      </c>
      <c r="B30" s="9" t="s">
        <v>1269</v>
      </c>
      <c r="C30" s="16" t="s">
        <v>1270</v>
      </c>
      <c r="D30" s="9" t="s">
        <v>1271</v>
      </c>
      <c r="E30" s="9" t="s">
        <v>1109</v>
      </c>
      <c r="F30" s="9" t="s">
        <v>80</v>
      </c>
      <c r="G30" s="9" t="s">
        <v>199</v>
      </c>
      <c r="H30" s="9" t="s">
        <v>1148</v>
      </c>
      <c r="I30" s="9" t="s">
        <v>1109</v>
      </c>
      <c r="J30" s="9" t="s">
        <v>1100</v>
      </c>
      <c r="K30" s="9" t="s">
        <v>1104</v>
      </c>
      <c r="L30" s="9" t="s">
        <v>1104</v>
      </c>
      <c r="M30" s="9" t="s">
        <v>1104</v>
      </c>
      <c r="N30" s="9" t="s">
        <v>1272</v>
      </c>
      <c r="O30" s="9" t="s">
        <v>1273</v>
      </c>
    </row>
    <row r="31" customFormat="false" ht="61.5" hidden="false" customHeight="true" outlineLevel="0" collapsed="false">
      <c r="A31" s="9" t="n">
        <v>27</v>
      </c>
      <c r="B31" s="9" t="s">
        <v>1274</v>
      </c>
      <c r="C31" s="16" t="s">
        <v>1275</v>
      </c>
      <c r="D31" s="9" t="s">
        <v>1276</v>
      </c>
      <c r="E31" s="9" t="s">
        <v>1109</v>
      </c>
      <c r="F31" s="9" t="s">
        <v>1120</v>
      </c>
      <c r="G31" s="9" t="s">
        <v>199</v>
      </c>
      <c r="H31" s="9" t="s">
        <v>1277</v>
      </c>
      <c r="I31" s="9" t="s">
        <v>1109</v>
      </c>
      <c r="J31" s="9" t="s">
        <v>1100</v>
      </c>
      <c r="K31" s="9" t="s">
        <v>1104</v>
      </c>
      <c r="L31" s="9" t="s">
        <v>1104</v>
      </c>
      <c r="M31" s="9" t="s">
        <v>1104</v>
      </c>
      <c r="N31" s="9" t="s">
        <v>1278</v>
      </c>
      <c r="O31" s="9" t="s">
        <v>1279</v>
      </c>
    </row>
    <row r="33" customFormat="false" ht="15" hidden="false" customHeight="false" outlineLevel="0" collapsed="false">
      <c r="B33" s="10" t="s">
        <v>1280</v>
      </c>
      <c r="E33" s="10" t="n">
        <f aca="false">COUNT(A5:A31)</f>
        <v>27</v>
      </c>
    </row>
    <row r="34" customFormat="false" ht="15" hidden="false" customHeight="false" outlineLevel="0" collapsed="false">
      <c r="B34" s="10" t="s">
        <v>1281</v>
      </c>
      <c r="E34" s="10" t="n">
        <f aca="false">COUNTIF(G5:G31,"VERIFIED*")</f>
        <v>23</v>
      </c>
    </row>
    <row r="35" customFormat="false" ht="15" hidden="false" customHeight="false" outlineLevel="0" collapsed="false">
      <c r="B35" s="10" t="s">
        <v>1282</v>
      </c>
      <c r="E35" s="10" t="n">
        <f aca="false">COUNTIF(M5:M31,"LOW*")</f>
        <v>5</v>
      </c>
    </row>
    <row r="37" customFormat="false" ht="15" hidden="false" customHeight="false" outlineLevel="0" collapsed="false">
      <c r="B37" s="3" t="s">
        <v>1283</v>
      </c>
    </row>
  </sheetData>
  <hyperlinks>
    <hyperlink ref="C5" r:id="rId1" display="conaturalintl.com"/>
    <hyperlink ref="C6" r:id="rId2" display="jenpharm.com"/>
    <hyperlink ref="C7" r:id="rId3" display="vincecare.com"/>
    <hyperlink ref="C8" r:id="rId4" display="saeedghani.pk"/>
    <hyperlink ref="C9" r:id="rId5" display="goldenpearl.com.pk"/>
    <hyperlink ref="C10" r:id="rId6" display="slbasics.com"/>
    <hyperlink ref="C11" r:id="rId7" display="accufixcosmetics.com"/>
    <hyperlink ref="C12" r:id="rId8" display="forganica.com"/>
    <hyperlink ref="C13" r:id="rId9" display="kleanbeauty.co"/>
    <hyperlink ref="C14" r:id="rId10" display="zeromakeup.com"/>
    <hyperlink ref="C15" r:id="rId11" display="iloveluscious.com"/>
    <hyperlink ref="C16" r:id="rId12" display="masarratmakeup.com"/>
    <hyperlink ref="C17" r:id="rId13" display="medora.com.pk"/>
    <hyperlink ref="C18" r:id="rId14" display="kashees.com"/>
    <hyperlink ref="C19" r:id="rId15" display="blingbynadiahussain.com"/>
    <hyperlink ref="C20" r:id="rId16" display="colorstudiopro.com"/>
    <hyperlink ref="C21" r:id="rId17" display="dermatechno.com"/>
    <hyperlink ref="C22" r:id="rId18" display="goldengirlcosmetics.com"/>
    <hyperlink ref="C23" r:id="rId19" display="skinsciences.com.pk"/>
    <hyperlink ref="C24" r:id="rId20" display="hemaniherbals.com"/>
    <hyperlink ref="C25" r:id="rId21" display="marhaba.com.pk"/>
    <hyperlink ref="C26" r:id="rId22" display="safrinskincare.com.pk"/>
    <hyperlink ref="C27" r:id="rId23" display="whizlaboratories.com"/>
    <hyperlink ref="C28" r:id="rId24" display="bnbderma.com"/>
    <hyperlink ref="C29" r:id="rId25" display="christinecosmetics.pk"/>
    <hyperlink ref="C30" r:id="rId26" display="saraalicosmetics.com"/>
    <hyperlink ref="C31" r:id="rId27" display="glamorous.p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2"/>
    <col collapsed="false" customWidth="true" hidden="false" outlineLevel="0" max="3" min="3" style="0" width="22"/>
    <col collapsed="false" customWidth="true" hidden="false" outlineLevel="0" max="4" min="4" style="0" width="74"/>
    <col collapsed="false" customWidth="true" hidden="false" outlineLevel="0" max="5" min="5" style="0" width="34"/>
  </cols>
  <sheetData>
    <row r="1" customFormat="false" ht="18.55" hidden="false" customHeight="false" outlineLevel="0" collapsed="false">
      <c r="A1" s="15" t="s">
        <v>1284</v>
      </c>
    </row>
    <row r="2" customFormat="false" ht="15" hidden="false" customHeight="false" outlineLevel="0" collapsed="false">
      <c r="A2" s="2" t="s">
        <v>1285</v>
      </c>
    </row>
    <row r="4" customFormat="false" ht="31.5" hidden="false" customHeight="true" outlineLevel="0" collapsed="false">
      <c r="A4" s="5" t="s">
        <v>1286</v>
      </c>
      <c r="B4" s="5" t="s">
        <v>1287</v>
      </c>
      <c r="C4" s="5" t="s">
        <v>1288</v>
      </c>
      <c r="D4" s="5" t="s">
        <v>1289</v>
      </c>
      <c r="E4" s="5" t="s">
        <v>1290</v>
      </c>
    </row>
    <row r="5" customFormat="false" ht="39.75" hidden="false" customHeight="true" outlineLevel="0" collapsed="false">
      <c r="A5" s="17" t="s">
        <v>1291</v>
      </c>
      <c r="B5" s="17" t="s">
        <v>1292</v>
      </c>
      <c r="C5" s="17" t="s">
        <v>1293</v>
      </c>
      <c r="D5" s="17" t="s">
        <v>1294</v>
      </c>
      <c r="E5" s="17" t="s">
        <v>1124</v>
      </c>
    </row>
    <row r="6" customFormat="false" ht="39.75" hidden="false" customHeight="true" outlineLevel="0" collapsed="false">
      <c r="A6" s="17" t="s">
        <v>1295</v>
      </c>
      <c r="B6" s="17" t="s">
        <v>1296</v>
      </c>
      <c r="C6" s="17" t="s">
        <v>1293</v>
      </c>
      <c r="D6" s="17" t="s">
        <v>1297</v>
      </c>
      <c r="E6" s="17" t="s">
        <v>1124</v>
      </c>
    </row>
    <row r="7" customFormat="false" ht="39.75" hidden="false" customHeight="true" outlineLevel="0" collapsed="false">
      <c r="A7" s="17" t="s">
        <v>1298</v>
      </c>
      <c r="B7" s="17" t="s">
        <v>1299</v>
      </c>
      <c r="C7" s="17" t="s">
        <v>1293</v>
      </c>
      <c r="D7" s="17" t="s">
        <v>1300</v>
      </c>
      <c r="E7" s="17" t="s">
        <v>1124</v>
      </c>
    </row>
    <row r="8" customFormat="false" ht="39.75" hidden="false" customHeight="true" outlineLevel="0" collapsed="false">
      <c r="A8" s="17" t="s">
        <v>1301</v>
      </c>
      <c r="B8" s="17" t="s">
        <v>1302</v>
      </c>
      <c r="C8" s="17" t="s">
        <v>1293</v>
      </c>
      <c r="D8" s="17" t="s">
        <v>1303</v>
      </c>
      <c r="E8" s="17" t="s">
        <v>1124</v>
      </c>
    </row>
    <row r="9" customFormat="false" ht="39.75" hidden="false" customHeight="true" outlineLevel="0" collapsed="false">
      <c r="A9" s="17" t="s">
        <v>1304</v>
      </c>
      <c r="B9" s="17" t="s">
        <v>1305</v>
      </c>
      <c r="C9" s="17" t="s">
        <v>1293</v>
      </c>
      <c r="D9" s="17" t="s">
        <v>1306</v>
      </c>
      <c r="E9" s="17" t="s">
        <v>1305</v>
      </c>
    </row>
    <row r="10" customFormat="false" ht="39.75" hidden="false" customHeight="true" outlineLevel="0" collapsed="false">
      <c r="A10" s="17" t="s">
        <v>1307</v>
      </c>
      <c r="B10" s="17" t="s">
        <v>1308</v>
      </c>
      <c r="C10" s="17" t="s">
        <v>1293</v>
      </c>
      <c r="D10" s="17" t="s">
        <v>1309</v>
      </c>
      <c r="E10" s="17" t="s">
        <v>1308</v>
      </c>
    </row>
    <row r="11" customFormat="false" ht="39.75" hidden="false" customHeight="true" outlineLevel="0" collapsed="false">
      <c r="A11" s="17" t="s">
        <v>1310</v>
      </c>
      <c r="B11" s="17" t="s">
        <v>1311</v>
      </c>
      <c r="C11" s="17" t="s">
        <v>1293</v>
      </c>
      <c r="D11" s="17" t="s">
        <v>1312</v>
      </c>
      <c r="E11" s="17" t="s">
        <v>1311</v>
      </c>
    </row>
    <row r="12" customFormat="false" ht="39.75" hidden="false" customHeight="true" outlineLevel="0" collapsed="false">
      <c r="A12" s="17" t="s">
        <v>1313</v>
      </c>
      <c r="B12" s="17" t="s">
        <v>1104</v>
      </c>
      <c r="C12" s="17" t="s">
        <v>1293</v>
      </c>
      <c r="D12" s="17" t="s">
        <v>1314</v>
      </c>
      <c r="E12" s="17" t="s">
        <v>1104</v>
      </c>
    </row>
    <row r="13" customFormat="false" ht="39.75" hidden="false" customHeight="true" outlineLevel="0" collapsed="false">
      <c r="A13" s="17" t="s">
        <v>1315</v>
      </c>
      <c r="B13" s="17" t="s">
        <v>1316</v>
      </c>
      <c r="C13" s="17" t="s">
        <v>1293</v>
      </c>
      <c r="D13" s="17" t="s">
        <v>1317</v>
      </c>
      <c r="E13" s="17" t="s">
        <v>1316</v>
      </c>
    </row>
    <row r="14" customFormat="false" ht="39.75" hidden="false" customHeight="true" outlineLevel="0" collapsed="false">
      <c r="A14" s="17" t="s">
        <v>1318</v>
      </c>
      <c r="B14" s="17" t="s">
        <v>1319</v>
      </c>
      <c r="C14" s="17" t="s">
        <v>1320</v>
      </c>
      <c r="D14" s="17" t="s">
        <v>1321</v>
      </c>
      <c r="E14" s="17" t="s">
        <v>1319</v>
      </c>
    </row>
    <row r="15" customFormat="false" ht="39.75" hidden="false" customHeight="true" outlineLevel="0" collapsed="false">
      <c r="A15" s="17" t="s">
        <v>1322</v>
      </c>
      <c r="B15" s="17" t="s">
        <v>1323</v>
      </c>
      <c r="C15" s="17" t="s">
        <v>1320</v>
      </c>
      <c r="D15" s="17" t="s">
        <v>1324</v>
      </c>
      <c r="E15" s="17" t="s">
        <v>1104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66"/>
    <col collapsed="false" customWidth="true" hidden="false" outlineLevel="0" max="4" min="4" style="0" width="20"/>
    <col collapsed="false" customWidth="true" hidden="false" outlineLevel="0" max="5" min="5" style="0" width="44"/>
  </cols>
  <sheetData>
    <row r="1" customFormat="false" ht="18.55" hidden="false" customHeight="false" outlineLevel="0" collapsed="false">
      <c r="A1" s="15" t="s">
        <v>1325</v>
      </c>
    </row>
    <row r="2" customFormat="false" ht="15" hidden="false" customHeight="false" outlineLevel="0" collapsed="false">
      <c r="A2" s="2" t="s">
        <v>1326</v>
      </c>
    </row>
    <row r="4" customFormat="false" ht="15" hidden="false" customHeight="false" outlineLevel="0" collapsed="false">
      <c r="A4" s="18" t="s">
        <v>1327</v>
      </c>
      <c r="D4" s="10" t="s">
        <v>1328</v>
      </c>
      <c r="E4" s="10" t="s">
        <v>1329</v>
      </c>
      <c r="F4" s="10" t="s">
        <v>1330</v>
      </c>
    </row>
    <row r="5" customFormat="false" ht="31.5" hidden="false" customHeight="true" outlineLevel="0" collapsed="false">
      <c r="A5" s="5" t="s">
        <v>1331</v>
      </c>
      <c r="B5" s="5" t="s">
        <v>1332</v>
      </c>
      <c r="C5" s="5" t="s">
        <v>1333</v>
      </c>
      <c r="D5" s="5" t="s">
        <v>1334</v>
      </c>
      <c r="E5" s="5" t="s">
        <v>1335</v>
      </c>
    </row>
    <row r="6" customFormat="false" ht="15" hidden="false" customHeight="false" outlineLevel="0" collapsed="false">
      <c r="A6" s="9" t="n">
        <v>1</v>
      </c>
      <c r="B6" s="9" t="s">
        <v>1087</v>
      </c>
      <c r="C6" s="9" t="s">
        <v>1336</v>
      </c>
      <c r="D6" s="9" t="n">
        <v>36</v>
      </c>
      <c r="E6" s="9" t="s">
        <v>1337</v>
      </c>
    </row>
    <row r="7" customFormat="false" ht="15" hidden="false" customHeight="false" outlineLevel="0" collapsed="false">
      <c r="A7" s="9" t="n">
        <v>2</v>
      </c>
      <c r="B7" s="9" t="s">
        <v>1338</v>
      </c>
      <c r="C7" s="9" t="s">
        <v>1339</v>
      </c>
      <c r="D7" s="9" t="s">
        <v>675</v>
      </c>
      <c r="E7" s="9" t="s">
        <v>1340</v>
      </c>
    </row>
    <row r="8" customFormat="false" ht="15" hidden="false" customHeight="false" outlineLevel="0" collapsed="false">
      <c r="A8" s="9" t="n">
        <v>3</v>
      </c>
      <c r="B8" s="9" t="s">
        <v>1108</v>
      </c>
      <c r="C8" s="9" t="s">
        <v>1341</v>
      </c>
      <c r="D8" s="9" t="n">
        <v>32</v>
      </c>
      <c r="E8" s="9" t="s">
        <v>1337</v>
      </c>
    </row>
    <row r="9" customFormat="false" ht="15" hidden="false" customHeight="false" outlineLevel="0" collapsed="false">
      <c r="A9" s="9" t="n">
        <v>4</v>
      </c>
      <c r="B9" s="9" t="s">
        <v>1342</v>
      </c>
      <c r="C9" s="9" t="s">
        <v>1343</v>
      </c>
      <c r="D9" s="9" t="n">
        <v>32</v>
      </c>
      <c r="E9" s="9" t="s">
        <v>1344</v>
      </c>
    </row>
    <row r="10" customFormat="false" ht="22.35" hidden="false" customHeight="false" outlineLevel="0" collapsed="false">
      <c r="A10" s="9" t="n">
        <v>5</v>
      </c>
      <c r="B10" s="9" t="s">
        <v>1345</v>
      </c>
      <c r="C10" s="9" t="s">
        <v>1346</v>
      </c>
      <c r="D10" s="9" t="s">
        <v>675</v>
      </c>
      <c r="E10" s="9" t="s">
        <v>1347</v>
      </c>
    </row>
    <row r="11" customFormat="false" ht="15" hidden="false" customHeight="false" outlineLevel="0" collapsed="false">
      <c r="A11" s="9" t="n">
        <v>6</v>
      </c>
      <c r="B11" s="9" t="s">
        <v>1348</v>
      </c>
      <c r="C11" s="9" t="s">
        <v>1349</v>
      </c>
      <c r="D11" s="9" t="s">
        <v>675</v>
      </c>
      <c r="E11" s="9" t="s">
        <v>1350</v>
      </c>
    </row>
    <row r="12" customFormat="false" ht="15" hidden="false" customHeight="false" outlineLevel="0" collapsed="false">
      <c r="A12" s="9" t="n">
        <v>7</v>
      </c>
      <c r="B12" s="9" t="s">
        <v>1351</v>
      </c>
      <c r="C12" s="9" t="s">
        <v>1352</v>
      </c>
      <c r="D12" s="9" t="s">
        <v>675</v>
      </c>
      <c r="E12" s="9" t="s">
        <v>1350</v>
      </c>
    </row>
    <row r="13" customFormat="false" ht="15" hidden="false" customHeight="false" outlineLevel="0" collapsed="false">
      <c r="A13" s="19" t="n">
        <v>8</v>
      </c>
      <c r="B13" s="19" t="s">
        <v>1353</v>
      </c>
      <c r="C13" s="19" t="s">
        <v>1354</v>
      </c>
      <c r="D13" s="19" t="s">
        <v>1355</v>
      </c>
      <c r="E13" s="19" t="s">
        <v>1356</v>
      </c>
    </row>
    <row r="14" customFormat="false" ht="15" hidden="false" customHeight="false" outlineLevel="0" collapsed="false">
      <c r="A14" s="9" t="n">
        <v>9</v>
      </c>
      <c r="B14" s="9" t="s">
        <v>1357</v>
      </c>
      <c r="C14" s="9" t="s">
        <v>1358</v>
      </c>
      <c r="D14" s="9" t="s">
        <v>675</v>
      </c>
      <c r="E14" s="9" t="s">
        <v>1347</v>
      </c>
    </row>
    <row r="15" customFormat="false" ht="15" hidden="false" customHeight="false" outlineLevel="0" collapsed="false">
      <c r="A15" s="19" t="n">
        <v>10</v>
      </c>
      <c r="B15" s="19" t="s">
        <v>1359</v>
      </c>
      <c r="C15" s="19" t="s">
        <v>1360</v>
      </c>
      <c r="D15" s="19" t="s">
        <v>1361</v>
      </c>
      <c r="E15" s="19" t="s">
        <v>1362</v>
      </c>
    </row>
    <row r="16" customFormat="false" ht="45.75" hidden="false" customHeight="true" outlineLevel="0" collapsed="false">
      <c r="A16" s="3" t="s">
        <v>1363</v>
      </c>
      <c r="B16" s="4" t="s">
        <v>1364</v>
      </c>
    </row>
    <row r="19" customFormat="false" ht="15" hidden="false" customHeight="false" outlineLevel="0" collapsed="false">
      <c r="A19" s="18" t="s">
        <v>1365</v>
      </c>
      <c r="D19" s="10" t="s">
        <v>1366</v>
      </c>
      <c r="E19" s="10" t="s">
        <v>1367</v>
      </c>
      <c r="F19" s="10" t="s">
        <v>1330</v>
      </c>
    </row>
    <row r="20" customFormat="false" ht="31.5" hidden="false" customHeight="true" outlineLevel="0" collapsed="false">
      <c r="A20" s="5" t="s">
        <v>1331</v>
      </c>
      <c r="B20" s="5" t="s">
        <v>1332</v>
      </c>
      <c r="C20" s="5" t="s">
        <v>1333</v>
      </c>
      <c r="D20" s="5" t="s">
        <v>1334</v>
      </c>
      <c r="E20" s="5" t="s">
        <v>1335</v>
      </c>
    </row>
    <row r="21" customFormat="false" ht="15" hidden="false" customHeight="false" outlineLevel="0" collapsed="false">
      <c r="A21" s="9" t="n">
        <v>1</v>
      </c>
      <c r="B21" s="9" t="s">
        <v>1368</v>
      </c>
      <c r="C21" s="9" t="s">
        <v>1369</v>
      </c>
      <c r="D21" s="9" t="s">
        <v>716</v>
      </c>
      <c r="E21" s="9" t="s">
        <v>1370</v>
      </c>
    </row>
    <row r="22" customFormat="false" ht="15" hidden="false" customHeight="false" outlineLevel="0" collapsed="false">
      <c r="A22" s="9" t="n">
        <v>2</v>
      </c>
      <c r="B22" s="9" t="s">
        <v>1371</v>
      </c>
      <c r="C22" s="9" t="s">
        <v>1372</v>
      </c>
      <c r="D22" s="9" t="s">
        <v>675</v>
      </c>
      <c r="E22" s="9" t="s">
        <v>1373</v>
      </c>
    </row>
    <row r="23" customFormat="false" ht="15" hidden="false" customHeight="false" outlineLevel="0" collapsed="false">
      <c r="A23" s="9" t="n">
        <v>3</v>
      </c>
      <c r="B23" s="9" t="s">
        <v>1308</v>
      </c>
      <c r="C23" s="9" t="s">
        <v>1374</v>
      </c>
      <c r="D23" s="9" t="s">
        <v>675</v>
      </c>
      <c r="E23" s="9" t="s">
        <v>1375</v>
      </c>
    </row>
    <row r="24" customFormat="false" ht="15" hidden="false" customHeight="false" outlineLevel="0" collapsed="false">
      <c r="A24" s="9" t="n">
        <v>4</v>
      </c>
      <c r="B24" s="9" t="s">
        <v>1376</v>
      </c>
      <c r="C24" s="9" t="s">
        <v>1377</v>
      </c>
      <c r="D24" s="9" t="s">
        <v>675</v>
      </c>
      <c r="E24" s="9" t="s">
        <v>688</v>
      </c>
    </row>
    <row r="25" customFormat="false" ht="15" hidden="false" customHeight="false" outlineLevel="0" collapsed="false">
      <c r="A25" s="9" t="n">
        <v>5</v>
      </c>
      <c r="B25" s="9" t="s">
        <v>1378</v>
      </c>
      <c r="C25" s="9" t="s">
        <v>1379</v>
      </c>
      <c r="D25" s="9" t="s">
        <v>675</v>
      </c>
      <c r="E25" s="9" t="s">
        <v>1380</v>
      </c>
    </row>
    <row r="26" customFormat="false" ht="22.35" hidden="false" customHeight="false" outlineLevel="0" collapsed="false">
      <c r="A26" s="19" t="n">
        <v>6</v>
      </c>
      <c r="B26" s="19" t="s">
        <v>1128</v>
      </c>
      <c r="C26" s="19" t="s">
        <v>1381</v>
      </c>
      <c r="D26" s="19" t="n">
        <v>19</v>
      </c>
      <c r="E26" s="19" t="s">
        <v>1382</v>
      </c>
    </row>
    <row r="27" customFormat="false" ht="15" hidden="false" customHeight="false" outlineLevel="0" collapsed="false">
      <c r="A27" s="9" t="n">
        <v>7</v>
      </c>
      <c r="B27" s="9" t="s">
        <v>1248</v>
      </c>
      <c r="C27" s="9" t="s">
        <v>1383</v>
      </c>
      <c r="D27" s="9" t="s">
        <v>675</v>
      </c>
      <c r="E27" s="9" t="s">
        <v>1373</v>
      </c>
    </row>
    <row r="28" customFormat="false" ht="15" hidden="false" customHeight="false" outlineLevel="0" collapsed="false">
      <c r="A28" s="9" t="n">
        <v>8</v>
      </c>
      <c r="B28" s="9" t="s">
        <v>1145</v>
      </c>
      <c r="C28" s="9" t="s">
        <v>1384</v>
      </c>
      <c r="D28" s="9" t="s">
        <v>675</v>
      </c>
      <c r="E28" s="9" t="s">
        <v>1373</v>
      </c>
    </row>
    <row r="29" customFormat="false" ht="15" hidden="false" customHeight="false" outlineLevel="0" collapsed="false">
      <c r="A29" s="9" t="n">
        <v>9</v>
      </c>
      <c r="B29" s="9" t="s">
        <v>1385</v>
      </c>
      <c r="C29" s="9" t="s">
        <v>1386</v>
      </c>
      <c r="D29" s="9" t="s">
        <v>675</v>
      </c>
      <c r="E29" s="9" t="s">
        <v>1387</v>
      </c>
    </row>
    <row r="30" customFormat="false" ht="15" hidden="false" customHeight="false" outlineLevel="0" collapsed="false">
      <c r="A30" s="9" t="n">
        <v>10</v>
      </c>
      <c r="B30" s="9" t="s">
        <v>1222</v>
      </c>
      <c r="C30" s="9" t="s">
        <v>1388</v>
      </c>
      <c r="D30" s="9" t="s">
        <v>675</v>
      </c>
      <c r="E30" s="9" t="s">
        <v>1373</v>
      </c>
    </row>
    <row r="31" customFormat="false" ht="45.75" hidden="false" customHeight="true" outlineLevel="0" collapsed="false">
      <c r="A31" s="3" t="s">
        <v>1363</v>
      </c>
      <c r="B31" s="4" t="s">
        <v>1389</v>
      </c>
    </row>
    <row r="34" customFormat="false" ht="15" hidden="false" customHeight="false" outlineLevel="0" collapsed="false">
      <c r="A34" s="18" t="s">
        <v>1390</v>
      </c>
      <c r="D34" s="10" t="s">
        <v>1366</v>
      </c>
      <c r="E34" s="10" t="s">
        <v>1391</v>
      </c>
      <c r="F34" s="10" t="s">
        <v>1330</v>
      </c>
    </row>
    <row r="35" customFormat="false" ht="31.5" hidden="false" customHeight="true" outlineLevel="0" collapsed="false">
      <c r="A35" s="5" t="s">
        <v>1331</v>
      </c>
      <c r="B35" s="5" t="s">
        <v>1332</v>
      </c>
      <c r="C35" s="5" t="s">
        <v>1333</v>
      </c>
      <c r="D35" s="5" t="s">
        <v>1334</v>
      </c>
      <c r="E35" s="5" t="s">
        <v>1335</v>
      </c>
    </row>
    <row r="36" customFormat="false" ht="15" hidden="false" customHeight="false" outlineLevel="0" collapsed="false">
      <c r="A36" s="9" t="n">
        <v>1</v>
      </c>
      <c r="B36" s="9" t="s">
        <v>1099</v>
      </c>
      <c r="C36" s="9" t="s">
        <v>1392</v>
      </c>
      <c r="D36" s="9" t="n">
        <v>39</v>
      </c>
      <c r="E36" s="9" t="s">
        <v>1337</v>
      </c>
    </row>
    <row r="37" customFormat="false" ht="15" hidden="false" customHeight="false" outlineLevel="0" collapsed="false">
      <c r="A37" s="9" t="n">
        <v>2</v>
      </c>
      <c r="B37" s="9" t="s">
        <v>1108</v>
      </c>
      <c r="C37" s="9" t="s">
        <v>1393</v>
      </c>
      <c r="D37" s="9" t="n">
        <v>32</v>
      </c>
      <c r="E37" s="9" t="s">
        <v>1337</v>
      </c>
    </row>
    <row r="38" customFormat="false" ht="15" hidden="false" customHeight="false" outlineLevel="0" collapsed="false">
      <c r="A38" s="9" t="n">
        <v>3</v>
      </c>
      <c r="B38" s="9" t="s">
        <v>1311</v>
      </c>
      <c r="C38" s="9" t="s">
        <v>1394</v>
      </c>
      <c r="D38" s="9" t="s">
        <v>675</v>
      </c>
      <c r="E38" s="9" t="s">
        <v>1375</v>
      </c>
    </row>
    <row r="39" customFormat="false" ht="15" hidden="false" customHeight="false" outlineLevel="0" collapsed="false">
      <c r="A39" s="9" t="n">
        <v>4</v>
      </c>
      <c r="B39" s="9" t="s">
        <v>1395</v>
      </c>
      <c r="C39" s="9" t="s">
        <v>1396</v>
      </c>
      <c r="D39" s="9" t="s">
        <v>675</v>
      </c>
      <c r="E39" s="9" t="s">
        <v>1397</v>
      </c>
    </row>
    <row r="40" customFormat="false" ht="15" hidden="false" customHeight="false" outlineLevel="0" collapsed="false">
      <c r="A40" s="9" t="n">
        <v>5</v>
      </c>
      <c r="B40" s="9" t="s">
        <v>1398</v>
      </c>
      <c r="C40" s="9" t="s">
        <v>1399</v>
      </c>
      <c r="D40" s="9" t="n">
        <v>40</v>
      </c>
      <c r="E40" s="9" t="s">
        <v>1400</v>
      </c>
    </row>
    <row r="41" customFormat="false" ht="15" hidden="false" customHeight="false" outlineLevel="0" collapsed="false">
      <c r="A41" s="9" t="n">
        <v>6</v>
      </c>
      <c r="B41" s="9" t="s">
        <v>1117</v>
      </c>
      <c r="C41" s="9" t="s">
        <v>1401</v>
      </c>
      <c r="D41" s="9" t="n">
        <v>40</v>
      </c>
      <c r="E41" s="9" t="s">
        <v>1337</v>
      </c>
    </row>
    <row r="42" customFormat="false" ht="15" hidden="false" customHeight="false" outlineLevel="0" collapsed="false">
      <c r="A42" s="9" t="n">
        <v>7</v>
      </c>
      <c r="B42" s="9" t="s">
        <v>1402</v>
      </c>
      <c r="C42" s="9" t="s">
        <v>1403</v>
      </c>
      <c r="D42" s="9" t="s">
        <v>675</v>
      </c>
      <c r="E42" s="9" t="s">
        <v>1404</v>
      </c>
    </row>
    <row r="43" customFormat="false" ht="15" hidden="false" customHeight="false" outlineLevel="0" collapsed="false">
      <c r="A43" s="19" t="n">
        <v>8</v>
      </c>
      <c r="B43" s="19" t="s">
        <v>1405</v>
      </c>
      <c r="C43" s="19" t="s">
        <v>1406</v>
      </c>
      <c r="D43" s="19" t="s">
        <v>1355</v>
      </c>
      <c r="E43" s="19" t="s">
        <v>1356</v>
      </c>
    </row>
    <row r="44" customFormat="false" ht="15" hidden="false" customHeight="false" outlineLevel="0" collapsed="false">
      <c r="A44" s="19" t="n">
        <v>9</v>
      </c>
      <c r="B44" s="19" t="s">
        <v>1359</v>
      </c>
      <c r="C44" s="19" t="s">
        <v>1360</v>
      </c>
      <c r="D44" s="19" t="s">
        <v>1361</v>
      </c>
      <c r="E44" s="19" t="s">
        <v>1362</v>
      </c>
    </row>
    <row r="45" customFormat="false" ht="15" hidden="false" customHeight="false" outlineLevel="0" collapsed="false">
      <c r="A45" s="19" t="n">
        <v>10</v>
      </c>
      <c r="B45" s="19" t="s">
        <v>1405</v>
      </c>
      <c r="C45" s="19" t="s">
        <v>1407</v>
      </c>
      <c r="D45" s="19" t="s">
        <v>1355</v>
      </c>
      <c r="E45" s="19" t="s">
        <v>1356</v>
      </c>
    </row>
    <row r="46" customFormat="false" ht="45.75" hidden="false" customHeight="true" outlineLevel="0" collapsed="false">
      <c r="A46" s="3" t="s">
        <v>1363</v>
      </c>
      <c r="B46" s="4" t="s">
        <v>1408</v>
      </c>
    </row>
    <row r="49" customFormat="false" ht="281.3" hidden="false" customHeight="false" outlineLevel="0" collapsed="false">
      <c r="A49" s="20" t="s">
        <v>1409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16"/>
    <col collapsed="false" customWidth="true" hidden="false" outlineLevel="0" max="4" min="4" style="0" width="18"/>
    <col collapsed="false" customWidth="true" hidden="false" outlineLevel="0" max="5" min="5" style="0" width="24"/>
    <col collapsed="false" customWidth="true" hidden="false" outlineLevel="0" max="6" min="6" style="0" width="58"/>
    <col collapsed="false" customWidth="true" hidden="false" outlineLevel="0" max="7" min="7" style="0" width="20"/>
  </cols>
  <sheetData>
    <row r="1" customFormat="false" ht="18.55" hidden="false" customHeight="false" outlineLevel="0" collapsed="false">
      <c r="A1" s="15" t="s">
        <v>1410</v>
      </c>
    </row>
    <row r="2" customFormat="false" ht="15" hidden="false" customHeight="false" outlineLevel="0" collapsed="false">
      <c r="A2" s="2" t="s">
        <v>1411</v>
      </c>
    </row>
    <row r="4" customFormat="false" ht="31.5" hidden="false" customHeight="true" outlineLevel="0" collapsed="false">
      <c r="A4" s="5" t="s">
        <v>1332</v>
      </c>
      <c r="B4" s="5" t="s">
        <v>1334</v>
      </c>
      <c r="C4" s="5" t="s">
        <v>1412</v>
      </c>
      <c r="D4" s="5" t="s">
        <v>1413</v>
      </c>
      <c r="E4" s="5" t="s">
        <v>1414</v>
      </c>
      <c r="F4" s="5" t="s">
        <v>1415</v>
      </c>
      <c r="G4" s="5" t="s">
        <v>1416</v>
      </c>
    </row>
    <row r="5" customFormat="false" ht="15" hidden="false" customHeight="false" outlineLevel="0" collapsed="false">
      <c r="A5" s="17" t="s">
        <v>1117</v>
      </c>
      <c r="B5" s="17" t="n">
        <v>40</v>
      </c>
      <c r="C5" s="21" t="n">
        <v>7595</v>
      </c>
      <c r="D5" s="21" t="n">
        <v>1678</v>
      </c>
      <c r="E5" s="17" t="s">
        <v>1417</v>
      </c>
      <c r="F5" s="17" t="s">
        <v>1418</v>
      </c>
      <c r="G5" s="22" t="n">
        <f aca="false">ROUND(C5/D5,1)</f>
        <v>4.5</v>
      </c>
    </row>
    <row r="6" customFormat="false" ht="15" hidden="false" customHeight="false" outlineLevel="0" collapsed="false">
      <c r="A6" s="17" t="s">
        <v>1398</v>
      </c>
      <c r="B6" s="17" t="n">
        <v>40</v>
      </c>
      <c r="C6" s="21" t="n">
        <v>27706</v>
      </c>
      <c r="D6" s="21" t="n">
        <v>5570</v>
      </c>
      <c r="E6" s="17" t="s">
        <v>1419</v>
      </c>
      <c r="F6" s="17" t="s">
        <v>1420</v>
      </c>
      <c r="G6" s="22" t="n">
        <f aca="false">ROUND(C6/D6,1)</f>
        <v>5</v>
      </c>
    </row>
    <row r="7" customFormat="false" ht="23.85" hidden="false" customHeight="false" outlineLevel="0" collapsed="false">
      <c r="A7" s="17" t="s">
        <v>1099</v>
      </c>
      <c r="B7" s="17" t="n">
        <v>39</v>
      </c>
      <c r="C7" s="21" t="n">
        <v>7721</v>
      </c>
      <c r="D7" s="21" t="n">
        <v>499</v>
      </c>
      <c r="E7" s="17" t="s">
        <v>1417</v>
      </c>
      <c r="F7" s="17" t="s">
        <v>1421</v>
      </c>
      <c r="G7" s="22" t="n">
        <f aca="false">ROUND(C7/D7,1)</f>
        <v>15.5</v>
      </c>
    </row>
    <row r="8" customFormat="false" ht="15" hidden="false" customHeight="false" outlineLevel="0" collapsed="false">
      <c r="A8" s="17" t="s">
        <v>1087</v>
      </c>
      <c r="B8" s="17" t="n">
        <v>36</v>
      </c>
      <c r="C8" s="21" t="n">
        <v>9348</v>
      </c>
      <c r="D8" s="21" t="n">
        <v>808</v>
      </c>
      <c r="E8" s="17" t="s">
        <v>1417</v>
      </c>
      <c r="F8" s="17" t="s">
        <v>1422</v>
      </c>
      <c r="G8" s="22" t="n">
        <f aca="false">ROUND(C8/D8,1)</f>
        <v>11.6</v>
      </c>
    </row>
    <row r="9" customFormat="false" ht="15" hidden="false" customHeight="false" outlineLevel="0" collapsed="false">
      <c r="A9" s="17" t="s">
        <v>1423</v>
      </c>
      <c r="B9" s="17" t="n">
        <v>33</v>
      </c>
      <c r="C9" s="21" t="n">
        <v>16959</v>
      </c>
      <c r="D9" s="21" t="n">
        <v>926</v>
      </c>
      <c r="E9" s="17" t="s">
        <v>1419</v>
      </c>
      <c r="F9" s="17" t="s">
        <v>1424</v>
      </c>
      <c r="G9" s="22" t="n">
        <f aca="false">ROUND(C9/D9,1)</f>
        <v>18.3</v>
      </c>
    </row>
    <row r="10" customFormat="false" ht="15" hidden="false" customHeight="false" outlineLevel="0" collapsed="false">
      <c r="A10" s="17" t="s">
        <v>1108</v>
      </c>
      <c r="B10" s="17" t="n">
        <v>32</v>
      </c>
      <c r="C10" s="21" t="n">
        <v>10087</v>
      </c>
      <c r="D10" s="21" t="n">
        <v>811</v>
      </c>
      <c r="E10" s="17" t="s">
        <v>1417</v>
      </c>
      <c r="F10" s="17"/>
      <c r="G10" s="22" t="n">
        <f aca="false">ROUND(C10/D10,1)</f>
        <v>12.4</v>
      </c>
    </row>
    <row r="11" customFormat="false" ht="15" hidden="false" customHeight="false" outlineLevel="0" collapsed="false">
      <c r="A11" s="17" t="s">
        <v>1342</v>
      </c>
      <c r="B11" s="17" t="n">
        <v>32</v>
      </c>
      <c r="C11" s="21" t="n">
        <v>7288</v>
      </c>
      <c r="D11" s="21" t="n">
        <v>1256</v>
      </c>
      <c r="E11" s="17" t="s">
        <v>1419</v>
      </c>
      <c r="F11" s="17" t="s">
        <v>1425</v>
      </c>
      <c r="G11" s="22" t="n">
        <f aca="false">ROUND(C11/D11,1)</f>
        <v>5.8</v>
      </c>
    </row>
    <row r="12" customFormat="false" ht="15" hidden="false" customHeight="false" outlineLevel="0" collapsed="false">
      <c r="A12" s="17" t="s">
        <v>1426</v>
      </c>
      <c r="B12" s="17" t="n">
        <v>31</v>
      </c>
      <c r="C12" s="21" t="n">
        <v>9941</v>
      </c>
      <c r="D12" s="21" t="n">
        <v>787</v>
      </c>
      <c r="E12" s="17" t="s">
        <v>1419</v>
      </c>
      <c r="F12" s="17" t="s">
        <v>1425</v>
      </c>
      <c r="G12" s="22" t="n">
        <f aca="false">ROUND(C12/D12,1)</f>
        <v>12.6</v>
      </c>
    </row>
    <row r="13" customFormat="false" ht="15" hidden="false" customHeight="false" outlineLevel="0" collapsed="false">
      <c r="A13" s="17" t="s">
        <v>1427</v>
      </c>
      <c r="B13" s="17" t="n">
        <v>30</v>
      </c>
      <c r="C13" s="21" t="n">
        <v>1018</v>
      </c>
      <c r="D13" s="21" t="n">
        <v>276</v>
      </c>
      <c r="E13" s="17" t="s">
        <v>1419</v>
      </c>
      <c r="F13" s="17" t="s">
        <v>1428</v>
      </c>
      <c r="G13" s="22" t="n">
        <f aca="false">ROUND(C13/D13,1)</f>
        <v>3.7</v>
      </c>
    </row>
    <row r="14" customFormat="false" ht="15" hidden="false" customHeight="false" outlineLevel="0" collapsed="false">
      <c r="A14" s="17" t="s">
        <v>1128</v>
      </c>
      <c r="B14" s="17" t="n">
        <v>19</v>
      </c>
      <c r="C14" s="21" t="n">
        <v>1002</v>
      </c>
      <c r="D14" s="21" t="n">
        <v>576</v>
      </c>
      <c r="E14" s="17" t="s">
        <v>1417</v>
      </c>
      <c r="F14" s="17" t="s">
        <v>1429</v>
      </c>
      <c r="G14" s="22" t="n">
        <f aca="false">ROUND(C14/D14,1)</f>
        <v>1.7</v>
      </c>
    </row>
    <row r="16" customFormat="false" ht="15" hidden="false" customHeight="false" outlineLevel="0" collapsed="false">
      <c r="A16" s="10" t="s">
        <v>1430</v>
      </c>
      <c r="B16" s="11" t="n">
        <f aca="false">ROUND(AVERAGE(B5:B14),1)</f>
        <v>33.2</v>
      </c>
    </row>
    <row r="17" customFormat="false" ht="15" hidden="false" customHeight="false" outlineLevel="0" collapsed="false">
      <c r="A17" s="10" t="s">
        <v>1431</v>
      </c>
      <c r="B17" s="11" t="n">
        <f aca="false">MAX(B5:B14)</f>
        <v>40</v>
      </c>
    </row>
    <row r="18" customFormat="false" ht="15" hidden="false" customHeight="false" outlineLevel="0" collapsed="false">
      <c r="A18" s="10" t="s">
        <v>1432</v>
      </c>
      <c r="B18" s="11" t="n">
        <f aca="false">MIN(B5:B14)</f>
        <v>19</v>
      </c>
    </row>
    <row r="19" customFormat="false" ht="15" hidden="false" customHeight="false" outlineLevel="0" collapsed="false">
      <c r="A19" s="10" t="s">
        <v>1433</v>
      </c>
      <c r="B19" s="11" t="n">
        <f aca="false">ROUND(MEDIAN(D5:D14),0)</f>
        <v>810</v>
      </c>
    </row>
    <row r="21" customFormat="false" ht="15" hidden="false" customHeight="false" outlineLevel="0" collapsed="false">
      <c r="A21" s="3" t="s">
        <v>1434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17"/>
    <col collapsed="false" customWidth="true" hidden="false" outlineLevel="0" max="4" min="4" style="0" width="20"/>
    <col collapsed="false" customWidth="true" hidden="false" outlineLevel="0" max="7" min="5" style="0" width="12"/>
    <col collapsed="false" customWidth="true" hidden="false" outlineLevel="0" max="9" min="8" style="0" width="20"/>
    <col collapsed="false" customWidth="true" hidden="false" outlineLevel="0" max="10" min="10" style="0" width="16"/>
    <col collapsed="false" customWidth="true" hidden="false" outlineLevel="0" max="11" min="11" style="0" width="15"/>
    <col collapsed="false" customWidth="true" hidden="false" outlineLevel="0" max="12" min="12" style="0" width="17"/>
    <col collapsed="false" customWidth="true" hidden="false" outlineLevel="0" max="13" min="13" style="0" width="20"/>
  </cols>
  <sheetData>
    <row r="1" customFormat="false" ht="18.55" hidden="false" customHeight="false" outlineLevel="0" collapsed="false">
      <c r="A1" s="15" t="s">
        <v>1435</v>
      </c>
    </row>
    <row r="2" customFormat="false" ht="15" hidden="false" customHeight="false" outlineLevel="0" collapsed="false">
      <c r="A2" s="2" t="s">
        <v>1436</v>
      </c>
    </row>
    <row r="4" customFormat="false" ht="31.5" hidden="false" customHeight="true" outlineLevel="0" collapsed="false">
      <c r="A4" s="5" t="s">
        <v>52</v>
      </c>
      <c r="B4" s="5" t="s">
        <v>53</v>
      </c>
      <c r="C4" s="5" t="s">
        <v>1437</v>
      </c>
      <c r="D4" s="5" t="s">
        <v>1438</v>
      </c>
      <c r="E4" s="5" t="s">
        <v>1439</v>
      </c>
      <c r="F4" s="5" t="s">
        <v>1440</v>
      </c>
      <c r="G4" s="5" t="s">
        <v>1441</v>
      </c>
      <c r="H4" s="5" t="s">
        <v>1442</v>
      </c>
      <c r="I4" s="5" t="s">
        <v>1443</v>
      </c>
      <c r="J4" s="5" t="s">
        <v>1444</v>
      </c>
      <c r="K4" s="5" t="s">
        <v>1445</v>
      </c>
      <c r="L4" s="5" t="s">
        <v>1446</v>
      </c>
      <c r="M4" s="5" t="s">
        <v>1447</v>
      </c>
    </row>
    <row r="5" customFormat="false" ht="15" hidden="false" customHeight="false" outlineLevel="0" collapsed="false">
      <c r="A5" s="6" t="s">
        <v>88</v>
      </c>
      <c r="B5" s="6" t="s">
        <v>98</v>
      </c>
      <c r="C5" s="6" t="n">
        <v>1</v>
      </c>
      <c r="D5" s="6" t="n">
        <v>1</v>
      </c>
      <c r="E5" s="7" t="n">
        <v>9990</v>
      </c>
      <c r="F5" s="7" t="n">
        <v>9990</v>
      </c>
      <c r="G5" s="7" t="n">
        <v>9990</v>
      </c>
      <c r="H5" s="6" t="s">
        <v>685</v>
      </c>
      <c r="I5" s="7" t="n">
        <v>103100</v>
      </c>
      <c r="J5" s="6" t="n">
        <v>24</v>
      </c>
      <c r="K5" s="6" t="str">
        <f aca="false">IF(J5&lt;=15,"Very Easy",IF(J5&lt;=25,"Easy",IF(J5&lt;=40,"Medium","Hard")))</f>
        <v>Easy</v>
      </c>
      <c r="L5" s="6" t="s">
        <v>679</v>
      </c>
      <c r="M5" s="23" t="n">
        <f aca="false">ROUND((I5/1000)*0.5 + (100-J5)*0.4 + (10-MIN(C5,10))*2,1)</f>
        <v>100</v>
      </c>
    </row>
    <row r="6" customFormat="false" ht="15" hidden="false" customHeight="false" outlineLevel="0" collapsed="false">
      <c r="A6" s="6" t="s">
        <v>88</v>
      </c>
      <c r="B6" s="6" t="s">
        <v>89</v>
      </c>
      <c r="C6" s="6" t="n">
        <v>3</v>
      </c>
      <c r="D6" s="6" t="n">
        <v>6</v>
      </c>
      <c r="E6" s="7" t="n">
        <v>3637</v>
      </c>
      <c r="F6" s="7" t="n">
        <v>7006</v>
      </c>
      <c r="G6" s="7" t="n">
        <v>11048</v>
      </c>
      <c r="H6" s="6" t="s">
        <v>685</v>
      </c>
      <c r="I6" s="7" t="n">
        <v>103100</v>
      </c>
      <c r="J6" s="6" t="n">
        <v>24</v>
      </c>
      <c r="K6" s="6" t="str">
        <f aca="false">IF(J6&lt;=15,"Very Easy",IF(J6&lt;=25,"Easy",IF(J6&lt;=40,"Medium","Hard")))</f>
        <v>Easy</v>
      </c>
      <c r="L6" s="6" t="s">
        <v>681</v>
      </c>
      <c r="M6" s="23" t="n">
        <f aca="false">ROUND((I6/1000)*0.5 + (100-J6)*0.4 + (10-MIN(C6,10))*2,1)</f>
        <v>96</v>
      </c>
    </row>
    <row r="7" customFormat="false" ht="15" hidden="false" customHeight="false" outlineLevel="0" collapsed="false">
      <c r="A7" s="6" t="s">
        <v>72</v>
      </c>
      <c r="B7" s="6" t="s">
        <v>159</v>
      </c>
      <c r="C7" s="6" t="n">
        <v>2</v>
      </c>
      <c r="D7" s="6" t="n">
        <v>3</v>
      </c>
      <c r="E7" s="7" t="n">
        <v>5193</v>
      </c>
      <c r="F7" s="7" t="n">
        <v>6112</v>
      </c>
      <c r="G7" s="7" t="n">
        <v>6745</v>
      </c>
      <c r="H7" s="6" t="s">
        <v>957</v>
      </c>
      <c r="I7" s="7" t="n">
        <v>1900</v>
      </c>
      <c r="J7" s="6" t="n">
        <v>31</v>
      </c>
      <c r="K7" s="6" t="str">
        <f aca="false">IF(J7&lt;=15,"Very Easy",IF(J7&lt;=25,"Easy",IF(J7&lt;=40,"Medium","Hard")))</f>
        <v>Medium</v>
      </c>
      <c r="L7" s="6" t="s">
        <v>679</v>
      </c>
      <c r="M7" s="23" t="n">
        <f aca="false">ROUND((I7/1000)*0.5 + (100-J7)*0.4 + (10-MIN(C7,10))*2,1)</f>
        <v>44.6</v>
      </c>
    </row>
    <row r="8" customFormat="false" ht="15" hidden="false" customHeight="false" outlineLevel="0" collapsed="false">
      <c r="A8" s="6" t="s">
        <v>88</v>
      </c>
      <c r="B8" s="6" t="s">
        <v>107</v>
      </c>
      <c r="C8" s="6" t="n">
        <v>1</v>
      </c>
      <c r="D8" s="6" t="n">
        <v>3</v>
      </c>
      <c r="E8" s="7" t="n">
        <v>2990</v>
      </c>
      <c r="F8" s="7" t="n">
        <v>5923</v>
      </c>
      <c r="G8" s="7" t="n">
        <v>9490</v>
      </c>
      <c r="H8" s="6" t="s">
        <v>685</v>
      </c>
      <c r="I8" s="7" t="n">
        <v>103100</v>
      </c>
      <c r="J8" s="6" t="n">
        <v>24</v>
      </c>
      <c r="K8" s="6" t="str">
        <f aca="false">IF(J8&lt;=15,"Very Easy",IF(J8&lt;=25,"Easy",IF(J8&lt;=40,"Medium","Hard")))</f>
        <v>Easy</v>
      </c>
      <c r="L8" s="6" t="s">
        <v>679</v>
      </c>
      <c r="M8" s="23" t="n">
        <f aca="false">ROUND((I8/1000)*0.5 + (100-J8)*0.4 + (10-MIN(C8,10))*2,1)</f>
        <v>100</v>
      </c>
    </row>
    <row r="9" customFormat="false" ht="15" hidden="false" customHeight="false" outlineLevel="0" collapsed="false">
      <c r="A9" s="6" t="s">
        <v>172</v>
      </c>
      <c r="B9" s="6" t="s">
        <v>173</v>
      </c>
      <c r="C9" s="6" t="n">
        <v>1</v>
      </c>
      <c r="D9" s="6" t="n">
        <v>2</v>
      </c>
      <c r="E9" s="7" t="n">
        <v>4041</v>
      </c>
      <c r="F9" s="7" t="n">
        <v>5298</v>
      </c>
      <c r="G9" s="7" t="n">
        <v>6556</v>
      </c>
      <c r="H9" s="6" t="s">
        <v>269</v>
      </c>
      <c r="I9" s="7" t="n">
        <v>132200</v>
      </c>
      <c r="J9" s="6" t="n">
        <v>17</v>
      </c>
      <c r="K9" s="6" t="str">
        <f aca="false">IF(J9&lt;=15,"Very Easy",IF(J9&lt;=25,"Easy",IF(J9&lt;=40,"Medium","Hard")))</f>
        <v>Easy</v>
      </c>
      <c r="L9" s="6" t="s">
        <v>679</v>
      </c>
      <c r="M9" s="23" t="n">
        <f aca="false">ROUND((I9/1000)*0.5 + (100-J9)*0.4 + (10-MIN(C9,10))*2,1)</f>
        <v>117.3</v>
      </c>
    </row>
    <row r="10" customFormat="false" ht="15" hidden="false" customHeight="false" outlineLevel="0" collapsed="false">
      <c r="A10" s="6" t="s">
        <v>88</v>
      </c>
      <c r="B10" s="6" t="s">
        <v>113</v>
      </c>
      <c r="C10" s="6" t="n">
        <v>2</v>
      </c>
      <c r="D10" s="6" t="n">
        <v>3</v>
      </c>
      <c r="E10" s="7" t="n">
        <v>2599</v>
      </c>
      <c r="F10" s="7" t="n">
        <v>5052</v>
      </c>
      <c r="G10" s="7" t="n">
        <v>8990</v>
      </c>
      <c r="H10" s="6" t="s">
        <v>114</v>
      </c>
      <c r="I10" s="7" t="n">
        <v>50680</v>
      </c>
      <c r="J10" s="6" t="n">
        <v>18</v>
      </c>
      <c r="K10" s="6" t="str">
        <f aca="false">IF(J10&lt;=15,"Very Easy",IF(J10&lt;=25,"Easy",IF(J10&lt;=40,"Medium","Hard")))</f>
        <v>Easy</v>
      </c>
      <c r="L10" s="6" t="s">
        <v>679</v>
      </c>
      <c r="M10" s="23" t="n">
        <f aca="false">ROUND((I10/1000)*0.5 + (100-J10)*0.4 + (10-MIN(C10,10))*2,1)</f>
        <v>74.1</v>
      </c>
    </row>
    <row r="11" customFormat="false" ht="15" hidden="false" customHeight="false" outlineLevel="0" collapsed="false">
      <c r="A11" s="6" t="s">
        <v>88</v>
      </c>
      <c r="B11" s="6" t="s">
        <v>276</v>
      </c>
      <c r="C11" s="6" t="n">
        <v>1</v>
      </c>
      <c r="D11" s="6" t="n">
        <v>1</v>
      </c>
      <c r="E11" s="7" t="n">
        <v>4990</v>
      </c>
      <c r="F11" s="7" t="n">
        <v>4990</v>
      </c>
      <c r="G11" s="7" t="n">
        <v>4990</v>
      </c>
      <c r="H11" s="6" t="s">
        <v>114</v>
      </c>
      <c r="I11" s="7" t="n">
        <v>50680</v>
      </c>
      <c r="J11" s="6" t="n">
        <v>18</v>
      </c>
      <c r="K11" s="6" t="str">
        <f aca="false">IF(J11&lt;=15,"Very Easy",IF(J11&lt;=25,"Easy",IF(J11&lt;=40,"Medium","Hard")))</f>
        <v>Easy</v>
      </c>
      <c r="L11" s="6" t="s">
        <v>679</v>
      </c>
      <c r="M11" s="23" t="n">
        <f aca="false">ROUND((I11/1000)*0.5 + (100-J11)*0.4 + (10-MIN(C11,10))*2,1)</f>
        <v>76.1</v>
      </c>
    </row>
    <row r="12" customFormat="false" ht="15" hidden="false" customHeight="false" outlineLevel="0" collapsed="false">
      <c r="A12" s="6" t="s">
        <v>72</v>
      </c>
      <c r="B12" s="6" t="s">
        <v>167</v>
      </c>
      <c r="C12" s="6" t="n">
        <v>4</v>
      </c>
      <c r="D12" s="6" t="n">
        <v>4</v>
      </c>
      <c r="E12" s="7" t="n">
        <v>2991</v>
      </c>
      <c r="F12" s="7" t="n">
        <v>4664</v>
      </c>
      <c r="G12" s="7" t="n">
        <v>6736</v>
      </c>
      <c r="H12" s="6" t="s">
        <v>714</v>
      </c>
      <c r="I12" s="7" t="n">
        <v>123700</v>
      </c>
      <c r="J12" s="6" t="n">
        <v>16</v>
      </c>
      <c r="K12" s="6" t="str">
        <f aca="false">IF(J12&lt;=15,"Very Easy",IF(J12&lt;=25,"Easy",IF(J12&lt;=40,"Medium","Hard")))</f>
        <v>Easy</v>
      </c>
      <c r="L12" s="6" t="s">
        <v>681</v>
      </c>
      <c r="M12" s="23" t="n">
        <f aca="false">ROUND((I12/1000)*0.5 + (100-J12)*0.4 + (10-MIN(C12,10))*2,1)</f>
        <v>107.5</v>
      </c>
    </row>
    <row r="13" customFormat="false" ht="15" hidden="false" customHeight="false" outlineLevel="0" collapsed="false">
      <c r="A13" s="6" t="s">
        <v>72</v>
      </c>
      <c r="B13" s="6" t="s">
        <v>73</v>
      </c>
      <c r="C13" s="6" t="n">
        <v>7</v>
      </c>
      <c r="D13" s="6" t="n">
        <v>34</v>
      </c>
      <c r="E13" s="7" t="n">
        <v>2000</v>
      </c>
      <c r="F13" s="7" t="n">
        <v>4470</v>
      </c>
      <c r="G13" s="7" t="n">
        <v>13918</v>
      </c>
      <c r="H13" s="6" t="s">
        <v>52</v>
      </c>
      <c r="I13" s="7" t="n">
        <v>28990</v>
      </c>
      <c r="J13" s="6" t="n">
        <v>25</v>
      </c>
      <c r="K13" s="6" t="str">
        <f aca="false">IF(J13&lt;=15,"Very Easy",IF(J13&lt;=25,"Easy",IF(J13&lt;=40,"Medium","Hard")))</f>
        <v>Easy</v>
      </c>
      <c r="L13" s="6" t="s">
        <v>673</v>
      </c>
      <c r="M13" s="23" t="n">
        <f aca="false">ROUND((I13/1000)*0.5 + (100-J13)*0.4 + (10-MIN(C13,10))*2,1)</f>
        <v>50.5</v>
      </c>
    </row>
    <row r="14" customFormat="false" ht="15" hidden="false" customHeight="false" outlineLevel="0" collapsed="false">
      <c r="A14" s="6" t="s">
        <v>72</v>
      </c>
      <c r="B14" s="6" t="s">
        <v>142</v>
      </c>
      <c r="C14" s="6" t="n">
        <v>3</v>
      </c>
      <c r="D14" s="6" t="n">
        <v>3</v>
      </c>
      <c r="E14" s="7" t="n">
        <v>2053</v>
      </c>
      <c r="F14" s="7" t="n">
        <v>4424</v>
      </c>
      <c r="G14" s="7" t="n">
        <v>7700</v>
      </c>
      <c r="H14" s="6" t="s">
        <v>128</v>
      </c>
      <c r="I14" s="7" t="n">
        <v>276100</v>
      </c>
      <c r="J14" s="6" t="n">
        <v>19</v>
      </c>
      <c r="K14" s="6" t="str">
        <f aca="false">IF(J14&lt;=15,"Very Easy",IF(J14&lt;=25,"Easy",IF(J14&lt;=40,"Medium","Hard")))</f>
        <v>Easy</v>
      </c>
      <c r="L14" s="6" t="s">
        <v>681</v>
      </c>
      <c r="M14" s="23" t="n">
        <f aca="false">ROUND((I14/1000)*0.5 + (100-J14)*0.4 + (10-MIN(C14,10))*2,1)</f>
        <v>184.5</v>
      </c>
    </row>
    <row r="15" customFormat="false" ht="15" hidden="false" customHeight="false" outlineLevel="0" collapsed="false">
      <c r="A15" s="6" t="s">
        <v>88</v>
      </c>
      <c r="B15" s="6" t="s">
        <v>247</v>
      </c>
      <c r="C15" s="6" t="n">
        <v>2</v>
      </c>
      <c r="D15" s="6" t="n">
        <v>3</v>
      </c>
      <c r="E15" s="7" t="n">
        <v>3500</v>
      </c>
      <c r="F15" s="7" t="n">
        <v>4192</v>
      </c>
      <c r="G15" s="7" t="n">
        <v>5250</v>
      </c>
      <c r="H15" s="6" t="s">
        <v>247</v>
      </c>
      <c r="I15" s="7" t="n">
        <v>59200</v>
      </c>
      <c r="J15" s="6" t="n">
        <v>17</v>
      </c>
      <c r="K15" s="6" t="str">
        <f aca="false">IF(J15&lt;=15,"Very Easy",IF(J15&lt;=25,"Easy",IF(J15&lt;=40,"Medium","Hard")))</f>
        <v>Easy</v>
      </c>
      <c r="L15" s="6" t="s">
        <v>679</v>
      </c>
      <c r="M15" s="23" t="n">
        <f aca="false">ROUND((I15/1000)*0.5 + (100-J15)*0.4 + (10-MIN(C15,10))*2,1)</f>
        <v>78.8</v>
      </c>
    </row>
    <row r="16" customFormat="false" ht="15" hidden="false" customHeight="false" outlineLevel="0" collapsed="false">
      <c r="A16" s="6" t="s">
        <v>88</v>
      </c>
      <c r="B16" s="6" t="s">
        <v>202</v>
      </c>
      <c r="C16" s="6" t="n">
        <v>3</v>
      </c>
      <c r="D16" s="6" t="n">
        <v>3</v>
      </c>
      <c r="E16" s="7" t="n">
        <v>3144</v>
      </c>
      <c r="F16" s="7" t="n">
        <v>4148</v>
      </c>
      <c r="G16" s="7" t="n">
        <v>5900</v>
      </c>
      <c r="H16" s="6" t="s">
        <v>247</v>
      </c>
      <c r="I16" s="7" t="n">
        <v>59200</v>
      </c>
      <c r="J16" s="6" t="n">
        <v>17</v>
      </c>
      <c r="K16" s="6" t="str">
        <f aca="false">IF(J16&lt;=15,"Very Easy",IF(J16&lt;=25,"Easy",IF(J16&lt;=40,"Medium","Hard")))</f>
        <v>Easy</v>
      </c>
      <c r="L16" s="6" t="s">
        <v>681</v>
      </c>
      <c r="M16" s="23" t="n">
        <f aca="false">ROUND((I16/1000)*0.5 + (100-J16)*0.4 + (10-MIN(C16,10))*2,1)</f>
        <v>76.8</v>
      </c>
    </row>
    <row r="17" customFormat="false" ht="15" hidden="false" customHeight="false" outlineLevel="0" collapsed="false">
      <c r="A17" s="6" t="s">
        <v>72</v>
      </c>
      <c r="B17" s="6" t="s">
        <v>226</v>
      </c>
      <c r="C17" s="6" t="n">
        <v>3</v>
      </c>
      <c r="D17" s="6" t="n">
        <v>5</v>
      </c>
      <c r="E17" s="7" t="n">
        <v>2199</v>
      </c>
      <c r="F17" s="7" t="n">
        <v>4021</v>
      </c>
      <c r="G17" s="7" t="n">
        <v>5497</v>
      </c>
      <c r="H17" s="6" t="s">
        <v>134</v>
      </c>
      <c r="I17" s="7" t="n">
        <v>28010</v>
      </c>
      <c r="J17" s="6" t="n">
        <v>12</v>
      </c>
      <c r="K17" s="6" t="str">
        <f aca="false">IF(J17&lt;=15,"Very Easy",IF(J17&lt;=25,"Easy",IF(J17&lt;=40,"Medium","Hard")))</f>
        <v>Very Easy</v>
      </c>
      <c r="L17" s="6" t="s">
        <v>681</v>
      </c>
      <c r="M17" s="23" t="n">
        <f aca="false">ROUND((I17/1000)*0.5 + (100-J17)*0.4 + (10-MIN(C17,10))*2,1)</f>
        <v>63.2</v>
      </c>
    </row>
    <row r="18" customFormat="false" ht="15" hidden="false" customHeight="false" outlineLevel="0" collapsed="false">
      <c r="A18" s="6" t="s">
        <v>88</v>
      </c>
      <c r="B18" s="6" t="s">
        <v>350</v>
      </c>
      <c r="C18" s="6" t="n">
        <v>1</v>
      </c>
      <c r="D18" s="6" t="n">
        <v>1</v>
      </c>
      <c r="E18" s="7" t="n">
        <v>3750</v>
      </c>
      <c r="F18" s="7" t="n">
        <v>3750</v>
      </c>
      <c r="G18" s="7" t="n">
        <v>3750</v>
      </c>
      <c r="H18" s="6" t="s">
        <v>685</v>
      </c>
      <c r="I18" s="7" t="n">
        <v>103100</v>
      </c>
      <c r="J18" s="6" t="n">
        <v>24</v>
      </c>
      <c r="K18" s="6" t="str">
        <f aca="false">IF(J18&lt;=15,"Very Easy",IF(J18&lt;=25,"Easy",IF(J18&lt;=40,"Medium","Hard")))</f>
        <v>Easy</v>
      </c>
      <c r="L18" s="6" t="s">
        <v>679</v>
      </c>
      <c r="M18" s="23" t="n">
        <f aca="false">ROUND((I18/1000)*0.5 + (100-J18)*0.4 + (10-MIN(C18,10))*2,1)</f>
        <v>100</v>
      </c>
    </row>
    <row r="19" customFormat="false" ht="15" hidden="false" customHeight="false" outlineLevel="0" collapsed="false">
      <c r="A19" s="6" t="s">
        <v>72</v>
      </c>
      <c r="B19" s="6" t="s">
        <v>231</v>
      </c>
      <c r="C19" s="6" t="n">
        <v>3</v>
      </c>
      <c r="D19" s="6" t="n">
        <v>4</v>
      </c>
      <c r="E19" s="7" t="n">
        <v>2199</v>
      </c>
      <c r="F19" s="7" t="n">
        <v>3671</v>
      </c>
      <c r="G19" s="7" t="n">
        <v>5490</v>
      </c>
      <c r="H19" s="6" t="s">
        <v>231</v>
      </c>
      <c r="I19" s="7" t="n">
        <v>99580</v>
      </c>
      <c r="J19" s="6" t="n">
        <v>15</v>
      </c>
      <c r="K19" s="6" t="str">
        <f aca="false">IF(J19&lt;=15,"Very Easy",IF(J19&lt;=25,"Easy",IF(J19&lt;=40,"Medium","Hard")))</f>
        <v>Very Easy</v>
      </c>
      <c r="L19" s="6" t="s">
        <v>681</v>
      </c>
      <c r="M19" s="23" t="n">
        <f aca="false">ROUND((I19/1000)*0.5 + (100-J19)*0.4 + (10-MIN(C19,10))*2,1)</f>
        <v>97.8</v>
      </c>
    </row>
    <row r="20" customFormat="false" ht="15" hidden="false" customHeight="false" outlineLevel="0" collapsed="false">
      <c r="A20" s="6" t="s">
        <v>88</v>
      </c>
      <c r="B20" s="6" t="s">
        <v>333</v>
      </c>
      <c r="C20" s="6" t="n">
        <v>2</v>
      </c>
      <c r="D20" s="6" t="n">
        <v>3</v>
      </c>
      <c r="E20" s="7" t="n">
        <v>3100</v>
      </c>
      <c r="F20" s="7" t="n">
        <v>3613</v>
      </c>
      <c r="G20" s="7" t="n">
        <v>3990</v>
      </c>
      <c r="H20" s="6" t="s">
        <v>114</v>
      </c>
      <c r="I20" s="7" t="n">
        <v>50680</v>
      </c>
      <c r="J20" s="6" t="n">
        <v>18</v>
      </c>
      <c r="K20" s="6" t="str">
        <f aca="false">IF(J20&lt;=15,"Very Easy",IF(J20&lt;=25,"Easy",IF(J20&lt;=40,"Medium","Hard")))</f>
        <v>Easy</v>
      </c>
      <c r="L20" s="6" t="s">
        <v>679</v>
      </c>
      <c r="M20" s="23" t="n">
        <f aca="false">ROUND((I20/1000)*0.5 + (100-J20)*0.4 + (10-MIN(C20,10))*2,1)</f>
        <v>74.1</v>
      </c>
    </row>
    <row r="21" customFormat="false" ht="15" hidden="false" customHeight="false" outlineLevel="0" collapsed="false">
      <c r="A21" s="6" t="s">
        <v>88</v>
      </c>
      <c r="B21" s="6" t="s">
        <v>384</v>
      </c>
      <c r="C21" s="6" t="n">
        <v>1</v>
      </c>
      <c r="D21" s="6" t="n">
        <v>1</v>
      </c>
      <c r="E21" s="7" t="n">
        <v>3519</v>
      </c>
      <c r="F21" s="7" t="n">
        <v>3519</v>
      </c>
      <c r="G21" s="7" t="n">
        <v>3519</v>
      </c>
      <c r="H21" s="6" t="s">
        <v>685</v>
      </c>
      <c r="I21" s="7" t="n">
        <v>103100</v>
      </c>
      <c r="J21" s="6" t="n">
        <v>24</v>
      </c>
      <c r="K21" s="6" t="str">
        <f aca="false">IF(J21&lt;=15,"Very Easy",IF(J21&lt;=25,"Easy",IF(J21&lt;=40,"Medium","Hard")))</f>
        <v>Easy</v>
      </c>
      <c r="L21" s="6" t="s">
        <v>679</v>
      </c>
      <c r="M21" s="23" t="n">
        <f aca="false">ROUND((I21/1000)*0.5 + (100-J21)*0.4 + (10-MIN(C21,10))*2,1)</f>
        <v>100</v>
      </c>
    </row>
    <row r="22" customFormat="false" ht="15" hidden="false" customHeight="false" outlineLevel="0" collapsed="false">
      <c r="A22" s="6" t="s">
        <v>72</v>
      </c>
      <c r="B22" s="6" t="s">
        <v>401</v>
      </c>
      <c r="C22" s="6" t="n">
        <v>1</v>
      </c>
      <c r="D22" s="6" t="n">
        <v>1</v>
      </c>
      <c r="E22" s="7" t="n">
        <v>3496</v>
      </c>
      <c r="F22" s="7" t="n">
        <v>3496</v>
      </c>
      <c r="G22" s="7" t="n">
        <v>3496</v>
      </c>
      <c r="H22" s="6" t="s">
        <v>114</v>
      </c>
      <c r="I22" s="7" t="n">
        <v>50680</v>
      </c>
      <c r="J22" s="6" t="n">
        <v>18</v>
      </c>
      <c r="K22" s="6" t="str">
        <f aca="false">IF(J22&lt;=15,"Very Easy",IF(J22&lt;=25,"Easy",IF(J22&lt;=40,"Medium","Hard")))</f>
        <v>Easy</v>
      </c>
      <c r="L22" s="6" t="s">
        <v>679</v>
      </c>
      <c r="M22" s="23" t="n">
        <f aca="false">ROUND((I22/1000)*0.5 + (100-J22)*0.4 + (10-MIN(C22,10))*2,1)</f>
        <v>76.1</v>
      </c>
    </row>
    <row r="23" customFormat="false" ht="15" hidden="false" customHeight="false" outlineLevel="0" collapsed="false">
      <c r="A23" s="6" t="s">
        <v>88</v>
      </c>
      <c r="B23" s="6" t="s">
        <v>407</v>
      </c>
      <c r="C23" s="6" t="n">
        <v>1</v>
      </c>
      <c r="D23" s="6" t="n">
        <v>1</v>
      </c>
      <c r="E23" s="7" t="n">
        <v>3490</v>
      </c>
      <c r="F23" s="7" t="n">
        <v>3490</v>
      </c>
      <c r="G23" s="7" t="n">
        <v>3490</v>
      </c>
      <c r="H23" s="6" t="s">
        <v>685</v>
      </c>
      <c r="I23" s="7" t="n">
        <v>103100</v>
      </c>
      <c r="J23" s="6" t="n">
        <v>24</v>
      </c>
      <c r="K23" s="6" t="str">
        <f aca="false">IF(J23&lt;=15,"Very Easy",IF(J23&lt;=25,"Easy",IF(J23&lt;=40,"Medium","Hard")))</f>
        <v>Easy</v>
      </c>
      <c r="L23" s="6" t="s">
        <v>679</v>
      </c>
      <c r="M23" s="23" t="n">
        <f aca="false">ROUND((I23/1000)*0.5 + (100-J23)*0.4 + (10-MIN(C23,10))*2,1)</f>
        <v>100</v>
      </c>
    </row>
    <row r="24" customFormat="false" ht="15" hidden="false" customHeight="false" outlineLevel="0" collapsed="false">
      <c r="A24" s="6" t="s">
        <v>88</v>
      </c>
      <c r="B24" s="6" t="s">
        <v>311</v>
      </c>
      <c r="C24" s="6" t="n">
        <v>2</v>
      </c>
      <c r="D24" s="6" t="n">
        <v>2</v>
      </c>
      <c r="E24" s="7" t="n">
        <v>2649</v>
      </c>
      <c r="F24" s="7" t="n">
        <v>3432</v>
      </c>
      <c r="G24" s="7" t="n">
        <v>4215</v>
      </c>
      <c r="H24" s="6" t="s">
        <v>114</v>
      </c>
      <c r="I24" s="7" t="n">
        <v>50680</v>
      </c>
      <c r="J24" s="6" t="n">
        <v>18</v>
      </c>
      <c r="K24" s="6" t="str">
        <f aca="false">IF(J24&lt;=15,"Very Easy",IF(J24&lt;=25,"Easy",IF(J24&lt;=40,"Medium","Hard")))</f>
        <v>Easy</v>
      </c>
      <c r="L24" s="6" t="s">
        <v>679</v>
      </c>
      <c r="M24" s="23" t="n">
        <f aca="false">ROUND((I24/1000)*0.5 + (100-J24)*0.4 + (10-MIN(C24,10))*2,1)</f>
        <v>74.1</v>
      </c>
    </row>
    <row r="25" customFormat="false" ht="15" hidden="false" customHeight="false" outlineLevel="0" collapsed="false">
      <c r="A25" s="6" t="s">
        <v>72</v>
      </c>
      <c r="B25" s="6" t="s">
        <v>269</v>
      </c>
      <c r="C25" s="6" t="n">
        <v>3</v>
      </c>
      <c r="D25" s="6" t="n">
        <v>4</v>
      </c>
      <c r="E25" s="7" t="n">
        <v>2250</v>
      </c>
      <c r="F25" s="7" t="n">
        <v>3230</v>
      </c>
      <c r="G25" s="7" t="n">
        <v>4998</v>
      </c>
      <c r="H25" s="6" t="s">
        <v>269</v>
      </c>
      <c r="I25" s="7" t="n">
        <v>132200</v>
      </c>
      <c r="J25" s="6" t="n">
        <v>17</v>
      </c>
      <c r="K25" s="6" t="str">
        <f aca="false">IF(J25&lt;=15,"Very Easy",IF(J25&lt;=25,"Easy",IF(J25&lt;=40,"Medium","Hard")))</f>
        <v>Easy</v>
      </c>
      <c r="L25" s="6" t="s">
        <v>681</v>
      </c>
      <c r="M25" s="23" t="n">
        <f aca="false">ROUND((I25/1000)*0.5 + (100-J25)*0.4 + (10-MIN(C25,10))*2,1)</f>
        <v>113.3</v>
      </c>
    </row>
    <row r="26" customFormat="false" ht="15" hidden="false" customHeight="false" outlineLevel="0" collapsed="false">
      <c r="A26" s="6" t="s">
        <v>72</v>
      </c>
      <c r="B26" s="6" t="s">
        <v>193</v>
      </c>
      <c r="C26" s="6" t="n">
        <v>5</v>
      </c>
      <c r="D26" s="6" t="n">
        <v>11</v>
      </c>
      <c r="E26" s="7" t="n">
        <v>2064</v>
      </c>
      <c r="F26" s="7" t="n">
        <v>2904</v>
      </c>
      <c r="G26" s="7" t="n">
        <v>5999</v>
      </c>
      <c r="H26" s="6" t="s">
        <v>714</v>
      </c>
      <c r="I26" s="7" t="n">
        <v>123700</v>
      </c>
      <c r="J26" s="6" t="n">
        <v>16</v>
      </c>
      <c r="K26" s="6" t="str">
        <f aca="false">IF(J26&lt;=15,"Very Easy",IF(J26&lt;=25,"Easy",IF(J26&lt;=40,"Medium","Hard")))</f>
        <v>Easy</v>
      </c>
      <c r="L26" s="6" t="s">
        <v>681</v>
      </c>
      <c r="M26" s="23" t="n">
        <f aca="false">ROUND((I26/1000)*0.5 + (100-J26)*0.4 + (10-MIN(C26,10))*2,1)</f>
        <v>105.5</v>
      </c>
    </row>
    <row r="27" customFormat="false" ht="15" hidden="false" customHeight="false" outlineLevel="0" collapsed="false">
      <c r="A27" s="6" t="s">
        <v>72</v>
      </c>
      <c r="B27" s="6" t="s">
        <v>473</v>
      </c>
      <c r="C27" s="6" t="n">
        <v>2</v>
      </c>
      <c r="D27" s="6" t="n">
        <v>2</v>
      </c>
      <c r="E27" s="7" t="n">
        <v>2579</v>
      </c>
      <c r="F27" s="7" t="n">
        <v>2624</v>
      </c>
      <c r="G27" s="7" t="n">
        <v>2670</v>
      </c>
      <c r="H27" s="6" t="s">
        <v>128</v>
      </c>
      <c r="I27" s="7" t="n">
        <v>276100</v>
      </c>
      <c r="J27" s="6" t="n">
        <v>19</v>
      </c>
      <c r="K27" s="6" t="str">
        <f aca="false">IF(J27&lt;=15,"Very Easy",IF(J27&lt;=25,"Easy",IF(J27&lt;=40,"Medium","Hard")))</f>
        <v>Easy</v>
      </c>
      <c r="L27" s="6" t="s">
        <v>679</v>
      </c>
      <c r="M27" s="23" t="n">
        <f aca="false">ROUND((I27/1000)*0.5 + (100-J27)*0.4 + (10-MIN(C27,10))*2,1)</f>
        <v>186.5</v>
      </c>
    </row>
    <row r="28" customFormat="false" ht="15" hidden="false" customHeight="false" outlineLevel="0" collapsed="false">
      <c r="A28" s="6" t="s">
        <v>88</v>
      </c>
      <c r="B28" s="6" t="s">
        <v>498</v>
      </c>
      <c r="C28" s="6" t="n">
        <v>1</v>
      </c>
      <c r="D28" s="6" t="n">
        <v>1</v>
      </c>
      <c r="E28" s="7" t="n">
        <v>2499</v>
      </c>
      <c r="F28" s="7" t="n">
        <v>2499</v>
      </c>
      <c r="G28" s="7" t="n">
        <v>2499</v>
      </c>
      <c r="H28" s="6" t="s">
        <v>114</v>
      </c>
      <c r="I28" s="7" t="n">
        <v>50680</v>
      </c>
      <c r="J28" s="6" t="n">
        <v>18</v>
      </c>
      <c r="K28" s="6" t="str">
        <f aca="false">IF(J28&lt;=15,"Very Easy",IF(J28&lt;=25,"Easy",IF(J28&lt;=40,"Medium","Hard")))</f>
        <v>Easy</v>
      </c>
      <c r="L28" s="6" t="s">
        <v>679</v>
      </c>
      <c r="M28" s="23" t="n">
        <f aca="false">ROUND((I28/1000)*0.5 + (100-J28)*0.4 + (10-MIN(C28,10))*2,1)</f>
        <v>76.1</v>
      </c>
    </row>
    <row r="29" customFormat="false" ht="15" hidden="false" customHeight="false" outlineLevel="0" collapsed="false">
      <c r="A29" s="6" t="s">
        <v>88</v>
      </c>
      <c r="B29" s="6" t="s">
        <v>508</v>
      </c>
      <c r="C29" s="6" t="n">
        <v>1</v>
      </c>
      <c r="D29" s="6" t="n">
        <v>1</v>
      </c>
      <c r="E29" s="7" t="n">
        <v>2473</v>
      </c>
      <c r="F29" s="7" t="n">
        <v>2473</v>
      </c>
      <c r="G29" s="7" t="n">
        <v>2473</v>
      </c>
      <c r="H29" s="6" t="s">
        <v>685</v>
      </c>
      <c r="I29" s="7" t="n">
        <v>103100</v>
      </c>
      <c r="J29" s="6" t="n">
        <v>24</v>
      </c>
      <c r="K29" s="6" t="str">
        <f aca="false">IF(J29&lt;=15,"Very Easy",IF(J29&lt;=25,"Easy",IF(J29&lt;=40,"Medium","Hard")))</f>
        <v>Easy</v>
      </c>
      <c r="L29" s="6" t="s">
        <v>679</v>
      </c>
      <c r="M29" s="23" t="n">
        <f aca="false">ROUND((I29/1000)*0.5 + (100-J29)*0.4 + (10-MIN(C29,10))*2,1)</f>
        <v>100</v>
      </c>
    </row>
    <row r="30" customFormat="false" ht="15" hidden="false" customHeight="false" outlineLevel="0" collapsed="false">
      <c r="A30" s="6" t="s">
        <v>172</v>
      </c>
      <c r="B30" s="6" t="s">
        <v>515</v>
      </c>
      <c r="C30" s="6" t="n">
        <v>1</v>
      </c>
      <c r="D30" s="6" t="n">
        <v>4</v>
      </c>
      <c r="E30" s="7" t="n">
        <v>2468</v>
      </c>
      <c r="F30" s="7" t="n">
        <v>2468</v>
      </c>
      <c r="G30" s="7" t="n">
        <v>2468</v>
      </c>
      <c r="H30" s="6" t="s">
        <v>269</v>
      </c>
      <c r="I30" s="7" t="n">
        <v>132200</v>
      </c>
      <c r="J30" s="6" t="n">
        <v>17</v>
      </c>
      <c r="K30" s="6" t="str">
        <f aca="false">IF(J30&lt;=15,"Very Easy",IF(J30&lt;=25,"Easy",IF(J30&lt;=40,"Medium","Hard")))</f>
        <v>Easy</v>
      </c>
      <c r="L30" s="6" t="s">
        <v>679</v>
      </c>
      <c r="M30" s="23" t="n">
        <f aca="false">ROUND((I30/1000)*0.5 + (100-J30)*0.4 + (10-MIN(C30,10))*2,1)</f>
        <v>117.3</v>
      </c>
    </row>
    <row r="31" customFormat="false" ht="15" hidden="false" customHeight="false" outlineLevel="0" collapsed="false">
      <c r="A31" s="6" t="s">
        <v>172</v>
      </c>
      <c r="B31" s="6" t="s">
        <v>573</v>
      </c>
      <c r="C31" s="6" t="n">
        <v>1</v>
      </c>
      <c r="D31" s="6" t="n">
        <v>1</v>
      </c>
      <c r="E31" s="7" t="n">
        <v>2231</v>
      </c>
      <c r="F31" s="7" t="n">
        <v>2231</v>
      </c>
      <c r="G31" s="7" t="n">
        <v>2231</v>
      </c>
      <c r="H31" s="6" t="s">
        <v>269</v>
      </c>
      <c r="I31" s="7" t="n">
        <v>132200</v>
      </c>
      <c r="J31" s="6" t="n">
        <v>17</v>
      </c>
      <c r="K31" s="6" t="str">
        <f aca="false">IF(J31&lt;=15,"Very Easy",IF(J31&lt;=25,"Easy",IF(J31&lt;=40,"Medium","Hard")))</f>
        <v>Easy</v>
      </c>
      <c r="L31" s="6" t="s">
        <v>679</v>
      </c>
      <c r="M31" s="23" t="n">
        <f aca="false">ROUND((I31/1000)*0.5 + (100-J31)*0.4 + (10-MIN(C31,10))*2,1)</f>
        <v>117.3</v>
      </c>
    </row>
    <row r="32" customFormat="false" ht="15" hidden="false" customHeight="false" outlineLevel="0" collapsed="false">
      <c r="A32" s="6" t="s">
        <v>72</v>
      </c>
      <c r="B32" s="6" t="s">
        <v>552</v>
      </c>
      <c r="C32" s="6" t="n">
        <v>3</v>
      </c>
      <c r="D32" s="6" t="n">
        <v>3</v>
      </c>
      <c r="E32" s="7" t="n">
        <v>2000</v>
      </c>
      <c r="F32" s="7" t="n">
        <v>2154</v>
      </c>
      <c r="G32" s="7" t="n">
        <v>2363</v>
      </c>
      <c r="H32" s="6" t="s">
        <v>552</v>
      </c>
      <c r="I32" s="7" t="n">
        <v>219600</v>
      </c>
      <c r="J32" s="6" t="n">
        <v>17</v>
      </c>
      <c r="K32" s="6" t="str">
        <f aca="false">IF(J32&lt;=15,"Very Easy",IF(J32&lt;=25,"Easy",IF(J32&lt;=40,"Medium","Hard")))</f>
        <v>Easy</v>
      </c>
      <c r="L32" s="6" t="s">
        <v>681</v>
      </c>
      <c r="M32" s="23" t="n">
        <f aca="false">ROUND((I32/1000)*0.5 + (100-J32)*0.4 + (10-MIN(C32,10))*2,1)</f>
        <v>157</v>
      </c>
    </row>
    <row r="33" customFormat="false" ht="15" hidden="false" customHeight="false" outlineLevel="0" collapsed="false">
      <c r="A33" s="6" t="s">
        <v>72</v>
      </c>
      <c r="B33" s="6" t="s">
        <v>579</v>
      </c>
      <c r="C33" s="6" t="n">
        <v>2</v>
      </c>
      <c r="D33" s="6" t="n">
        <v>2</v>
      </c>
      <c r="E33" s="7" t="n">
        <v>2000</v>
      </c>
      <c r="F33" s="7" t="n">
        <v>2100</v>
      </c>
      <c r="G33" s="7" t="n">
        <v>2200</v>
      </c>
      <c r="H33" s="6" t="s">
        <v>579</v>
      </c>
      <c r="I33" s="7" t="n">
        <v>11830</v>
      </c>
      <c r="J33" s="6" t="n">
        <v>12</v>
      </c>
      <c r="K33" s="6" t="str">
        <f aca="false">IF(J33&lt;=15,"Very Easy",IF(J33&lt;=25,"Easy",IF(J33&lt;=40,"Medium","Hard")))</f>
        <v>Very Easy</v>
      </c>
      <c r="L33" s="6" t="s">
        <v>679</v>
      </c>
      <c r="M33" s="23" t="n">
        <f aca="false">ROUND((I33/1000)*0.5 + (100-J33)*0.4 + (10-MIN(C33,10))*2,1)</f>
        <v>57.1</v>
      </c>
    </row>
    <row r="34" customFormat="false" ht="15" hidden="false" customHeight="false" outlineLevel="0" collapsed="false">
      <c r="A34" s="6" t="s">
        <v>88</v>
      </c>
      <c r="B34" s="6" t="s">
        <v>611</v>
      </c>
      <c r="C34" s="6" t="n">
        <v>1</v>
      </c>
      <c r="D34" s="6" t="n">
        <v>1</v>
      </c>
      <c r="E34" s="7" t="n">
        <v>2079</v>
      </c>
      <c r="F34" s="7" t="n">
        <v>2079</v>
      </c>
      <c r="G34" s="7" t="n">
        <v>2079</v>
      </c>
      <c r="H34" s="6" t="s">
        <v>247</v>
      </c>
      <c r="I34" s="7" t="n">
        <v>59200</v>
      </c>
      <c r="J34" s="6" t="n">
        <v>17</v>
      </c>
      <c r="K34" s="6" t="str">
        <f aca="false">IF(J34&lt;=15,"Very Easy",IF(J34&lt;=25,"Easy",IF(J34&lt;=40,"Medium","Hard")))</f>
        <v>Easy</v>
      </c>
      <c r="L34" s="6" t="s">
        <v>679</v>
      </c>
      <c r="M34" s="23" t="n">
        <f aca="false">ROUND((I34/1000)*0.5 + (100-J34)*0.4 + (10-MIN(C34,10))*2,1)</f>
        <v>80.8</v>
      </c>
    </row>
    <row r="36" customFormat="false" ht="15" hidden="false" customHeight="false" outlineLevel="0" collapsed="false">
      <c r="A36" s="2" t="s">
        <v>1448</v>
      </c>
    </row>
    <row r="37" customFormat="false" ht="15" hidden="false" customHeight="false" outlineLevel="0" collapsed="false">
      <c r="A37" s="2" t="s">
        <v>1449</v>
      </c>
    </row>
  </sheetData>
  <autoFilter ref="A4:M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4"/>
    <col collapsed="false" customWidth="true" hidden="false" outlineLevel="0" max="3" min="3" style="0" width="16"/>
    <col collapsed="false" customWidth="true" hidden="false" outlineLevel="0" max="4" min="4" style="0" width="34"/>
    <col collapsed="false" customWidth="true" hidden="false" outlineLevel="0" max="5" min="5" style="0" width="50"/>
    <col collapsed="false" customWidth="true" hidden="false" outlineLevel="0" max="6" min="6" style="0" width="34"/>
    <col collapsed="false" customWidth="true" hidden="false" outlineLevel="0" max="7" min="7" style="0" width="14"/>
    <col collapsed="false" customWidth="true" hidden="false" outlineLevel="0" max="8" min="8" style="0" width="16"/>
    <col collapsed="false" customWidth="true" hidden="false" outlineLevel="0" max="9" min="9" style="0" width="50"/>
    <col collapsed="false" customWidth="true" hidden="false" outlineLevel="0" max="10" min="10" style="0" width="12"/>
    <col collapsed="false" customWidth="true" hidden="false" outlineLevel="0" max="12" min="11" style="0" width="14"/>
  </cols>
  <sheetData>
    <row r="1" customFormat="false" ht="18.55" hidden="false" customHeight="false" outlineLevel="0" collapsed="false">
      <c r="A1" s="15" t="s">
        <v>1450</v>
      </c>
    </row>
    <row r="2" customFormat="false" ht="15" hidden="false" customHeight="false" outlineLevel="0" collapsed="false">
      <c r="A2" s="2" t="s">
        <v>1451</v>
      </c>
    </row>
    <row r="4" customFormat="false" ht="31.5" hidden="false" customHeight="true" outlineLevel="0" collapsed="false">
      <c r="A4" s="5" t="s">
        <v>1452</v>
      </c>
      <c r="B4" s="5" t="s">
        <v>1453</v>
      </c>
      <c r="C4" s="5" t="s">
        <v>52</v>
      </c>
      <c r="D4" s="5" t="s">
        <v>1454</v>
      </c>
      <c r="E4" s="5" t="s">
        <v>1455</v>
      </c>
      <c r="F4" s="5" t="s">
        <v>1456</v>
      </c>
      <c r="G4" s="5" t="s">
        <v>1457</v>
      </c>
      <c r="H4" s="5" t="s">
        <v>1458</v>
      </c>
      <c r="I4" s="5" t="s">
        <v>1459</v>
      </c>
      <c r="J4" s="5" t="s">
        <v>1460</v>
      </c>
      <c r="K4" s="5" t="s">
        <v>1461</v>
      </c>
      <c r="L4" s="5" t="s">
        <v>1462</v>
      </c>
    </row>
    <row r="5" customFormat="false" ht="54" hidden="false" customHeight="true" outlineLevel="0" collapsed="false">
      <c r="A5" s="24" t="n">
        <v>1</v>
      </c>
      <c r="B5" s="25" t="s">
        <v>1463</v>
      </c>
      <c r="C5" s="19" t="s">
        <v>231</v>
      </c>
      <c r="D5" s="19" t="s">
        <v>1464</v>
      </c>
      <c r="E5" s="19" t="s">
        <v>1465</v>
      </c>
      <c r="F5" s="19" t="s">
        <v>1466</v>
      </c>
      <c r="G5" s="26" t="n">
        <v>3500</v>
      </c>
      <c r="H5" s="19" t="s">
        <v>1467</v>
      </c>
      <c r="I5" s="19" t="s">
        <v>1468</v>
      </c>
      <c r="J5" s="19" t="n">
        <v>95</v>
      </c>
      <c r="K5" s="19" t="str">
        <f aca="false">IF(J5&gt;=90,"Exceptional",IF(J5&gt;=80,"Excellent",IF(J5&gt;=70,"Strong",IF(J5&gt;=60,"Moderate","Weak"))))</f>
        <v>Exceptional</v>
      </c>
      <c r="L5" s="19" t="s">
        <v>1469</v>
      </c>
    </row>
    <row r="6" customFormat="false" ht="54" hidden="false" customHeight="true" outlineLevel="0" collapsed="false">
      <c r="A6" s="24" t="n">
        <v>2</v>
      </c>
      <c r="B6" s="25" t="s">
        <v>1470</v>
      </c>
      <c r="C6" s="19" t="s">
        <v>193</v>
      </c>
      <c r="D6" s="19" t="s">
        <v>1471</v>
      </c>
      <c r="E6" s="19" t="s">
        <v>1472</v>
      </c>
      <c r="F6" s="19" t="s">
        <v>1473</v>
      </c>
      <c r="G6" s="26" t="n">
        <v>2900</v>
      </c>
      <c r="H6" s="19" t="s">
        <v>1474</v>
      </c>
      <c r="I6" s="19" t="s">
        <v>1475</v>
      </c>
      <c r="J6" s="19" t="n">
        <v>93</v>
      </c>
      <c r="K6" s="19" t="str">
        <f aca="false">IF(J6&gt;=90,"Exceptional",IF(J6&gt;=80,"Excellent",IF(J6&gt;=70,"Strong",IF(J6&gt;=60,"Moderate","Weak"))))</f>
        <v>Exceptional</v>
      </c>
      <c r="L6" s="19" t="s">
        <v>1469</v>
      </c>
    </row>
    <row r="7" customFormat="false" ht="54" hidden="false" customHeight="true" outlineLevel="0" collapsed="false">
      <c r="A7" s="24" t="n">
        <v>3</v>
      </c>
      <c r="B7" s="25" t="s">
        <v>1476</v>
      </c>
      <c r="C7" s="19" t="s">
        <v>193</v>
      </c>
      <c r="D7" s="19" t="s">
        <v>1477</v>
      </c>
      <c r="E7" s="19" t="s">
        <v>1478</v>
      </c>
      <c r="F7" s="19" t="s">
        <v>1479</v>
      </c>
      <c r="G7" s="26" t="n">
        <v>2600</v>
      </c>
      <c r="H7" s="19" t="s">
        <v>673</v>
      </c>
      <c r="I7" s="19" t="s">
        <v>1480</v>
      </c>
      <c r="J7" s="19" t="n">
        <v>90</v>
      </c>
      <c r="K7" s="19" t="str">
        <f aca="false">IF(J7&gt;=90,"Exceptional",IF(J7&gt;=80,"Excellent",IF(J7&gt;=70,"Strong",IF(J7&gt;=60,"Moderate","Weak"))))</f>
        <v>Exceptional</v>
      </c>
      <c r="L7" s="19" t="s">
        <v>1469</v>
      </c>
    </row>
    <row r="8" customFormat="false" ht="54" hidden="false" customHeight="true" outlineLevel="0" collapsed="false">
      <c r="A8" s="24" t="n">
        <v>4</v>
      </c>
      <c r="B8" s="25" t="s">
        <v>1481</v>
      </c>
      <c r="C8" s="19" t="s">
        <v>159</v>
      </c>
      <c r="D8" s="19" t="s">
        <v>1482</v>
      </c>
      <c r="E8" s="19" t="s">
        <v>1483</v>
      </c>
      <c r="F8" s="19" t="s">
        <v>1484</v>
      </c>
      <c r="G8" s="26" t="n">
        <v>3800</v>
      </c>
      <c r="H8" s="19" t="s">
        <v>1485</v>
      </c>
      <c r="I8" s="19" t="s">
        <v>1486</v>
      </c>
      <c r="J8" s="19" t="n">
        <v>88</v>
      </c>
      <c r="K8" s="19" t="str">
        <f aca="false">IF(J8&gt;=90,"Exceptional",IF(J8&gt;=80,"Excellent",IF(J8&gt;=70,"Strong",IF(J8&gt;=60,"Moderate","Weak"))))</f>
        <v>Excellent</v>
      </c>
      <c r="L8" s="19" t="s">
        <v>1469</v>
      </c>
    </row>
    <row r="9" customFormat="false" ht="54" hidden="false" customHeight="true" outlineLevel="0" collapsed="false">
      <c r="A9" s="24" t="n">
        <v>5</v>
      </c>
      <c r="B9" s="25" t="s">
        <v>1487</v>
      </c>
      <c r="C9" s="19" t="s">
        <v>579</v>
      </c>
      <c r="D9" s="19" t="s">
        <v>1488</v>
      </c>
      <c r="E9" s="19" t="s">
        <v>1489</v>
      </c>
      <c r="F9" s="19" t="s">
        <v>1490</v>
      </c>
      <c r="G9" s="26" t="n">
        <v>2400</v>
      </c>
      <c r="H9" s="19" t="s">
        <v>673</v>
      </c>
      <c r="I9" s="19" t="s">
        <v>1491</v>
      </c>
      <c r="J9" s="19" t="n">
        <v>92</v>
      </c>
      <c r="K9" s="19" t="str">
        <f aca="false">IF(J9&gt;=90,"Exceptional",IF(J9&gt;=80,"Excellent",IF(J9&gt;=70,"Strong",IF(J9&gt;=60,"Moderate","Weak"))))</f>
        <v>Exceptional</v>
      </c>
      <c r="L9" s="19" t="s">
        <v>1469</v>
      </c>
    </row>
    <row r="10" customFormat="false" ht="54" hidden="false" customHeight="true" outlineLevel="0" collapsed="false">
      <c r="A10" s="24" t="n">
        <v>6</v>
      </c>
      <c r="B10" s="25" t="s">
        <v>1492</v>
      </c>
      <c r="C10" s="19" t="s">
        <v>269</v>
      </c>
      <c r="D10" s="19" t="s">
        <v>1493</v>
      </c>
      <c r="E10" s="19" t="s">
        <v>1494</v>
      </c>
      <c r="F10" s="19" t="s">
        <v>1495</v>
      </c>
      <c r="G10" s="26" t="n">
        <v>3200</v>
      </c>
      <c r="H10" s="19" t="s">
        <v>673</v>
      </c>
      <c r="I10" s="19" t="s">
        <v>1496</v>
      </c>
      <c r="J10" s="19" t="n">
        <v>86</v>
      </c>
      <c r="K10" s="19" t="str">
        <f aca="false">IF(J10&gt;=90,"Exceptional",IF(J10&gt;=80,"Excellent",IF(J10&gt;=70,"Strong",IF(J10&gt;=60,"Moderate","Weak"))))</f>
        <v>Excellent</v>
      </c>
      <c r="L10" s="19" t="s">
        <v>1469</v>
      </c>
    </row>
    <row r="11" customFormat="false" ht="54" hidden="false" customHeight="true" outlineLevel="0" collapsed="false">
      <c r="A11" s="24" t="n">
        <v>7</v>
      </c>
      <c r="B11" s="25" t="s">
        <v>1497</v>
      </c>
      <c r="C11" s="19" t="s">
        <v>226</v>
      </c>
      <c r="D11" s="19" t="s">
        <v>1498</v>
      </c>
      <c r="E11" s="19" t="s">
        <v>1499</v>
      </c>
      <c r="F11" s="19" t="s">
        <v>1490</v>
      </c>
      <c r="G11" s="26" t="n">
        <v>2400</v>
      </c>
      <c r="H11" s="19" t="s">
        <v>673</v>
      </c>
      <c r="I11" s="19" t="s">
        <v>1500</v>
      </c>
      <c r="J11" s="19" t="n">
        <v>89</v>
      </c>
      <c r="K11" s="19" t="str">
        <f aca="false">IF(J11&gt;=90,"Exceptional",IF(J11&gt;=80,"Excellent",IF(J11&gt;=70,"Strong",IF(J11&gt;=60,"Moderate","Weak"))))</f>
        <v>Excellent</v>
      </c>
      <c r="L11" s="19" t="s">
        <v>1469</v>
      </c>
    </row>
    <row r="12" customFormat="false" ht="54" hidden="false" customHeight="true" outlineLevel="0" collapsed="false">
      <c r="A12" s="24" t="n">
        <v>8</v>
      </c>
      <c r="B12" s="25" t="s">
        <v>1501</v>
      </c>
      <c r="C12" s="19" t="s">
        <v>128</v>
      </c>
      <c r="D12" s="19" t="s">
        <v>1502</v>
      </c>
      <c r="E12" s="19" t="s">
        <v>1503</v>
      </c>
      <c r="F12" s="19" t="s">
        <v>1504</v>
      </c>
      <c r="G12" s="26" t="n">
        <v>3200</v>
      </c>
      <c r="H12" s="19" t="s">
        <v>673</v>
      </c>
      <c r="I12" s="19" t="s">
        <v>1505</v>
      </c>
      <c r="J12" s="19" t="n">
        <v>91</v>
      </c>
      <c r="K12" s="19" t="str">
        <f aca="false">IF(J12&gt;=90,"Exceptional",IF(J12&gt;=80,"Excellent",IF(J12&gt;=70,"Strong",IF(J12&gt;=60,"Moderate","Weak"))))</f>
        <v>Exceptional</v>
      </c>
      <c r="L12" s="19" t="s">
        <v>1469</v>
      </c>
    </row>
    <row r="13" customFormat="false" ht="54" hidden="false" customHeight="true" outlineLevel="0" collapsed="false">
      <c r="A13" s="27" t="n">
        <v>9</v>
      </c>
      <c r="B13" s="28" t="s">
        <v>1506</v>
      </c>
      <c r="C13" s="9" t="s">
        <v>193</v>
      </c>
      <c r="D13" s="9" t="s">
        <v>1507</v>
      </c>
      <c r="E13" s="9" t="s">
        <v>592</v>
      </c>
      <c r="F13" s="9" t="s">
        <v>1508</v>
      </c>
      <c r="G13" s="29" t="n">
        <v>2400</v>
      </c>
      <c r="H13" s="9" t="s">
        <v>673</v>
      </c>
      <c r="I13" s="9" t="s">
        <v>1509</v>
      </c>
      <c r="J13" s="9" t="n">
        <v>80</v>
      </c>
      <c r="K13" s="9" t="str">
        <f aca="false">IF(J13&gt;=90,"Exceptional",IF(J13&gt;=80,"Excellent",IF(J13&gt;=70,"Strong",IF(J13&gt;=60,"Moderate","Weak"))))</f>
        <v>Excellent</v>
      </c>
      <c r="L13" s="9" t="s">
        <v>1510</v>
      </c>
    </row>
    <row r="14" customFormat="false" ht="54" hidden="false" customHeight="true" outlineLevel="0" collapsed="false">
      <c r="A14" s="27" t="n">
        <v>10</v>
      </c>
      <c r="B14" s="28" t="s">
        <v>1511</v>
      </c>
      <c r="C14" s="9" t="s">
        <v>193</v>
      </c>
      <c r="D14" s="9" t="s">
        <v>1512</v>
      </c>
      <c r="E14" s="9" t="s">
        <v>1513</v>
      </c>
      <c r="F14" s="9" t="s">
        <v>1514</v>
      </c>
      <c r="G14" s="29" t="n">
        <v>2800</v>
      </c>
      <c r="H14" s="9" t="s">
        <v>1485</v>
      </c>
      <c r="I14" s="9" t="s">
        <v>1515</v>
      </c>
      <c r="J14" s="9" t="n">
        <v>84</v>
      </c>
      <c r="K14" s="9" t="str">
        <f aca="false">IF(J14&gt;=90,"Exceptional",IF(J14&gt;=80,"Excellent",IF(J14&gt;=70,"Strong",IF(J14&gt;=60,"Moderate","Weak"))))</f>
        <v>Excellent</v>
      </c>
      <c r="L14" s="9" t="s">
        <v>1510</v>
      </c>
    </row>
    <row r="15" customFormat="false" ht="54" hidden="false" customHeight="true" outlineLevel="0" collapsed="false">
      <c r="A15" s="27" t="n">
        <v>11</v>
      </c>
      <c r="B15" s="28" t="s">
        <v>1516</v>
      </c>
      <c r="C15" s="9" t="s">
        <v>226</v>
      </c>
      <c r="D15" s="9" t="s">
        <v>1517</v>
      </c>
      <c r="E15" s="9" t="s">
        <v>1518</v>
      </c>
      <c r="F15" s="9" t="s">
        <v>1519</v>
      </c>
      <c r="G15" s="29" t="n">
        <v>3000</v>
      </c>
      <c r="H15" s="9" t="s">
        <v>673</v>
      </c>
      <c r="I15" s="9" t="s">
        <v>1520</v>
      </c>
      <c r="J15" s="9" t="n">
        <v>87</v>
      </c>
      <c r="K15" s="9" t="str">
        <f aca="false">IF(J15&gt;=90,"Exceptional",IF(J15&gt;=80,"Excellent",IF(J15&gt;=70,"Strong",IF(J15&gt;=60,"Moderate","Weak"))))</f>
        <v>Excellent</v>
      </c>
      <c r="L15" s="9" t="s">
        <v>1510</v>
      </c>
    </row>
    <row r="16" customFormat="false" ht="54" hidden="false" customHeight="true" outlineLevel="0" collapsed="false">
      <c r="A16" s="24" t="n">
        <v>12</v>
      </c>
      <c r="B16" s="25" t="s">
        <v>1521</v>
      </c>
      <c r="C16" s="19" t="s">
        <v>193</v>
      </c>
      <c r="D16" s="19" t="s">
        <v>1522</v>
      </c>
      <c r="E16" s="19" t="s">
        <v>1523</v>
      </c>
      <c r="F16" s="19" t="s">
        <v>1524</v>
      </c>
      <c r="G16" s="26" t="n">
        <v>2900</v>
      </c>
      <c r="H16" s="19" t="s">
        <v>673</v>
      </c>
      <c r="I16" s="19" t="s">
        <v>1525</v>
      </c>
      <c r="J16" s="19" t="n">
        <v>88</v>
      </c>
      <c r="K16" s="19" t="str">
        <f aca="false">IF(J16&gt;=90,"Exceptional",IF(J16&gt;=80,"Excellent",IF(J16&gt;=70,"Strong",IF(J16&gt;=60,"Moderate","Weak"))))</f>
        <v>Excellent</v>
      </c>
      <c r="L16" s="19" t="s">
        <v>1469</v>
      </c>
    </row>
    <row r="17" customFormat="false" ht="54" hidden="false" customHeight="true" outlineLevel="0" collapsed="false">
      <c r="A17" s="27" t="n">
        <v>13</v>
      </c>
      <c r="B17" s="28" t="s">
        <v>1526</v>
      </c>
      <c r="C17" s="9" t="s">
        <v>159</v>
      </c>
      <c r="D17" s="9" t="s">
        <v>1527</v>
      </c>
      <c r="E17" s="9" t="s">
        <v>1528</v>
      </c>
      <c r="F17" s="9" t="s">
        <v>1529</v>
      </c>
      <c r="G17" s="29" t="n">
        <v>3600</v>
      </c>
      <c r="H17" s="9" t="s">
        <v>681</v>
      </c>
      <c r="I17" s="9" t="s">
        <v>1530</v>
      </c>
      <c r="J17" s="9" t="n">
        <v>76</v>
      </c>
      <c r="K17" s="9" t="str">
        <f aca="false">IF(J17&gt;=90,"Exceptional",IF(J17&gt;=80,"Excellent",IF(J17&gt;=70,"Strong",IF(J17&gt;=60,"Moderate","Weak"))))</f>
        <v>Strong</v>
      </c>
      <c r="L17" s="9" t="s">
        <v>1510</v>
      </c>
    </row>
    <row r="18" customFormat="false" ht="54" hidden="false" customHeight="true" outlineLevel="0" collapsed="false">
      <c r="A18" s="27" t="n">
        <v>14</v>
      </c>
      <c r="B18" s="28" t="s">
        <v>1531</v>
      </c>
      <c r="C18" s="9" t="s">
        <v>159</v>
      </c>
      <c r="D18" s="9" t="s">
        <v>1532</v>
      </c>
      <c r="E18" s="9" t="s">
        <v>1533</v>
      </c>
      <c r="F18" s="9" t="s">
        <v>1534</v>
      </c>
      <c r="G18" s="29" t="n">
        <v>3200</v>
      </c>
      <c r="H18" s="9" t="s">
        <v>681</v>
      </c>
      <c r="I18" s="9" t="s">
        <v>1535</v>
      </c>
      <c r="J18" s="9" t="n">
        <v>78</v>
      </c>
      <c r="K18" s="9" t="str">
        <f aca="false">IF(J18&gt;=90,"Exceptional",IF(J18&gt;=80,"Excellent",IF(J18&gt;=70,"Strong",IF(J18&gt;=60,"Moderate","Weak"))))</f>
        <v>Strong</v>
      </c>
      <c r="L18" s="9" t="s">
        <v>1510</v>
      </c>
    </row>
    <row r="19" customFormat="false" ht="54" hidden="false" customHeight="true" outlineLevel="0" collapsed="false">
      <c r="A19" s="27" t="n">
        <v>15</v>
      </c>
      <c r="B19" s="28" t="s">
        <v>1536</v>
      </c>
      <c r="C19" s="9" t="s">
        <v>552</v>
      </c>
      <c r="D19" s="9" t="s">
        <v>1537</v>
      </c>
      <c r="E19" s="9" t="s">
        <v>1538</v>
      </c>
      <c r="F19" s="9" t="s">
        <v>1539</v>
      </c>
      <c r="G19" s="29" t="n">
        <v>2100</v>
      </c>
      <c r="H19" s="9" t="s">
        <v>694</v>
      </c>
      <c r="I19" s="9" t="s">
        <v>1540</v>
      </c>
      <c r="J19" s="9" t="n">
        <v>82</v>
      </c>
      <c r="K19" s="9" t="str">
        <f aca="false">IF(J19&gt;=90,"Exceptional",IF(J19&gt;=80,"Excellent",IF(J19&gt;=70,"Strong",IF(J19&gt;=60,"Moderate","Weak"))))</f>
        <v>Excellent</v>
      </c>
      <c r="L19" s="9" t="s">
        <v>1510</v>
      </c>
    </row>
    <row r="20" customFormat="false" ht="54" hidden="false" customHeight="true" outlineLevel="0" collapsed="false">
      <c r="A20" s="27" t="n">
        <v>16</v>
      </c>
      <c r="B20" s="28" t="s">
        <v>1541</v>
      </c>
      <c r="C20" s="9" t="s">
        <v>231</v>
      </c>
      <c r="D20" s="9" t="s">
        <v>1542</v>
      </c>
      <c r="E20" s="9" t="s">
        <v>1543</v>
      </c>
      <c r="F20" s="9" t="s">
        <v>1544</v>
      </c>
      <c r="G20" s="29" t="n">
        <v>4200</v>
      </c>
      <c r="H20" s="9" t="s">
        <v>673</v>
      </c>
      <c r="I20" s="9" t="s">
        <v>1545</v>
      </c>
      <c r="J20" s="9" t="n">
        <v>85</v>
      </c>
      <c r="K20" s="9" t="str">
        <f aca="false">IF(J20&gt;=90,"Exceptional",IF(J20&gt;=80,"Excellent",IF(J20&gt;=70,"Strong",IF(J20&gt;=60,"Moderate","Weak"))))</f>
        <v>Excellent</v>
      </c>
      <c r="L20" s="9" t="s">
        <v>1510</v>
      </c>
    </row>
    <row r="21" customFormat="false" ht="54" hidden="false" customHeight="true" outlineLevel="0" collapsed="false">
      <c r="A21" s="27" t="n">
        <v>17</v>
      </c>
      <c r="B21" s="28" t="s">
        <v>1546</v>
      </c>
      <c r="C21" s="9" t="s">
        <v>473</v>
      </c>
      <c r="D21" s="9" t="s">
        <v>1547</v>
      </c>
      <c r="E21" s="9" t="s">
        <v>1548</v>
      </c>
      <c r="F21" s="9" t="s">
        <v>1549</v>
      </c>
      <c r="G21" s="29" t="n">
        <v>2700</v>
      </c>
      <c r="H21" s="9" t="s">
        <v>681</v>
      </c>
      <c r="I21" s="9" t="s">
        <v>1550</v>
      </c>
      <c r="J21" s="9" t="n">
        <v>83</v>
      </c>
      <c r="K21" s="9" t="str">
        <f aca="false">IF(J21&gt;=90,"Exceptional",IF(J21&gt;=80,"Excellent",IF(J21&gt;=70,"Strong",IF(J21&gt;=60,"Moderate","Weak"))))</f>
        <v>Excellent</v>
      </c>
      <c r="L21" s="9" t="s">
        <v>1510</v>
      </c>
    </row>
    <row r="22" customFormat="false" ht="54" hidden="false" customHeight="true" outlineLevel="0" collapsed="false">
      <c r="A22" s="27" t="n">
        <v>18</v>
      </c>
      <c r="B22" s="28" t="s">
        <v>1551</v>
      </c>
      <c r="C22" s="9" t="s">
        <v>866</v>
      </c>
      <c r="D22" s="9" t="s">
        <v>1552</v>
      </c>
      <c r="E22" s="9" t="s">
        <v>1553</v>
      </c>
      <c r="F22" s="9" t="s">
        <v>1554</v>
      </c>
      <c r="G22" s="29" t="n">
        <v>3200</v>
      </c>
      <c r="H22" s="9" t="s">
        <v>1485</v>
      </c>
      <c r="I22" s="9" t="s">
        <v>1555</v>
      </c>
      <c r="J22" s="9" t="n">
        <v>86</v>
      </c>
      <c r="K22" s="9" t="str">
        <f aca="false">IF(J22&gt;=90,"Exceptional",IF(J22&gt;=80,"Excellent",IF(J22&gt;=70,"Strong",IF(J22&gt;=60,"Moderate","Weak"))))</f>
        <v>Excellent</v>
      </c>
      <c r="L22" s="9" t="s">
        <v>1510</v>
      </c>
    </row>
    <row r="23" customFormat="false" ht="54" hidden="false" customHeight="true" outlineLevel="0" collapsed="false">
      <c r="A23" s="27" t="n">
        <v>19</v>
      </c>
      <c r="B23" s="28" t="s">
        <v>1556</v>
      </c>
      <c r="C23" s="9" t="s">
        <v>172</v>
      </c>
      <c r="D23" s="9" t="s">
        <v>1557</v>
      </c>
      <c r="E23" s="9" t="s">
        <v>1558</v>
      </c>
      <c r="F23" s="9" t="s">
        <v>1559</v>
      </c>
      <c r="G23" s="29" t="n">
        <v>2500</v>
      </c>
      <c r="H23" s="9" t="s">
        <v>694</v>
      </c>
      <c r="I23" s="9" t="s">
        <v>1560</v>
      </c>
      <c r="J23" s="9" t="n">
        <v>81</v>
      </c>
      <c r="K23" s="9" t="str">
        <f aca="false">IF(J23&gt;=90,"Exceptional",IF(J23&gt;=80,"Excellent",IF(J23&gt;=70,"Strong",IF(J23&gt;=60,"Moderate","Weak"))))</f>
        <v>Excellent</v>
      </c>
      <c r="L23" s="9" t="s">
        <v>1510</v>
      </c>
    </row>
    <row r="24" customFormat="false" ht="54" hidden="false" customHeight="true" outlineLevel="0" collapsed="false">
      <c r="A24" s="27" t="n">
        <v>20</v>
      </c>
      <c r="B24" s="28" t="s">
        <v>1561</v>
      </c>
      <c r="C24" s="9" t="s">
        <v>401</v>
      </c>
      <c r="D24" s="9" t="s">
        <v>1562</v>
      </c>
      <c r="E24" s="9" t="s">
        <v>1563</v>
      </c>
      <c r="F24" s="9" t="s">
        <v>1484</v>
      </c>
      <c r="G24" s="29" t="n">
        <v>2200</v>
      </c>
      <c r="H24" s="9" t="s">
        <v>673</v>
      </c>
      <c r="I24" s="9" t="s">
        <v>1564</v>
      </c>
      <c r="J24" s="9" t="n">
        <v>79</v>
      </c>
      <c r="K24" s="9" t="str">
        <f aca="false">IF(J24&gt;=90,"Exceptional",IF(J24&gt;=80,"Excellent",IF(J24&gt;=70,"Strong",IF(J24&gt;=60,"Moderate","Weak"))))</f>
        <v>Strong</v>
      </c>
      <c r="L24" s="9" t="s">
        <v>1510</v>
      </c>
    </row>
    <row r="25" customFormat="false" ht="54" hidden="false" customHeight="true" outlineLevel="0" collapsed="false">
      <c r="A25" s="27" t="n">
        <v>21</v>
      </c>
      <c r="B25" s="28" t="s">
        <v>1565</v>
      </c>
      <c r="C25" s="9" t="s">
        <v>247</v>
      </c>
      <c r="D25" s="9" t="s">
        <v>1566</v>
      </c>
      <c r="E25" s="9" t="s">
        <v>1567</v>
      </c>
      <c r="F25" s="9" t="s">
        <v>1568</v>
      </c>
      <c r="G25" s="29" t="n">
        <v>3800</v>
      </c>
      <c r="H25" s="9" t="s">
        <v>681</v>
      </c>
      <c r="I25" s="9" t="s">
        <v>1569</v>
      </c>
      <c r="J25" s="9" t="n">
        <v>77</v>
      </c>
      <c r="K25" s="9" t="str">
        <f aca="false">IF(J25&gt;=90,"Exceptional",IF(J25&gt;=80,"Excellent",IF(J25&gt;=70,"Strong",IF(J25&gt;=60,"Moderate","Weak"))))</f>
        <v>Strong</v>
      </c>
      <c r="L25" s="9" t="s">
        <v>1510</v>
      </c>
    </row>
    <row r="26" customFormat="false" ht="54" hidden="false" customHeight="true" outlineLevel="0" collapsed="false">
      <c r="A26" s="27" t="n">
        <v>22</v>
      </c>
      <c r="B26" s="28" t="s">
        <v>1570</v>
      </c>
      <c r="C26" s="9" t="s">
        <v>202</v>
      </c>
      <c r="D26" s="9" t="s">
        <v>1571</v>
      </c>
      <c r="E26" s="9" t="s">
        <v>1572</v>
      </c>
      <c r="F26" s="9" t="s">
        <v>1573</v>
      </c>
      <c r="G26" s="29" t="n">
        <v>4500</v>
      </c>
      <c r="H26" s="9" t="s">
        <v>1574</v>
      </c>
      <c r="I26" s="9" t="s">
        <v>1575</v>
      </c>
      <c r="J26" s="9" t="n">
        <v>75</v>
      </c>
      <c r="K26" s="9" t="str">
        <f aca="false">IF(J26&gt;=90,"Exceptional",IF(J26&gt;=80,"Excellent",IF(J26&gt;=70,"Strong",IF(J26&gt;=60,"Moderate","Weak"))))</f>
        <v>Strong</v>
      </c>
      <c r="L26" s="9" t="s">
        <v>1510</v>
      </c>
    </row>
    <row r="27" customFormat="false" ht="54" hidden="false" customHeight="true" outlineLevel="0" collapsed="false">
      <c r="A27" s="27" t="n">
        <v>23</v>
      </c>
      <c r="B27" s="28" t="s">
        <v>1576</v>
      </c>
      <c r="C27" s="9" t="s">
        <v>508</v>
      </c>
      <c r="D27" s="9" t="s">
        <v>1577</v>
      </c>
      <c r="E27" s="9" t="s">
        <v>1578</v>
      </c>
      <c r="F27" s="9" t="s">
        <v>1579</v>
      </c>
      <c r="G27" s="29" t="n">
        <v>2600</v>
      </c>
      <c r="H27" s="9" t="s">
        <v>681</v>
      </c>
      <c r="I27" s="9" t="s">
        <v>1580</v>
      </c>
      <c r="J27" s="9" t="n">
        <v>72</v>
      </c>
      <c r="K27" s="9" t="str">
        <f aca="false">IF(J27&gt;=90,"Exceptional",IF(J27&gt;=80,"Excellent",IF(J27&gt;=70,"Strong",IF(J27&gt;=60,"Moderate","Weak"))))</f>
        <v>Strong</v>
      </c>
      <c r="L27" s="9" t="s">
        <v>1581</v>
      </c>
    </row>
    <row r="28" customFormat="false" ht="54" hidden="false" customHeight="true" outlineLevel="0" collapsed="false">
      <c r="A28" s="27" t="n">
        <v>24</v>
      </c>
      <c r="B28" s="28" t="s">
        <v>1582</v>
      </c>
      <c r="C28" s="9" t="s">
        <v>114</v>
      </c>
      <c r="D28" s="9" t="s">
        <v>1583</v>
      </c>
      <c r="E28" s="9" t="s">
        <v>1584</v>
      </c>
      <c r="F28" s="9" t="s">
        <v>1585</v>
      </c>
      <c r="G28" s="29" t="n">
        <v>2400</v>
      </c>
      <c r="H28" s="9" t="s">
        <v>681</v>
      </c>
      <c r="I28" s="9" t="s">
        <v>1586</v>
      </c>
      <c r="J28" s="9" t="n">
        <v>74</v>
      </c>
      <c r="K28" s="9" t="str">
        <f aca="false">IF(J28&gt;=90,"Exceptional",IF(J28&gt;=80,"Excellent",IF(J28&gt;=70,"Strong",IF(J28&gt;=60,"Moderate","Weak"))))</f>
        <v>Strong</v>
      </c>
      <c r="L28" s="9" t="s">
        <v>1581</v>
      </c>
    </row>
    <row r="29" customFormat="false" ht="54" hidden="false" customHeight="true" outlineLevel="0" collapsed="false">
      <c r="A29" s="27" t="n">
        <v>25</v>
      </c>
      <c r="B29" s="28" t="s">
        <v>1587</v>
      </c>
      <c r="C29" s="9" t="s">
        <v>73</v>
      </c>
      <c r="D29" s="9" t="s">
        <v>1588</v>
      </c>
      <c r="E29" s="9" t="s">
        <v>1589</v>
      </c>
      <c r="F29" s="9" t="s">
        <v>1590</v>
      </c>
      <c r="G29" s="29" t="n">
        <v>4500</v>
      </c>
      <c r="H29" s="9" t="s">
        <v>681</v>
      </c>
      <c r="I29" s="9" t="s">
        <v>1591</v>
      </c>
      <c r="J29" s="9" t="n">
        <v>73</v>
      </c>
      <c r="K29" s="9" t="str">
        <f aca="false">IF(J29&gt;=90,"Exceptional",IF(J29&gt;=80,"Excellent",IF(J29&gt;=70,"Strong",IF(J29&gt;=60,"Moderate","Weak"))))</f>
        <v>Strong</v>
      </c>
      <c r="L29" s="9" t="s">
        <v>1581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62"/>
    <col collapsed="false" customWidth="true" hidden="false" outlineLevel="0" max="4" min="4" style="0" width="46"/>
    <col collapsed="false" customWidth="true" hidden="false" outlineLevel="0" max="6" min="5" style="0" width="14"/>
    <col collapsed="false" customWidth="true" hidden="false" outlineLevel="0" max="7" min="7" style="0" width="18"/>
    <col collapsed="false" customWidth="true" hidden="false" outlineLevel="0" max="8" min="8" style="0" width="16"/>
    <col collapsed="false" customWidth="true" hidden="false" outlineLevel="0" max="9" min="9" style="0" width="15"/>
    <col collapsed="false" customWidth="true" hidden="false" outlineLevel="0" max="10" min="10" style="0" width="14"/>
  </cols>
  <sheetData>
    <row r="1" customFormat="false" ht="18.55" hidden="false" customHeight="false" outlineLevel="0" collapsed="false">
      <c r="A1" s="15" t="s">
        <v>1592</v>
      </c>
    </row>
    <row r="2" customFormat="false" ht="15" hidden="false" customHeight="false" outlineLevel="0" collapsed="false">
      <c r="A2" s="2" t="s">
        <v>1593</v>
      </c>
    </row>
    <row r="4" customFormat="false" ht="31.5" hidden="false" customHeight="true" outlineLevel="0" collapsed="false">
      <c r="A4" s="5" t="s">
        <v>1452</v>
      </c>
      <c r="B4" s="5" t="s">
        <v>1459</v>
      </c>
      <c r="C4" s="5" t="s">
        <v>1290</v>
      </c>
      <c r="D4" s="5" t="s">
        <v>1594</v>
      </c>
      <c r="E4" s="5" t="s">
        <v>1595</v>
      </c>
      <c r="F4" s="5" t="s">
        <v>1596</v>
      </c>
      <c r="G4" s="5" t="s">
        <v>1597</v>
      </c>
      <c r="H4" s="5" t="s">
        <v>1598</v>
      </c>
      <c r="I4" s="5" t="s">
        <v>669</v>
      </c>
      <c r="J4" s="5" t="s">
        <v>1461</v>
      </c>
    </row>
    <row r="5" customFormat="false" ht="49.5" hidden="false" customHeight="true" outlineLevel="0" collapsed="false">
      <c r="A5" s="27" t="n">
        <v>1</v>
      </c>
      <c r="B5" s="28" t="s">
        <v>1599</v>
      </c>
      <c r="C5" s="9" t="s">
        <v>1600</v>
      </c>
      <c r="D5" s="9" t="s">
        <v>1601</v>
      </c>
      <c r="E5" s="9" t="s">
        <v>673</v>
      </c>
      <c r="F5" s="9" t="s">
        <v>1602</v>
      </c>
      <c r="G5" s="9" t="s">
        <v>694</v>
      </c>
      <c r="H5" s="9" t="s">
        <v>679</v>
      </c>
      <c r="I5" s="9" t="n">
        <v>96</v>
      </c>
      <c r="J5" s="9" t="str">
        <f aca="false">IF(I5&gt;=90,"Exceptional",IF(I5&gt;=80,"Excellent",IF(I5&gt;=70,"Strong",IF(I5&gt;=60,"Moderate","Weak"))))</f>
        <v>Exceptional</v>
      </c>
    </row>
    <row r="6" customFormat="false" ht="49.5" hidden="false" customHeight="true" outlineLevel="0" collapsed="false">
      <c r="A6" s="27" t="n">
        <v>2</v>
      </c>
      <c r="B6" s="28" t="s">
        <v>1603</v>
      </c>
      <c r="C6" s="9" t="s">
        <v>1604</v>
      </c>
      <c r="D6" s="9" t="s">
        <v>1605</v>
      </c>
      <c r="E6" s="9" t="s">
        <v>694</v>
      </c>
      <c r="F6" s="9" t="s">
        <v>1602</v>
      </c>
      <c r="G6" s="9" t="s">
        <v>694</v>
      </c>
      <c r="H6" s="9" t="s">
        <v>679</v>
      </c>
      <c r="I6" s="9" t="n">
        <v>95</v>
      </c>
      <c r="J6" s="9" t="str">
        <f aca="false">IF(I6&gt;=90,"Exceptional",IF(I6&gt;=80,"Excellent",IF(I6&gt;=70,"Strong",IF(I6&gt;=60,"Moderate","Weak"))))</f>
        <v>Exceptional</v>
      </c>
    </row>
    <row r="7" customFormat="false" ht="49.5" hidden="false" customHeight="true" outlineLevel="0" collapsed="false">
      <c r="A7" s="27" t="n">
        <v>3</v>
      </c>
      <c r="B7" s="28" t="s">
        <v>1606</v>
      </c>
      <c r="C7" s="9" t="s">
        <v>1607</v>
      </c>
      <c r="D7" s="9" t="s">
        <v>1608</v>
      </c>
      <c r="E7" s="9" t="s">
        <v>694</v>
      </c>
      <c r="F7" s="9" t="s">
        <v>1602</v>
      </c>
      <c r="G7" s="9" t="s">
        <v>673</v>
      </c>
      <c r="H7" s="9" t="s">
        <v>679</v>
      </c>
      <c r="I7" s="9" t="n">
        <v>94</v>
      </c>
      <c r="J7" s="9" t="str">
        <f aca="false">IF(I7&gt;=90,"Exceptional",IF(I7&gt;=80,"Excellent",IF(I7&gt;=70,"Strong",IF(I7&gt;=60,"Moderate","Weak"))))</f>
        <v>Exceptional</v>
      </c>
    </row>
    <row r="8" customFormat="false" ht="49.5" hidden="false" customHeight="true" outlineLevel="0" collapsed="false">
      <c r="A8" s="27" t="n">
        <v>4</v>
      </c>
      <c r="B8" s="28" t="s">
        <v>1609</v>
      </c>
      <c r="C8" s="9" t="s">
        <v>1610</v>
      </c>
      <c r="D8" s="9" t="s">
        <v>1611</v>
      </c>
      <c r="E8" s="9" t="s">
        <v>694</v>
      </c>
      <c r="F8" s="9" t="s">
        <v>681</v>
      </c>
      <c r="G8" s="9" t="s">
        <v>694</v>
      </c>
      <c r="H8" s="9" t="s">
        <v>681</v>
      </c>
      <c r="I8" s="9" t="n">
        <v>93</v>
      </c>
      <c r="J8" s="9" t="str">
        <f aca="false">IF(I8&gt;=90,"Exceptional",IF(I8&gt;=80,"Excellent",IF(I8&gt;=70,"Strong",IF(I8&gt;=60,"Moderate","Weak"))))</f>
        <v>Exceptional</v>
      </c>
    </row>
    <row r="9" customFormat="false" ht="49.5" hidden="false" customHeight="true" outlineLevel="0" collapsed="false">
      <c r="A9" s="27" t="n">
        <v>5</v>
      </c>
      <c r="B9" s="28" t="s">
        <v>1612</v>
      </c>
      <c r="C9" s="9" t="s">
        <v>1613</v>
      </c>
      <c r="D9" s="9" t="s">
        <v>1614</v>
      </c>
      <c r="E9" s="9" t="s">
        <v>694</v>
      </c>
      <c r="F9" s="9" t="s">
        <v>1602</v>
      </c>
      <c r="G9" s="9" t="s">
        <v>673</v>
      </c>
      <c r="H9" s="9" t="s">
        <v>681</v>
      </c>
      <c r="I9" s="9" t="n">
        <v>91</v>
      </c>
      <c r="J9" s="9" t="str">
        <f aca="false">IF(I9&gt;=90,"Exceptional",IF(I9&gt;=80,"Excellent",IF(I9&gt;=70,"Strong",IF(I9&gt;=60,"Moderate","Weak"))))</f>
        <v>Exceptional</v>
      </c>
    </row>
    <row r="10" customFormat="false" ht="49.5" hidden="false" customHeight="true" outlineLevel="0" collapsed="false">
      <c r="A10" s="27" t="n">
        <v>6</v>
      </c>
      <c r="B10" s="28" t="s">
        <v>1615</v>
      </c>
      <c r="C10" s="9" t="s">
        <v>1616</v>
      </c>
      <c r="D10" s="9" t="s">
        <v>1617</v>
      </c>
      <c r="E10" s="9" t="s">
        <v>673</v>
      </c>
      <c r="F10" s="9" t="s">
        <v>1602</v>
      </c>
      <c r="G10" s="9" t="s">
        <v>673</v>
      </c>
      <c r="H10" s="9" t="s">
        <v>679</v>
      </c>
      <c r="I10" s="9" t="n">
        <v>90</v>
      </c>
      <c r="J10" s="9" t="str">
        <f aca="false">IF(I10&gt;=90,"Exceptional",IF(I10&gt;=80,"Excellent",IF(I10&gt;=70,"Strong",IF(I10&gt;=60,"Moderate","Weak"))))</f>
        <v>Exceptional</v>
      </c>
    </row>
    <row r="11" customFormat="false" ht="49.5" hidden="false" customHeight="true" outlineLevel="0" collapsed="false">
      <c r="A11" s="27" t="n">
        <v>7</v>
      </c>
      <c r="B11" s="28" t="s">
        <v>1618</v>
      </c>
      <c r="C11" s="9" t="s">
        <v>1619</v>
      </c>
      <c r="D11" s="9" t="s">
        <v>1620</v>
      </c>
      <c r="E11" s="9" t="s">
        <v>1485</v>
      </c>
      <c r="F11" s="9" t="s">
        <v>1602</v>
      </c>
      <c r="G11" s="9" t="s">
        <v>673</v>
      </c>
      <c r="H11" s="9" t="s">
        <v>679</v>
      </c>
      <c r="I11" s="9" t="n">
        <v>88</v>
      </c>
      <c r="J11" s="9" t="str">
        <f aca="false">IF(I11&gt;=90,"Exceptional",IF(I11&gt;=80,"Excellent",IF(I11&gt;=70,"Strong",IF(I11&gt;=60,"Moderate","Weak"))))</f>
        <v>Excellent</v>
      </c>
    </row>
    <row r="12" customFormat="false" ht="49.5" hidden="false" customHeight="true" outlineLevel="0" collapsed="false">
      <c r="A12" s="27" t="n">
        <v>8</v>
      </c>
      <c r="B12" s="28" t="s">
        <v>1621</v>
      </c>
      <c r="C12" s="9" t="s">
        <v>1622</v>
      </c>
      <c r="D12" s="9" t="s">
        <v>1623</v>
      </c>
      <c r="E12" s="9" t="s">
        <v>673</v>
      </c>
      <c r="F12" s="9" t="s">
        <v>679</v>
      </c>
      <c r="G12" s="9" t="s">
        <v>673</v>
      </c>
      <c r="H12" s="9" t="s">
        <v>679</v>
      </c>
      <c r="I12" s="9" t="n">
        <v>87</v>
      </c>
      <c r="J12" s="9" t="str">
        <f aca="false">IF(I12&gt;=90,"Exceptional",IF(I12&gt;=80,"Excellent",IF(I12&gt;=70,"Strong",IF(I12&gt;=60,"Moderate","Weak"))))</f>
        <v>Excellent</v>
      </c>
    </row>
    <row r="13" customFormat="false" ht="49.5" hidden="false" customHeight="true" outlineLevel="0" collapsed="false">
      <c r="A13" s="27" t="n">
        <v>9</v>
      </c>
      <c r="B13" s="28" t="s">
        <v>1624</v>
      </c>
      <c r="C13" s="9" t="s">
        <v>1625</v>
      </c>
      <c r="D13" s="9" t="s">
        <v>1626</v>
      </c>
      <c r="E13" s="9" t="s">
        <v>1485</v>
      </c>
      <c r="F13" s="9" t="s">
        <v>1602</v>
      </c>
      <c r="G13" s="9" t="s">
        <v>1485</v>
      </c>
      <c r="H13" s="9" t="s">
        <v>679</v>
      </c>
      <c r="I13" s="9" t="n">
        <v>86</v>
      </c>
      <c r="J13" s="9" t="str">
        <f aca="false">IF(I13&gt;=90,"Exceptional",IF(I13&gt;=80,"Excellent",IF(I13&gt;=70,"Strong",IF(I13&gt;=60,"Moderate","Weak"))))</f>
        <v>Excellent</v>
      </c>
    </row>
    <row r="14" customFormat="false" ht="49.5" hidden="false" customHeight="true" outlineLevel="0" collapsed="false">
      <c r="A14" s="27" t="n">
        <v>10</v>
      </c>
      <c r="B14" s="28" t="s">
        <v>1627</v>
      </c>
      <c r="C14" s="9" t="s">
        <v>1628</v>
      </c>
      <c r="D14" s="9" t="s">
        <v>1629</v>
      </c>
      <c r="E14" s="9" t="s">
        <v>673</v>
      </c>
      <c r="F14" s="9" t="s">
        <v>1602</v>
      </c>
      <c r="G14" s="9" t="s">
        <v>673</v>
      </c>
      <c r="H14" s="9" t="s">
        <v>681</v>
      </c>
      <c r="I14" s="9" t="n">
        <v>84</v>
      </c>
      <c r="J14" s="9" t="str">
        <f aca="false">IF(I14&gt;=90,"Exceptional",IF(I14&gt;=80,"Excellent",IF(I14&gt;=70,"Strong",IF(I14&gt;=60,"Moderate","Weak"))))</f>
        <v>Excellent</v>
      </c>
    </row>
    <row r="15" customFormat="false" ht="49.5" hidden="false" customHeight="true" outlineLevel="0" collapsed="false">
      <c r="A15" s="27" t="n">
        <v>11</v>
      </c>
      <c r="B15" s="28" t="s">
        <v>1630</v>
      </c>
      <c r="C15" s="9" t="s">
        <v>1631</v>
      </c>
      <c r="D15" s="9" t="s">
        <v>1632</v>
      </c>
      <c r="E15" s="9" t="s">
        <v>1485</v>
      </c>
      <c r="F15" s="9" t="s">
        <v>1602</v>
      </c>
      <c r="G15" s="9" t="s">
        <v>673</v>
      </c>
      <c r="H15" s="9" t="s">
        <v>679</v>
      </c>
      <c r="I15" s="9" t="n">
        <v>83</v>
      </c>
      <c r="J15" s="9" t="str">
        <f aca="false">IF(I15&gt;=90,"Exceptional",IF(I15&gt;=80,"Excellent",IF(I15&gt;=70,"Strong",IF(I15&gt;=60,"Moderate","Weak"))))</f>
        <v>Excellent</v>
      </c>
    </row>
    <row r="16" customFormat="false" ht="49.5" hidden="false" customHeight="true" outlineLevel="0" collapsed="false">
      <c r="A16" s="27" t="n">
        <v>12</v>
      </c>
      <c r="B16" s="28" t="s">
        <v>1633</v>
      </c>
      <c r="C16" s="9" t="s">
        <v>1634</v>
      </c>
      <c r="D16" s="9" t="s">
        <v>1635</v>
      </c>
      <c r="E16" s="9" t="s">
        <v>681</v>
      </c>
      <c r="F16" s="9" t="s">
        <v>1636</v>
      </c>
      <c r="G16" s="9" t="s">
        <v>694</v>
      </c>
      <c r="H16" s="9" t="s">
        <v>679</v>
      </c>
      <c r="I16" s="9" t="n">
        <v>82</v>
      </c>
      <c r="J16" s="9" t="str">
        <f aca="false">IF(I16&gt;=90,"Exceptional",IF(I16&gt;=80,"Excellent",IF(I16&gt;=70,"Strong",IF(I16&gt;=60,"Moderate","Weak"))))</f>
        <v>Excellent</v>
      </c>
    </row>
    <row r="17" customFormat="false" ht="49.5" hidden="false" customHeight="true" outlineLevel="0" collapsed="false">
      <c r="A17" s="27" t="n">
        <v>13</v>
      </c>
      <c r="B17" s="28" t="s">
        <v>1637</v>
      </c>
      <c r="C17" s="9" t="s">
        <v>1638</v>
      </c>
      <c r="D17" s="9" t="s">
        <v>1639</v>
      </c>
      <c r="E17" s="9" t="s">
        <v>1485</v>
      </c>
      <c r="F17" s="9" t="s">
        <v>681</v>
      </c>
      <c r="G17" s="9" t="s">
        <v>673</v>
      </c>
      <c r="H17" s="9" t="s">
        <v>673</v>
      </c>
      <c r="I17" s="9" t="n">
        <v>80</v>
      </c>
      <c r="J17" s="9" t="str">
        <f aca="false">IF(I17&gt;=90,"Exceptional",IF(I17&gt;=80,"Excellent",IF(I17&gt;=70,"Strong",IF(I17&gt;=60,"Moderate","Weak"))))</f>
        <v>Excellent</v>
      </c>
    </row>
    <row r="18" customFormat="false" ht="49.5" hidden="false" customHeight="true" outlineLevel="0" collapsed="false">
      <c r="A18" s="27" t="n">
        <v>14</v>
      </c>
      <c r="B18" s="28" t="s">
        <v>1640</v>
      </c>
      <c r="C18" s="9" t="s">
        <v>1641</v>
      </c>
      <c r="D18" s="9" t="s">
        <v>1642</v>
      </c>
      <c r="E18" s="9" t="s">
        <v>681</v>
      </c>
      <c r="F18" s="9" t="s">
        <v>1602</v>
      </c>
      <c r="G18" s="9" t="s">
        <v>1485</v>
      </c>
      <c r="H18" s="9" t="s">
        <v>681</v>
      </c>
      <c r="I18" s="9" t="n">
        <v>79</v>
      </c>
      <c r="J18" s="9" t="str">
        <f aca="false">IF(I18&gt;=90,"Exceptional",IF(I18&gt;=80,"Excellent",IF(I18&gt;=70,"Strong",IF(I18&gt;=60,"Moderate","Weak"))))</f>
        <v>Strong</v>
      </c>
    </row>
    <row r="19" customFormat="false" ht="49.5" hidden="false" customHeight="true" outlineLevel="0" collapsed="false">
      <c r="A19" s="27" t="n">
        <v>15</v>
      </c>
      <c r="B19" s="28" t="s">
        <v>1643</v>
      </c>
      <c r="C19" s="9" t="s">
        <v>1644</v>
      </c>
      <c r="D19" s="9" t="s">
        <v>1645</v>
      </c>
      <c r="E19" s="9" t="s">
        <v>673</v>
      </c>
      <c r="F19" s="9" t="s">
        <v>1602</v>
      </c>
      <c r="G19" s="9" t="s">
        <v>673</v>
      </c>
      <c r="H19" s="9" t="s">
        <v>1602</v>
      </c>
      <c r="I19" s="9" t="n">
        <v>86</v>
      </c>
      <c r="J19" s="9" t="str">
        <f aca="false">IF(I19&gt;=90,"Exceptional",IF(I19&gt;=80,"Excellent",IF(I19&gt;=70,"Strong",IF(I19&gt;=60,"Moderate","Weak"))))</f>
        <v>Excellent</v>
      </c>
    </row>
    <row r="20" customFormat="false" ht="49.5" hidden="false" customHeight="true" outlineLevel="0" collapsed="false">
      <c r="A20" s="27" t="n">
        <v>16</v>
      </c>
      <c r="B20" s="28" t="s">
        <v>1646</v>
      </c>
      <c r="C20" s="9" t="s">
        <v>1647</v>
      </c>
      <c r="D20" s="9" t="s">
        <v>1648</v>
      </c>
      <c r="E20" s="9" t="s">
        <v>1574</v>
      </c>
      <c r="F20" s="9" t="s">
        <v>1602</v>
      </c>
      <c r="G20" s="9" t="s">
        <v>681</v>
      </c>
      <c r="H20" s="9" t="s">
        <v>679</v>
      </c>
      <c r="I20" s="9" t="n">
        <v>70</v>
      </c>
      <c r="J20" s="9" t="str">
        <f aca="false">IF(I20&gt;=90,"Exceptional",IF(I20&gt;=80,"Excellent",IF(I20&gt;=70,"Strong",IF(I20&gt;=60,"Moderate","Weak"))))</f>
        <v>Strong</v>
      </c>
    </row>
    <row r="21" customFormat="false" ht="49.5" hidden="false" customHeight="true" outlineLevel="0" collapsed="false">
      <c r="A21" s="27" t="n">
        <v>17</v>
      </c>
      <c r="B21" s="28" t="s">
        <v>1649</v>
      </c>
      <c r="C21" s="9" t="s">
        <v>1650</v>
      </c>
      <c r="D21" s="9" t="s">
        <v>1651</v>
      </c>
      <c r="E21" s="9" t="s">
        <v>681</v>
      </c>
      <c r="F21" s="9" t="s">
        <v>1602</v>
      </c>
      <c r="G21" s="9" t="s">
        <v>681</v>
      </c>
      <c r="H21" s="9" t="s">
        <v>679</v>
      </c>
      <c r="I21" s="9" t="n">
        <v>74</v>
      </c>
      <c r="J21" s="9" t="str">
        <f aca="false">IF(I21&gt;=90,"Exceptional",IF(I21&gt;=80,"Excellent",IF(I21&gt;=70,"Strong",IF(I21&gt;=60,"Moderate","Weak"))))</f>
        <v>Strong</v>
      </c>
    </row>
    <row r="22" customFormat="false" ht="49.5" hidden="false" customHeight="true" outlineLevel="0" collapsed="false">
      <c r="A22" s="27" t="n">
        <v>18</v>
      </c>
      <c r="B22" s="28" t="s">
        <v>1652</v>
      </c>
      <c r="C22" s="9" t="s">
        <v>1653</v>
      </c>
      <c r="D22" s="9" t="s">
        <v>1654</v>
      </c>
      <c r="E22" s="9" t="s">
        <v>681</v>
      </c>
      <c r="F22" s="9" t="s">
        <v>679</v>
      </c>
      <c r="G22" s="9" t="s">
        <v>1485</v>
      </c>
      <c r="H22" s="9" t="s">
        <v>679</v>
      </c>
      <c r="I22" s="9" t="n">
        <v>76</v>
      </c>
      <c r="J22" s="9" t="str">
        <f aca="false">IF(I22&gt;=90,"Exceptional",IF(I22&gt;=80,"Excellent",IF(I22&gt;=70,"Strong",IF(I22&gt;=60,"Moderate","Weak"))))</f>
        <v>Strong</v>
      </c>
    </row>
    <row r="23" customFormat="false" ht="49.5" hidden="false" customHeight="true" outlineLevel="0" collapsed="false">
      <c r="A23" s="27" t="n">
        <v>19</v>
      </c>
      <c r="B23" s="28" t="s">
        <v>1655</v>
      </c>
      <c r="C23" s="9" t="s">
        <v>1656</v>
      </c>
      <c r="D23" s="9" t="s">
        <v>1657</v>
      </c>
      <c r="E23" s="9" t="s">
        <v>681</v>
      </c>
      <c r="F23" s="9" t="s">
        <v>679</v>
      </c>
      <c r="G23" s="9" t="s">
        <v>673</v>
      </c>
      <c r="H23" s="9" t="s">
        <v>681</v>
      </c>
      <c r="I23" s="9" t="n">
        <v>81</v>
      </c>
      <c r="J23" s="9" t="str">
        <f aca="false">IF(I23&gt;=90,"Exceptional",IF(I23&gt;=80,"Excellent",IF(I23&gt;=70,"Strong",IF(I23&gt;=60,"Moderate","Weak"))))</f>
        <v>Excellent</v>
      </c>
    </row>
    <row r="24" customFormat="false" ht="49.5" hidden="false" customHeight="true" outlineLevel="0" collapsed="false">
      <c r="A24" s="27" t="n">
        <v>20</v>
      </c>
      <c r="B24" s="28" t="s">
        <v>1658</v>
      </c>
      <c r="C24" s="9" t="s">
        <v>1659</v>
      </c>
      <c r="D24" s="9" t="s">
        <v>1660</v>
      </c>
      <c r="E24" s="9" t="s">
        <v>681</v>
      </c>
      <c r="F24" s="9" t="s">
        <v>1661</v>
      </c>
      <c r="G24" s="9" t="s">
        <v>681</v>
      </c>
      <c r="H24" s="9" t="s">
        <v>1602</v>
      </c>
      <c r="I24" s="9" t="n">
        <v>68</v>
      </c>
      <c r="J24" s="9" t="str">
        <f aca="false">IF(I24&gt;=90,"Exceptional",IF(I24&gt;=80,"Excellent",IF(I24&gt;=70,"Strong",IF(I24&gt;=60,"Moderate","Weak"))))</f>
        <v>Moderate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20"/>
    <col collapsed="false" customWidth="true" hidden="false" outlineLevel="0" max="4" min="4" style="0" width="13"/>
    <col collapsed="false" customWidth="true" hidden="false" outlineLevel="0" max="5" min="5" style="0" width="7"/>
    <col collapsed="false" customWidth="true" hidden="false" outlineLevel="0" max="6" min="6" style="0" width="32"/>
    <col collapsed="false" customWidth="true" hidden="false" outlineLevel="0" max="7" min="7" style="0" width="74"/>
    <col collapsed="false" customWidth="true" hidden="false" outlineLevel="0" max="8" min="8" style="0" width="28"/>
    <col collapsed="false" customWidth="true" hidden="false" outlineLevel="0" max="9" min="9" style="0" width="22"/>
  </cols>
  <sheetData>
    <row r="1" customFormat="false" ht="18.55" hidden="false" customHeight="false" outlineLevel="0" collapsed="false">
      <c r="A1" s="15" t="s">
        <v>1662</v>
      </c>
    </row>
    <row r="2" customFormat="false" ht="15" hidden="false" customHeight="false" outlineLevel="0" collapsed="false">
      <c r="A2" s="2" t="s">
        <v>1663</v>
      </c>
    </row>
    <row r="4" customFormat="false" ht="31.5" hidden="false" customHeight="true" outlineLevel="0" collapsed="false">
      <c r="A4" s="5" t="s">
        <v>1664</v>
      </c>
      <c r="B4" s="5" t="s">
        <v>657</v>
      </c>
      <c r="C4" s="5" t="s">
        <v>1665</v>
      </c>
      <c r="D4" s="5" t="s">
        <v>659</v>
      </c>
      <c r="E4" s="5" t="s">
        <v>660</v>
      </c>
      <c r="F4" s="5" t="s">
        <v>1666</v>
      </c>
      <c r="G4" s="5" t="s">
        <v>1667</v>
      </c>
      <c r="H4" s="5" t="s">
        <v>1668</v>
      </c>
      <c r="I4" s="5" t="s">
        <v>1669</v>
      </c>
    </row>
    <row r="5" customFormat="false" ht="15" hidden="false" customHeight="false" outlineLevel="0" collapsed="false">
      <c r="A5" s="30" t="n">
        <v>1</v>
      </c>
      <c r="B5" s="30" t="s">
        <v>671</v>
      </c>
      <c r="C5" s="30" t="s">
        <v>672</v>
      </c>
      <c r="D5" s="31" t="n">
        <v>22200</v>
      </c>
      <c r="E5" s="30" t="n">
        <v>10</v>
      </c>
      <c r="F5" s="30" t="s">
        <v>676</v>
      </c>
      <c r="G5" s="30" t="s">
        <v>1670</v>
      </c>
      <c r="H5" s="30" t="s">
        <v>1671</v>
      </c>
      <c r="I5" s="30" t="s">
        <v>1672</v>
      </c>
    </row>
    <row r="6" customFormat="false" ht="15" hidden="false" customHeight="false" outlineLevel="0" collapsed="false">
      <c r="A6" s="30" t="n">
        <v>2</v>
      </c>
      <c r="B6" s="30" t="s">
        <v>677</v>
      </c>
      <c r="C6" s="30" t="s">
        <v>678</v>
      </c>
      <c r="D6" s="31" t="n">
        <v>27100</v>
      </c>
      <c r="E6" s="30" t="n">
        <v>15</v>
      </c>
      <c r="F6" s="30" t="s">
        <v>676</v>
      </c>
      <c r="G6" s="30" t="s">
        <v>1673</v>
      </c>
      <c r="H6" s="30" t="s">
        <v>1671</v>
      </c>
      <c r="I6" s="30" t="s">
        <v>1674</v>
      </c>
    </row>
    <row r="7" customFormat="false" ht="15" hidden="false" customHeight="false" outlineLevel="0" collapsed="false">
      <c r="A7" s="30" t="n">
        <v>3</v>
      </c>
      <c r="B7" s="30" t="s">
        <v>680</v>
      </c>
      <c r="C7" s="30" t="s">
        <v>678</v>
      </c>
      <c r="D7" s="31" t="n">
        <v>40500</v>
      </c>
      <c r="E7" s="30" t="n">
        <v>25</v>
      </c>
      <c r="F7" s="30" t="s">
        <v>682</v>
      </c>
      <c r="G7" s="30" t="s">
        <v>1675</v>
      </c>
      <c r="H7" s="30" t="s">
        <v>1671</v>
      </c>
      <c r="I7" s="30" t="s">
        <v>1674</v>
      </c>
    </row>
    <row r="8" customFormat="false" ht="15" hidden="false" customHeight="false" outlineLevel="0" collapsed="false">
      <c r="A8" s="30" t="n">
        <v>4</v>
      </c>
      <c r="B8" s="30" t="s">
        <v>683</v>
      </c>
      <c r="C8" s="30" t="s">
        <v>678</v>
      </c>
      <c r="D8" s="31" t="n">
        <v>33100</v>
      </c>
      <c r="E8" s="30" t="n">
        <v>21</v>
      </c>
      <c r="F8" s="30" t="s">
        <v>682</v>
      </c>
      <c r="G8" s="30" t="s">
        <v>1676</v>
      </c>
      <c r="H8" s="30" t="s">
        <v>1671</v>
      </c>
      <c r="I8" s="30" t="s">
        <v>1674</v>
      </c>
    </row>
    <row r="9" customFormat="false" ht="15" hidden="false" customHeight="false" outlineLevel="0" collapsed="false">
      <c r="A9" s="30" t="n">
        <v>5</v>
      </c>
      <c r="B9" s="30" t="s">
        <v>684</v>
      </c>
      <c r="C9" s="30" t="s">
        <v>686</v>
      </c>
      <c r="D9" s="31" t="n">
        <v>33100</v>
      </c>
      <c r="E9" s="30" t="n">
        <v>25</v>
      </c>
      <c r="F9" s="30" t="s">
        <v>688</v>
      </c>
      <c r="G9" s="30" t="s">
        <v>1677</v>
      </c>
      <c r="H9" s="30" t="s">
        <v>1678</v>
      </c>
      <c r="I9" s="30" t="s">
        <v>1679</v>
      </c>
    </row>
    <row r="10" customFormat="false" ht="15" hidden="false" customHeight="false" outlineLevel="0" collapsed="false">
      <c r="A10" s="30" t="n">
        <v>6</v>
      </c>
      <c r="B10" s="30" t="s">
        <v>689</v>
      </c>
      <c r="C10" s="30" t="s">
        <v>690</v>
      </c>
      <c r="D10" s="31" t="n">
        <v>22200</v>
      </c>
      <c r="E10" s="30" t="n">
        <v>17</v>
      </c>
      <c r="F10" s="30" t="s">
        <v>682</v>
      </c>
      <c r="G10" s="30" t="s">
        <v>1680</v>
      </c>
      <c r="H10" s="30" t="s">
        <v>1681</v>
      </c>
      <c r="I10" s="30" t="s">
        <v>1674</v>
      </c>
    </row>
    <row r="11" customFormat="false" ht="15" hidden="false" customHeight="false" outlineLevel="0" collapsed="false">
      <c r="A11" s="30" t="n">
        <v>7</v>
      </c>
      <c r="B11" s="30" t="s">
        <v>691</v>
      </c>
      <c r="C11" s="30" t="s">
        <v>693</v>
      </c>
      <c r="D11" s="31" t="n">
        <v>14800</v>
      </c>
      <c r="E11" s="30" t="n">
        <v>13</v>
      </c>
      <c r="F11" s="30" t="s">
        <v>676</v>
      </c>
      <c r="G11" s="30" t="s">
        <v>1682</v>
      </c>
      <c r="H11" s="30" t="s">
        <v>1671</v>
      </c>
      <c r="I11" s="30" t="s">
        <v>1683</v>
      </c>
    </row>
    <row r="12" customFormat="false" ht="15" hidden="false" customHeight="false" outlineLevel="0" collapsed="false">
      <c r="A12" s="30" t="n">
        <v>8</v>
      </c>
      <c r="B12" s="30" t="s">
        <v>695</v>
      </c>
      <c r="C12" s="30" t="s">
        <v>678</v>
      </c>
      <c r="D12" s="31" t="n">
        <v>14800</v>
      </c>
      <c r="E12" s="30" t="n">
        <v>13</v>
      </c>
      <c r="F12" s="30" t="s">
        <v>682</v>
      </c>
      <c r="G12" s="30" t="s">
        <v>1684</v>
      </c>
      <c r="H12" s="30" t="s">
        <v>1681</v>
      </c>
      <c r="I12" s="30" t="s">
        <v>1674</v>
      </c>
    </row>
    <row r="13" customFormat="false" ht="15" hidden="false" customHeight="false" outlineLevel="0" collapsed="false">
      <c r="A13" s="30" t="n">
        <v>9</v>
      </c>
      <c r="B13" s="30" t="s">
        <v>696</v>
      </c>
      <c r="C13" s="30" t="s">
        <v>678</v>
      </c>
      <c r="D13" s="31" t="n">
        <v>22200</v>
      </c>
      <c r="E13" s="30" t="n">
        <v>20</v>
      </c>
      <c r="F13" s="30" t="s">
        <v>682</v>
      </c>
      <c r="G13" s="30" t="s">
        <v>1685</v>
      </c>
      <c r="H13" s="30" t="s">
        <v>1671</v>
      </c>
      <c r="I13" s="30" t="s">
        <v>1674</v>
      </c>
    </row>
    <row r="14" customFormat="false" ht="15" hidden="false" customHeight="false" outlineLevel="0" collapsed="false">
      <c r="A14" s="30" t="n">
        <v>10</v>
      </c>
      <c r="B14" s="30" t="s">
        <v>697</v>
      </c>
      <c r="C14" s="30" t="s">
        <v>678</v>
      </c>
      <c r="D14" s="31" t="n">
        <v>9900</v>
      </c>
      <c r="E14" s="30" t="n">
        <v>10</v>
      </c>
      <c r="F14" s="30" t="s">
        <v>682</v>
      </c>
      <c r="G14" s="30" t="s">
        <v>1686</v>
      </c>
      <c r="H14" s="30" t="s">
        <v>1671</v>
      </c>
      <c r="I14" s="30" t="s">
        <v>1674</v>
      </c>
    </row>
    <row r="15" customFormat="false" ht="15" hidden="false" customHeight="false" outlineLevel="0" collapsed="false">
      <c r="A15" s="30" t="n">
        <v>11</v>
      </c>
      <c r="B15" s="30" t="s">
        <v>698</v>
      </c>
      <c r="C15" s="30" t="s">
        <v>678</v>
      </c>
      <c r="D15" s="31" t="n">
        <v>14800</v>
      </c>
      <c r="E15" s="30" t="n">
        <v>15</v>
      </c>
      <c r="F15" s="30" t="s">
        <v>682</v>
      </c>
      <c r="G15" s="30" t="s">
        <v>1687</v>
      </c>
      <c r="H15" s="30" t="s">
        <v>1688</v>
      </c>
      <c r="I15" s="30" t="s">
        <v>1674</v>
      </c>
    </row>
    <row r="16" customFormat="false" ht="15" hidden="false" customHeight="false" outlineLevel="0" collapsed="false">
      <c r="A16" s="30" t="n">
        <v>12</v>
      </c>
      <c r="B16" s="30" t="s">
        <v>699</v>
      </c>
      <c r="C16" s="30" t="s">
        <v>678</v>
      </c>
      <c r="D16" s="31" t="n">
        <v>14800</v>
      </c>
      <c r="E16" s="30" t="n">
        <v>17</v>
      </c>
      <c r="F16" s="30" t="s">
        <v>682</v>
      </c>
      <c r="G16" s="30" t="s">
        <v>1689</v>
      </c>
      <c r="H16" s="30" t="s">
        <v>1671</v>
      </c>
      <c r="I16" s="30" t="s">
        <v>1674</v>
      </c>
    </row>
    <row r="17" customFormat="false" ht="15" hidden="false" customHeight="false" outlineLevel="0" collapsed="false">
      <c r="A17" s="30" t="n">
        <v>13</v>
      </c>
      <c r="B17" s="30" t="s">
        <v>700</v>
      </c>
      <c r="C17" s="30" t="s">
        <v>672</v>
      </c>
      <c r="D17" s="31" t="n">
        <v>12100</v>
      </c>
      <c r="E17" s="30" t="n">
        <v>14</v>
      </c>
      <c r="F17" s="30" t="s">
        <v>676</v>
      </c>
      <c r="G17" s="30" t="s">
        <v>1690</v>
      </c>
      <c r="H17" s="30" t="s">
        <v>1671</v>
      </c>
      <c r="I17" s="30" t="s">
        <v>1672</v>
      </c>
    </row>
    <row r="18" customFormat="false" ht="15" hidden="false" customHeight="false" outlineLevel="0" collapsed="false">
      <c r="A18" s="30" t="n">
        <v>14</v>
      </c>
      <c r="B18" s="30" t="s">
        <v>701</v>
      </c>
      <c r="C18" s="30" t="s">
        <v>678</v>
      </c>
      <c r="D18" s="31" t="n">
        <v>8100</v>
      </c>
      <c r="E18" s="30" t="n">
        <v>10</v>
      </c>
      <c r="F18" s="30" t="s">
        <v>682</v>
      </c>
      <c r="G18" s="30" t="s">
        <v>1691</v>
      </c>
      <c r="H18" s="30" t="s">
        <v>1692</v>
      </c>
      <c r="I18" s="30" t="s">
        <v>1674</v>
      </c>
    </row>
    <row r="19" customFormat="false" ht="15" hidden="false" customHeight="false" outlineLevel="0" collapsed="false">
      <c r="A19" s="30" t="n">
        <v>15</v>
      </c>
      <c r="B19" s="30" t="s">
        <v>702</v>
      </c>
      <c r="C19" s="30" t="s">
        <v>693</v>
      </c>
      <c r="D19" s="31" t="n">
        <v>8100</v>
      </c>
      <c r="E19" s="30" t="n">
        <v>10</v>
      </c>
      <c r="F19" s="30" t="s">
        <v>676</v>
      </c>
      <c r="G19" s="30" t="s">
        <v>1693</v>
      </c>
      <c r="H19" s="30" t="s">
        <v>1681</v>
      </c>
      <c r="I19" s="30" t="s">
        <v>1683</v>
      </c>
    </row>
    <row r="20" customFormat="false" ht="15" hidden="false" customHeight="false" outlineLevel="0" collapsed="false">
      <c r="A20" s="30" t="n">
        <v>16</v>
      </c>
      <c r="B20" s="30" t="s">
        <v>703</v>
      </c>
      <c r="C20" s="30" t="s">
        <v>672</v>
      </c>
      <c r="D20" s="31" t="n">
        <v>12100</v>
      </c>
      <c r="E20" s="30" t="n">
        <v>15</v>
      </c>
      <c r="F20" s="30" t="s">
        <v>676</v>
      </c>
      <c r="G20" s="30" t="s">
        <v>1694</v>
      </c>
      <c r="H20" s="30" t="s">
        <v>1671</v>
      </c>
      <c r="I20" s="30" t="s">
        <v>1672</v>
      </c>
    </row>
    <row r="21" customFormat="false" ht="15" hidden="false" customHeight="false" outlineLevel="0" collapsed="false">
      <c r="A21" s="30" t="n">
        <v>17</v>
      </c>
      <c r="B21" s="30" t="s">
        <v>704</v>
      </c>
      <c r="C21" s="30" t="s">
        <v>678</v>
      </c>
      <c r="D21" s="31" t="n">
        <v>14800</v>
      </c>
      <c r="E21" s="30" t="n">
        <v>19</v>
      </c>
      <c r="F21" s="30" t="s">
        <v>682</v>
      </c>
      <c r="G21" s="30" t="s">
        <v>1695</v>
      </c>
      <c r="H21" s="30" t="s">
        <v>1671</v>
      </c>
      <c r="I21" s="30" t="s">
        <v>1674</v>
      </c>
    </row>
    <row r="22" customFormat="false" ht="15" hidden="false" customHeight="false" outlineLevel="0" collapsed="false">
      <c r="A22" s="30" t="n">
        <v>18</v>
      </c>
      <c r="B22" s="30" t="s">
        <v>705</v>
      </c>
      <c r="C22" s="30" t="s">
        <v>706</v>
      </c>
      <c r="D22" s="31" t="n">
        <v>14800</v>
      </c>
      <c r="E22" s="30" t="n">
        <v>23</v>
      </c>
      <c r="F22" s="30" t="s">
        <v>688</v>
      </c>
      <c r="G22" s="30" t="s">
        <v>1696</v>
      </c>
      <c r="H22" s="30" t="s">
        <v>1671</v>
      </c>
      <c r="I22" s="30" t="s">
        <v>1679</v>
      </c>
    </row>
    <row r="23" customFormat="false" ht="15" hidden="false" customHeight="false" outlineLevel="0" collapsed="false">
      <c r="A23" s="30" t="n">
        <v>19</v>
      </c>
      <c r="B23" s="30" t="s">
        <v>707</v>
      </c>
      <c r="C23" s="30" t="s">
        <v>678</v>
      </c>
      <c r="D23" s="31" t="n">
        <v>18100</v>
      </c>
      <c r="E23" s="30" t="n">
        <v>29</v>
      </c>
      <c r="F23" s="30" t="s">
        <v>682</v>
      </c>
      <c r="G23" s="30" t="s">
        <v>1697</v>
      </c>
      <c r="H23" s="30" t="s">
        <v>1678</v>
      </c>
      <c r="I23" s="30" t="s">
        <v>1674</v>
      </c>
    </row>
    <row r="24" customFormat="false" ht="15" hidden="false" customHeight="false" outlineLevel="0" collapsed="false">
      <c r="A24" s="30" t="n">
        <v>20</v>
      </c>
      <c r="B24" s="30" t="s">
        <v>708</v>
      </c>
      <c r="C24" s="30" t="s">
        <v>678</v>
      </c>
      <c r="D24" s="31" t="n">
        <v>12100</v>
      </c>
      <c r="E24" s="30" t="n">
        <v>20</v>
      </c>
      <c r="F24" s="30" t="s">
        <v>682</v>
      </c>
      <c r="G24" s="30" t="s">
        <v>1698</v>
      </c>
      <c r="H24" s="30" t="s">
        <v>1692</v>
      </c>
      <c r="I24" s="30" t="s">
        <v>1674</v>
      </c>
    </row>
    <row r="25" customFormat="false" ht="15" hidden="false" customHeight="false" outlineLevel="0" collapsed="false">
      <c r="A25" s="6" t="n">
        <v>21</v>
      </c>
      <c r="B25" s="6" t="s">
        <v>709</v>
      </c>
      <c r="C25" s="6" t="s">
        <v>693</v>
      </c>
      <c r="D25" s="7" t="n">
        <v>8100</v>
      </c>
      <c r="E25" s="6" t="n">
        <v>14</v>
      </c>
      <c r="F25" s="6" t="s">
        <v>676</v>
      </c>
      <c r="G25" s="6" t="s">
        <v>1699</v>
      </c>
      <c r="H25" s="6" t="s">
        <v>1671</v>
      </c>
      <c r="I25" s="6" t="s">
        <v>1683</v>
      </c>
    </row>
    <row r="26" customFormat="false" ht="15" hidden="false" customHeight="false" outlineLevel="0" collapsed="false">
      <c r="A26" s="6" t="n">
        <v>22</v>
      </c>
      <c r="B26" s="6" t="s">
        <v>710</v>
      </c>
      <c r="C26" s="6" t="s">
        <v>678</v>
      </c>
      <c r="D26" s="7" t="n">
        <v>8100</v>
      </c>
      <c r="E26" s="6" t="n">
        <v>14</v>
      </c>
      <c r="F26" s="6" t="s">
        <v>682</v>
      </c>
      <c r="G26" s="6" t="s">
        <v>1700</v>
      </c>
      <c r="H26" s="6" t="s">
        <v>1681</v>
      </c>
      <c r="I26" s="6" t="s">
        <v>1674</v>
      </c>
    </row>
    <row r="27" customFormat="false" ht="15" hidden="false" customHeight="false" outlineLevel="0" collapsed="false">
      <c r="A27" s="6" t="n">
        <v>23</v>
      </c>
      <c r="B27" s="6" t="s">
        <v>711</v>
      </c>
      <c r="C27" s="6" t="s">
        <v>678</v>
      </c>
      <c r="D27" s="7" t="n">
        <v>12100</v>
      </c>
      <c r="E27" s="6" t="n">
        <v>21</v>
      </c>
      <c r="F27" s="6" t="s">
        <v>682</v>
      </c>
      <c r="G27" s="6" t="s">
        <v>1701</v>
      </c>
      <c r="H27" s="6" t="s">
        <v>1702</v>
      </c>
      <c r="I27" s="6" t="s">
        <v>1674</v>
      </c>
    </row>
    <row r="28" customFormat="false" ht="15" hidden="false" customHeight="false" outlineLevel="0" collapsed="false">
      <c r="A28" s="6" t="n">
        <v>24</v>
      </c>
      <c r="B28" s="6" t="s">
        <v>712</v>
      </c>
      <c r="C28" s="6" t="s">
        <v>678</v>
      </c>
      <c r="D28" s="7" t="n">
        <v>14800</v>
      </c>
      <c r="E28" s="6" t="n">
        <v>26</v>
      </c>
      <c r="F28" s="6" t="s">
        <v>682</v>
      </c>
      <c r="G28" s="6" t="s">
        <v>1703</v>
      </c>
      <c r="H28" s="6" t="s">
        <v>1671</v>
      </c>
      <c r="I28" s="6" t="s">
        <v>1674</v>
      </c>
    </row>
    <row r="29" customFormat="false" ht="15" hidden="false" customHeight="false" outlineLevel="0" collapsed="false">
      <c r="A29" s="6" t="n">
        <v>25</v>
      </c>
      <c r="B29" s="6" t="s">
        <v>713</v>
      </c>
      <c r="C29" s="6" t="s">
        <v>672</v>
      </c>
      <c r="D29" s="7" t="n">
        <v>4400</v>
      </c>
      <c r="E29" s="6" t="n">
        <v>8</v>
      </c>
      <c r="F29" s="6" t="s">
        <v>676</v>
      </c>
      <c r="G29" s="6" t="s">
        <v>1704</v>
      </c>
      <c r="H29" s="6" t="s">
        <v>1705</v>
      </c>
      <c r="I29" s="6" t="s">
        <v>1672</v>
      </c>
    </row>
    <row r="30" customFormat="false" ht="15" hidden="false" customHeight="false" outlineLevel="0" collapsed="false">
      <c r="A30" s="6" t="n">
        <v>26</v>
      </c>
      <c r="B30" s="6" t="s">
        <v>717</v>
      </c>
      <c r="C30" s="6" t="s">
        <v>693</v>
      </c>
      <c r="D30" s="7" t="n">
        <v>6600</v>
      </c>
      <c r="E30" s="6" t="n">
        <v>12</v>
      </c>
      <c r="F30" s="6" t="s">
        <v>676</v>
      </c>
      <c r="G30" s="6" t="s">
        <v>1706</v>
      </c>
      <c r="H30" s="6" t="s">
        <v>1671</v>
      </c>
      <c r="I30" s="6" t="s">
        <v>1683</v>
      </c>
    </row>
    <row r="31" customFormat="false" ht="15" hidden="false" customHeight="false" outlineLevel="0" collapsed="false">
      <c r="A31" s="6" t="n">
        <v>27</v>
      </c>
      <c r="B31" s="6" t="s">
        <v>718</v>
      </c>
      <c r="C31" s="6" t="s">
        <v>693</v>
      </c>
      <c r="D31" s="7" t="n">
        <v>6600</v>
      </c>
      <c r="E31" s="6" t="n">
        <v>12</v>
      </c>
      <c r="F31" s="6" t="s">
        <v>676</v>
      </c>
      <c r="G31" s="6" t="s">
        <v>1707</v>
      </c>
      <c r="H31" s="6" t="s">
        <v>1702</v>
      </c>
      <c r="I31" s="6" t="s">
        <v>1683</v>
      </c>
    </row>
    <row r="32" customFormat="false" ht="15" hidden="false" customHeight="false" outlineLevel="0" collapsed="false">
      <c r="A32" s="6" t="n">
        <v>28</v>
      </c>
      <c r="B32" s="6" t="s">
        <v>719</v>
      </c>
      <c r="C32" s="6" t="s">
        <v>678</v>
      </c>
      <c r="D32" s="7" t="n">
        <v>4400</v>
      </c>
      <c r="E32" s="6" t="n">
        <v>8</v>
      </c>
      <c r="F32" s="6" t="s">
        <v>682</v>
      </c>
      <c r="G32" s="6" t="s">
        <v>1708</v>
      </c>
      <c r="H32" s="6" t="s">
        <v>1702</v>
      </c>
      <c r="I32" s="6" t="s">
        <v>1674</v>
      </c>
    </row>
    <row r="33" customFormat="false" ht="15" hidden="false" customHeight="false" outlineLevel="0" collapsed="false">
      <c r="A33" s="6" t="n">
        <v>29</v>
      </c>
      <c r="B33" s="6" t="s">
        <v>720</v>
      </c>
      <c r="C33" s="6" t="s">
        <v>693</v>
      </c>
      <c r="D33" s="7" t="n">
        <v>6600</v>
      </c>
      <c r="E33" s="6" t="n">
        <v>12</v>
      </c>
      <c r="F33" s="6" t="s">
        <v>676</v>
      </c>
      <c r="G33" s="6" t="s">
        <v>1709</v>
      </c>
      <c r="H33" s="6" t="s">
        <v>431</v>
      </c>
      <c r="I33" s="6" t="s">
        <v>1683</v>
      </c>
    </row>
    <row r="34" customFormat="false" ht="15" hidden="false" customHeight="false" outlineLevel="0" collapsed="false">
      <c r="A34" s="6" t="n">
        <v>30</v>
      </c>
      <c r="B34" s="6" t="s">
        <v>721</v>
      </c>
      <c r="C34" s="6" t="s">
        <v>693</v>
      </c>
      <c r="D34" s="7" t="n">
        <v>6600</v>
      </c>
      <c r="E34" s="6" t="n">
        <v>13</v>
      </c>
      <c r="F34" s="6" t="s">
        <v>676</v>
      </c>
      <c r="G34" s="6" t="s">
        <v>1710</v>
      </c>
      <c r="H34" s="6" t="s">
        <v>1681</v>
      </c>
      <c r="I34" s="6" t="s">
        <v>1683</v>
      </c>
    </row>
    <row r="35" customFormat="false" ht="15" hidden="false" customHeight="false" outlineLevel="0" collapsed="false">
      <c r="A35" s="6" t="n">
        <v>31</v>
      </c>
      <c r="B35" s="6" t="s">
        <v>722</v>
      </c>
      <c r="C35" s="6" t="s">
        <v>678</v>
      </c>
      <c r="D35" s="7" t="n">
        <v>4400</v>
      </c>
      <c r="E35" s="6" t="n">
        <v>9</v>
      </c>
      <c r="F35" s="6" t="s">
        <v>682</v>
      </c>
      <c r="G35" s="6" t="s">
        <v>1711</v>
      </c>
      <c r="H35" s="6" t="s">
        <v>1681</v>
      </c>
      <c r="I35" s="6" t="s">
        <v>1674</v>
      </c>
    </row>
    <row r="36" customFormat="false" ht="15" hidden="false" customHeight="false" outlineLevel="0" collapsed="false">
      <c r="A36" s="6" t="n">
        <v>32</v>
      </c>
      <c r="B36" s="6" t="s">
        <v>723</v>
      </c>
      <c r="C36" s="6" t="s">
        <v>672</v>
      </c>
      <c r="D36" s="7" t="n">
        <v>6600</v>
      </c>
      <c r="E36" s="6" t="n">
        <v>14</v>
      </c>
      <c r="F36" s="6" t="s">
        <v>682</v>
      </c>
      <c r="G36" s="6" t="s">
        <v>1712</v>
      </c>
      <c r="H36" s="6" t="s">
        <v>1671</v>
      </c>
      <c r="I36" s="6" t="s">
        <v>1672</v>
      </c>
    </row>
    <row r="37" customFormat="false" ht="15" hidden="false" customHeight="false" outlineLevel="0" collapsed="false">
      <c r="A37" s="6" t="n">
        <v>33</v>
      </c>
      <c r="B37" s="6" t="s">
        <v>724</v>
      </c>
      <c r="C37" s="6" t="s">
        <v>678</v>
      </c>
      <c r="D37" s="7" t="n">
        <v>6600</v>
      </c>
      <c r="E37" s="6" t="n">
        <v>14</v>
      </c>
      <c r="F37" s="6" t="s">
        <v>682</v>
      </c>
      <c r="G37" s="6" t="s">
        <v>1713</v>
      </c>
      <c r="H37" s="6" t="s">
        <v>1671</v>
      </c>
      <c r="I37" s="6" t="s">
        <v>1674</v>
      </c>
    </row>
    <row r="38" customFormat="false" ht="15" hidden="false" customHeight="false" outlineLevel="0" collapsed="false">
      <c r="A38" s="6" t="n">
        <v>34</v>
      </c>
      <c r="B38" s="6" t="s">
        <v>725</v>
      </c>
      <c r="C38" s="6" t="s">
        <v>690</v>
      </c>
      <c r="D38" s="7" t="n">
        <v>6600</v>
      </c>
      <c r="E38" s="6" t="n">
        <v>14</v>
      </c>
      <c r="F38" s="6" t="s">
        <v>682</v>
      </c>
      <c r="G38" s="6" t="s">
        <v>1714</v>
      </c>
      <c r="H38" s="6" t="s">
        <v>431</v>
      </c>
      <c r="I38" s="6" t="s">
        <v>1674</v>
      </c>
    </row>
    <row r="39" customFormat="false" ht="15" hidden="false" customHeight="false" outlineLevel="0" collapsed="false">
      <c r="A39" s="6" t="n">
        <v>35</v>
      </c>
      <c r="B39" s="6" t="s">
        <v>726</v>
      </c>
      <c r="C39" s="6" t="s">
        <v>727</v>
      </c>
      <c r="D39" s="7" t="n">
        <v>5400</v>
      </c>
      <c r="E39" s="6" t="n">
        <v>13</v>
      </c>
      <c r="F39" s="6" t="s">
        <v>682</v>
      </c>
      <c r="G39" s="6" t="s">
        <v>1715</v>
      </c>
      <c r="H39" s="6" t="s">
        <v>1681</v>
      </c>
      <c r="I39" s="6" t="s">
        <v>1674</v>
      </c>
    </row>
    <row r="40" customFormat="false" ht="15" hidden="false" customHeight="false" outlineLevel="0" collapsed="false">
      <c r="A40" s="6" t="n">
        <v>36</v>
      </c>
      <c r="B40" s="6" t="s">
        <v>728</v>
      </c>
      <c r="C40" s="6" t="s">
        <v>678</v>
      </c>
      <c r="D40" s="7" t="n">
        <v>2900</v>
      </c>
      <c r="E40" s="6" t="n">
        <v>7</v>
      </c>
      <c r="F40" s="6" t="s">
        <v>729</v>
      </c>
      <c r="G40" s="6" t="s">
        <v>1716</v>
      </c>
      <c r="H40" s="6" t="s">
        <v>1705</v>
      </c>
      <c r="I40" s="6" t="s">
        <v>1674</v>
      </c>
    </row>
    <row r="41" customFormat="false" ht="15" hidden="false" customHeight="false" outlineLevel="0" collapsed="false">
      <c r="A41" s="6" t="n">
        <v>37</v>
      </c>
      <c r="B41" s="6" t="s">
        <v>730</v>
      </c>
      <c r="C41" s="6" t="s">
        <v>678</v>
      </c>
      <c r="D41" s="7" t="n">
        <v>6600</v>
      </c>
      <c r="E41" s="6" t="n">
        <v>16</v>
      </c>
      <c r="F41" s="6" t="s">
        <v>682</v>
      </c>
      <c r="G41" s="6" t="s">
        <v>1717</v>
      </c>
      <c r="H41" s="6" t="s">
        <v>1671</v>
      </c>
      <c r="I41" s="6" t="s">
        <v>1674</v>
      </c>
    </row>
    <row r="42" customFormat="false" ht="15" hidden="false" customHeight="false" outlineLevel="0" collapsed="false">
      <c r="A42" s="6" t="n">
        <v>38</v>
      </c>
      <c r="B42" s="6" t="s">
        <v>731</v>
      </c>
      <c r="C42" s="6" t="s">
        <v>693</v>
      </c>
      <c r="D42" s="7" t="n">
        <v>8100</v>
      </c>
      <c r="E42" s="6" t="n">
        <v>20</v>
      </c>
      <c r="F42" s="6" t="s">
        <v>676</v>
      </c>
      <c r="G42" s="6" t="s">
        <v>1718</v>
      </c>
      <c r="H42" s="6" t="s">
        <v>1702</v>
      </c>
      <c r="I42" s="6" t="s">
        <v>1683</v>
      </c>
    </row>
    <row r="43" customFormat="false" ht="15" hidden="false" customHeight="false" outlineLevel="0" collapsed="false">
      <c r="A43" s="6" t="n">
        <v>39</v>
      </c>
      <c r="B43" s="6" t="s">
        <v>732</v>
      </c>
      <c r="C43" s="6" t="s">
        <v>733</v>
      </c>
      <c r="D43" s="7" t="n">
        <v>8100</v>
      </c>
      <c r="E43" s="6" t="n">
        <v>20</v>
      </c>
      <c r="F43" s="6" t="s">
        <v>729</v>
      </c>
      <c r="G43" s="6" t="s">
        <v>1719</v>
      </c>
      <c r="H43" s="6" t="s">
        <v>1702</v>
      </c>
      <c r="I43" s="6" t="s">
        <v>1674</v>
      </c>
    </row>
    <row r="44" customFormat="false" ht="15" hidden="false" customHeight="false" outlineLevel="0" collapsed="false">
      <c r="A44" s="6" t="n">
        <v>40</v>
      </c>
      <c r="B44" s="6" t="s">
        <v>734</v>
      </c>
      <c r="C44" s="6" t="s">
        <v>693</v>
      </c>
      <c r="D44" s="7" t="n">
        <v>8100</v>
      </c>
      <c r="E44" s="6" t="n">
        <v>20</v>
      </c>
      <c r="F44" s="6" t="s">
        <v>676</v>
      </c>
      <c r="G44" s="6" t="s">
        <v>1720</v>
      </c>
      <c r="H44" s="6" t="s">
        <v>1671</v>
      </c>
      <c r="I44" s="6" t="s">
        <v>1683</v>
      </c>
    </row>
    <row r="45" customFormat="false" ht="15" hidden="false" customHeight="false" outlineLevel="0" collapsed="false">
      <c r="A45" s="6" t="n">
        <v>41</v>
      </c>
      <c r="B45" s="6" t="s">
        <v>735</v>
      </c>
      <c r="C45" s="6" t="s">
        <v>678</v>
      </c>
      <c r="D45" s="7" t="n">
        <v>8100</v>
      </c>
      <c r="E45" s="6" t="n">
        <v>20</v>
      </c>
      <c r="F45" s="6" t="s">
        <v>682</v>
      </c>
      <c r="G45" s="6" t="s">
        <v>1721</v>
      </c>
      <c r="H45" s="6" t="s">
        <v>1671</v>
      </c>
      <c r="I45" s="6" t="s">
        <v>1674</v>
      </c>
    </row>
    <row r="46" customFormat="false" ht="15" hidden="false" customHeight="false" outlineLevel="0" collapsed="false">
      <c r="A46" s="6" t="n">
        <v>42</v>
      </c>
      <c r="B46" s="6" t="s">
        <v>736</v>
      </c>
      <c r="C46" s="6" t="s">
        <v>678</v>
      </c>
      <c r="D46" s="7" t="n">
        <v>2400</v>
      </c>
      <c r="E46" s="6" t="n">
        <v>6</v>
      </c>
      <c r="F46" s="6" t="s">
        <v>682</v>
      </c>
      <c r="G46" s="6" t="s">
        <v>1722</v>
      </c>
      <c r="H46" s="6" t="s">
        <v>1678</v>
      </c>
      <c r="I46" s="6" t="s">
        <v>1674</v>
      </c>
    </row>
    <row r="47" customFormat="false" ht="15" hidden="false" customHeight="false" outlineLevel="0" collapsed="false">
      <c r="A47" s="6" t="n">
        <v>43</v>
      </c>
      <c r="B47" s="6" t="s">
        <v>737</v>
      </c>
      <c r="C47" s="6" t="s">
        <v>678</v>
      </c>
      <c r="D47" s="7" t="n">
        <v>6600</v>
      </c>
      <c r="E47" s="6" t="n">
        <v>17</v>
      </c>
      <c r="F47" s="6" t="s">
        <v>682</v>
      </c>
      <c r="G47" s="6" t="s">
        <v>1723</v>
      </c>
      <c r="H47" s="6" t="s">
        <v>1681</v>
      </c>
      <c r="I47" s="6" t="s">
        <v>1674</v>
      </c>
    </row>
    <row r="48" customFormat="false" ht="15" hidden="false" customHeight="false" outlineLevel="0" collapsed="false">
      <c r="A48" s="6" t="n">
        <v>44</v>
      </c>
      <c r="B48" s="6" t="s">
        <v>738</v>
      </c>
      <c r="C48" s="6" t="s">
        <v>678</v>
      </c>
      <c r="D48" s="7" t="n">
        <v>12100</v>
      </c>
      <c r="E48" s="6" t="n">
        <v>32</v>
      </c>
      <c r="F48" s="6" t="s">
        <v>682</v>
      </c>
      <c r="G48" s="6" t="s">
        <v>1724</v>
      </c>
      <c r="H48" s="6" t="s">
        <v>1725</v>
      </c>
      <c r="I48" s="6" t="s">
        <v>1674</v>
      </c>
    </row>
    <row r="49" customFormat="false" ht="15" hidden="false" customHeight="false" outlineLevel="0" collapsed="false">
      <c r="A49" s="6" t="n">
        <v>45</v>
      </c>
      <c r="B49" s="6" t="s">
        <v>739</v>
      </c>
      <c r="C49" s="6" t="s">
        <v>672</v>
      </c>
      <c r="D49" s="7" t="n">
        <v>4400</v>
      </c>
      <c r="E49" s="6" t="n">
        <v>12</v>
      </c>
      <c r="F49" s="6" t="s">
        <v>682</v>
      </c>
      <c r="G49" s="6" t="s">
        <v>1726</v>
      </c>
      <c r="H49" s="6" t="s">
        <v>1727</v>
      </c>
      <c r="I49" s="6" t="s">
        <v>1672</v>
      </c>
    </row>
    <row r="50" customFormat="false" ht="15" hidden="false" customHeight="false" outlineLevel="0" collapsed="false">
      <c r="A50" s="6" t="n">
        <v>46</v>
      </c>
      <c r="B50" s="6" t="s">
        <v>741</v>
      </c>
      <c r="C50" s="6" t="s">
        <v>678</v>
      </c>
      <c r="D50" s="7" t="n">
        <v>6600</v>
      </c>
      <c r="E50" s="6" t="n">
        <v>18</v>
      </c>
      <c r="F50" s="6" t="s">
        <v>682</v>
      </c>
      <c r="G50" s="6" t="s">
        <v>1728</v>
      </c>
      <c r="H50" s="6" t="s">
        <v>1692</v>
      </c>
      <c r="I50" s="6" t="s">
        <v>1674</v>
      </c>
    </row>
    <row r="51" customFormat="false" ht="15" hidden="false" customHeight="false" outlineLevel="0" collapsed="false">
      <c r="A51" s="6" t="n">
        <v>47</v>
      </c>
      <c r="B51" s="6" t="s">
        <v>742</v>
      </c>
      <c r="C51" s="6" t="s">
        <v>693</v>
      </c>
      <c r="D51" s="7" t="n">
        <v>2900</v>
      </c>
      <c r="E51" s="6" t="n">
        <v>8</v>
      </c>
      <c r="F51" s="6" t="s">
        <v>676</v>
      </c>
      <c r="G51" s="6" t="s">
        <v>1729</v>
      </c>
      <c r="H51" s="6" t="s">
        <v>1727</v>
      </c>
      <c r="I51" s="6" t="s">
        <v>1683</v>
      </c>
    </row>
    <row r="52" customFormat="false" ht="15" hidden="false" customHeight="false" outlineLevel="0" collapsed="false">
      <c r="A52" s="6" t="n">
        <v>48</v>
      </c>
      <c r="B52" s="6" t="s">
        <v>743</v>
      </c>
      <c r="C52" s="6" t="s">
        <v>690</v>
      </c>
      <c r="D52" s="7" t="n">
        <v>6600</v>
      </c>
      <c r="E52" s="6" t="n">
        <v>19</v>
      </c>
      <c r="F52" s="6" t="s">
        <v>682</v>
      </c>
      <c r="G52" s="6" t="s">
        <v>1730</v>
      </c>
      <c r="H52" s="6" t="s">
        <v>431</v>
      </c>
      <c r="I52" s="6" t="s">
        <v>1674</v>
      </c>
    </row>
    <row r="53" customFormat="false" ht="15" hidden="false" customHeight="false" outlineLevel="0" collapsed="false">
      <c r="A53" s="6" t="n">
        <v>49</v>
      </c>
      <c r="B53" s="6" t="s">
        <v>744</v>
      </c>
      <c r="C53" s="6" t="s">
        <v>686</v>
      </c>
      <c r="D53" s="7" t="n">
        <v>6600</v>
      </c>
      <c r="E53" s="6" t="n">
        <v>19</v>
      </c>
      <c r="F53" s="6" t="s">
        <v>745</v>
      </c>
      <c r="G53" s="6" t="s">
        <v>1731</v>
      </c>
      <c r="H53" s="6" t="s">
        <v>1678</v>
      </c>
      <c r="I53" s="6" t="s">
        <v>1679</v>
      </c>
    </row>
    <row r="54" customFormat="false" ht="15" hidden="false" customHeight="false" outlineLevel="0" collapsed="false">
      <c r="A54" s="6" t="n">
        <v>50</v>
      </c>
      <c r="B54" s="6" t="s">
        <v>746</v>
      </c>
      <c r="C54" s="6" t="s">
        <v>693</v>
      </c>
      <c r="D54" s="7" t="n">
        <v>4400</v>
      </c>
      <c r="E54" s="6" t="n">
        <v>13</v>
      </c>
      <c r="F54" s="6" t="s">
        <v>676</v>
      </c>
      <c r="G54" s="6" t="s">
        <v>1732</v>
      </c>
      <c r="H54" s="6" t="s">
        <v>1681</v>
      </c>
      <c r="I54" s="6" t="s">
        <v>1683</v>
      </c>
    </row>
    <row r="55" customFormat="false" ht="15" hidden="false" customHeight="false" outlineLevel="0" collapsed="false">
      <c r="A55" s="6" t="n">
        <v>51</v>
      </c>
      <c r="B55" s="6" t="s">
        <v>747</v>
      </c>
      <c r="C55" s="6" t="s">
        <v>678</v>
      </c>
      <c r="D55" s="7" t="n">
        <v>4400</v>
      </c>
      <c r="E55" s="6" t="n">
        <v>13</v>
      </c>
      <c r="F55" s="6" t="s">
        <v>682</v>
      </c>
      <c r="G55" s="6" t="s">
        <v>1733</v>
      </c>
      <c r="H55" s="6" t="s">
        <v>1681</v>
      </c>
      <c r="I55" s="6" t="s">
        <v>1674</v>
      </c>
    </row>
    <row r="56" customFormat="false" ht="15" hidden="false" customHeight="false" outlineLevel="0" collapsed="false">
      <c r="A56" s="6" t="n">
        <v>52</v>
      </c>
      <c r="B56" s="6" t="s">
        <v>748</v>
      </c>
      <c r="C56" s="6" t="s">
        <v>678</v>
      </c>
      <c r="D56" s="7" t="n">
        <v>4400</v>
      </c>
      <c r="E56" s="6" t="n">
        <v>13</v>
      </c>
      <c r="F56" s="6" t="s">
        <v>682</v>
      </c>
      <c r="G56" s="6" t="s">
        <v>1734</v>
      </c>
      <c r="H56" s="6" t="s">
        <v>431</v>
      </c>
      <c r="I56" s="6" t="s">
        <v>1674</v>
      </c>
    </row>
    <row r="57" customFormat="false" ht="15" hidden="false" customHeight="false" outlineLevel="0" collapsed="false">
      <c r="A57" s="6" t="n">
        <v>53</v>
      </c>
      <c r="B57" s="6" t="s">
        <v>749</v>
      </c>
      <c r="C57" s="6" t="s">
        <v>690</v>
      </c>
      <c r="D57" s="7" t="n">
        <v>8100</v>
      </c>
      <c r="E57" s="6" t="n">
        <v>24</v>
      </c>
      <c r="F57" s="6" t="s">
        <v>682</v>
      </c>
      <c r="G57" s="6" t="s">
        <v>1735</v>
      </c>
      <c r="H57" s="6" t="s">
        <v>1736</v>
      </c>
      <c r="I57" s="6" t="s">
        <v>1674</v>
      </c>
    </row>
    <row r="58" customFormat="false" ht="15" hidden="false" customHeight="false" outlineLevel="0" collapsed="false">
      <c r="A58" s="6" t="n">
        <v>54</v>
      </c>
      <c r="B58" s="6" t="s">
        <v>750</v>
      </c>
      <c r="C58" s="6" t="s">
        <v>693</v>
      </c>
      <c r="D58" s="7" t="n">
        <v>6600</v>
      </c>
      <c r="E58" s="6" t="n">
        <v>20</v>
      </c>
      <c r="F58" s="6" t="s">
        <v>688</v>
      </c>
      <c r="G58" s="6" t="s">
        <v>1737</v>
      </c>
      <c r="H58" s="6" t="s">
        <v>1681</v>
      </c>
      <c r="I58" s="6" t="s">
        <v>1683</v>
      </c>
    </row>
    <row r="59" customFormat="false" ht="15" hidden="false" customHeight="false" outlineLevel="0" collapsed="false">
      <c r="A59" s="6" t="n">
        <v>55</v>
      </c>
      <c r="B59" s="6" t="s">
        <v>751</v>
      </c>
      <c r="C59" s="6" t="s">
        <v>678</v>
      </c>
      <c r="D59" s="7" t="n">
        <v>3600</v>
      </c>
      <c r="E59" s="6" t="n">
        <v>11</v>
      </c>
      <c r="F59" s="6" t="s">
        <v>682</v>
      </c>
      <c r="G59" s="6" t="s">
        <v>1738</v>
      </c>
      <c r="H59" s="6" t="s">
        <v>1727</v>
      </c>
      <c r="I59" s="6" t="s">
        <v>1674</v>
      </c>
    </row>
    <row r="60" customFormat="false" ht="15" hidden="false" customHeight="false" outlineLevel="0" collapsed="false">
      <c r="A60" s="6" t="n">
        <v>56</v>
      </c>
      <c r="B60" s="6" t="s">
        <v>752</v>
      </c>
      <c r="C60" s="6" t="s">
        <v>678</v>
      </c>
      <c r="D60" s="7" t="n">
        <v>12100</v>
      </c>
      <c r="E60" s="6" t="n">
        <v>37</v>
      </c>
      <c r="F60" s="6" t="s">
        <v>682</v>
      </c>
      <c r="G60" s="6" t="s">
        <v>1739</v>
      </c>
      <c r="H60" s="6" t="s">
        <v>1681</v>
      </c>
      <c r="I60" s="6" t="s">
        <v>1674</v>
      </c>
    </row>
    <row r="61" customFormat="false" ht="15" hidden="false" customHeight="false" outlineLevel="0" collapsed="false">
      <c r="A61" s="6" t="n">
        <v>57</v>
      </c>
      <c r="B61" s="6" t="s">
        <v>753</v>
      </c>
      <c r="C61" s="6" t="s">
        <v>733</v>
      </c>
      <c r="D61" s="7" t="n">
        <v>8100</v>
      </c>
      <c r="E61" s="6" t="n">
        <v>25</v>
      </c>
      <c r="F61" s="6" t="s">
        <v>682</v>
      </c>
      <c r="G61" s="6" t="s">
        <v>1740</v>
      </c>
      <c r="H61" s="6" t="s">
        <v>1671</v>
      </c>
      <c r="I61" s="6" t="s">
        <v>1674</v>
      </c>
    </row>
    <row r="62" customFormat="false" ht="15" hidden="false" customHeight="false" outlineLevel="0" collapsed="false">
      <c r="A62" s="6" t="n">
        <v>58</v>
      </c>
      <c r="B62" s="6" t="s">
        <v>754</v>
      </c>
      <c r="C62" s="6" t="s">
        <v>678</v>
      </c>
      <c r="D62" s="7" t="n">
        <v>2900</v>
      </c>
      <c r="E62" s="6" t="n">
        <v>9</v>
      </c>
      <c r="F62" s="6" t="s">
        <v>682</v>
      </c>
      <c r="G62" s="6" t="s">
        <v>1741</v>
      </c>
      <c r="H62" s="6" t="s">
        <v>1702</v>
      </c>
      <c r="I62" s="6" t="s">
        <v>1674</v>
      </c>
    </row>
    <row r="63" customFormat="false" ht="15" hidden="false" customHeight="false" outlineLevel="0" collapsed="false">
      <c r="A63" s="6" t="n">
        <v>59</v>
      </c>
      <c r="B63" s="6" t="s">
        <v>755</v>
      </c>
      <c r="C63" s="6" t="s">
        <v>678</v>
      </c>
      <c r="D63" s="7" t="n">
        <v>12100</v>
      </c>
      <c r="E63" s="6" t="n">
        <v>38</v>
      </c>
      <c r="F63" s="6" t="s">
        <v>682</v>
      </c>
      <c r="G63" s="6" t="s">
        <v>1742</v>
      </c>
      <c r="H63" s="6" t="s">
        <v>1681</v>
      </c>
      <c r="I63" s="6" t="s">
        <v>1674</v>
      </c>
    </row>
    <row r="64" customFormat="false" ht="15" hidden="false" customHeight="false" outlineLevel="0" collapsed="false">
      <c r="A64" s="6" t="n">
        <v>60</v>
      </c>
      <c r="B64" s="6" t="s">
        <v>756</v>
      </c>
      <c r="C64" s="6" t="s">
        <v>678</v>
      </c>
      <c r="D64" s="7" t="n">
        <v>5400</v>
      </c>
      <c r="E64" s="6" t="n">
        <v>17</v>
      </c>
      <c r="F64" s="6" t="s">
        <v>682</v>
      </c>
      <c r="G64" s="6" t="s">
        <v>1743</v>
      </c>
      <c r="H64" s="6" t="s">
        <v>1671</v>
      </c>
      <c r="I64" s="6" t="s">
        <v>1674</v>
      </c>
    </row>
    <row r="65" customFormat="false" ht="15" hidden="false" customHeight="false" outlineLevel="0" collapsed="false">
      <c r="A65" s="6" t="n">
        <v>61</v>
      </c>
      <c r="B65" s="6" t="s">
        <v>757</v>
      </c>
      <c r="C65" s="6" t="s">
        <v>672</v>
      </c>
      <c r="D65" s="7" t="n">
        <v>4400</v>
      </c>
      <c r="E65" s="6" t="n">
        <v>14</v>
      </c>
      <c r="F65" s="6" t="s">
        <v>729</v>
      </c>
      <c r="G65" s="6" t="s">
        <v>1744</v>
      </c>
      <c r="H65" s="6" t="s">
        <v>1692</v>
      </c>
      <c r="I65" s="6" t="s">
        <v>1672</v>
      </c>
    </row>
    <row r="66" customFormat="false" ht="15" hidden="false" customHeight="false" outlineLevel="0" collapsed="false">
      <c r="A66" s="6" t="n">
        <v>62</v>
      </c>
      <c r="B66" s="6" t="s">
        <v>759</v>
      </c>
      <c r="C66" s="6" t="s">
        <v>678</v>
      </c>
      <c r="D66" s="7" t="n">
        <v>6600</v>
      </c>
      <c r="E66" s="6" t="n">
        <v>21</v>
      </c>
      <c r="F66" s="6" t="s">
        <v>682</v>
      </c>
      <c r="G66" s="6" t="s">
        <v>1745</v>
      </c>
      <c r="H66" s="6" t="s">
        <v>1702</v>
      </c>
      <c r="I66" s="6" t="s">
        <v>1674</v>
      </c>
    </row>
    <row r="67" customFormat="false" ht="15" hidden="false" customHeight="false" outlineLevel="0" collapsed="false">
      <c r="A67" s="6" t="n">
        <v>63</v>
      </c>
      <c r="B67" s="6" t="s">
        <v>760</v>
      </c>
      <c r="C67" s="6" t="s">
        <v>678</v>
      </c>
      <c r="D67" s="7" t="n">
        <v>12100</v>
      </c>
      <c r="E67" s="6" t="n">
        <v>40</v>
      </c>
      <c r="F67" s="6" t="s">
        <v>682</v>
      </c>
      <c r="G67" s="6" t="s">
        <v>1746</v>
      </c>
      <c r="H67" s="6" t="s">
        <v>1705</v>
      </c>
      <c r="I67" s="6" t="s">
        <v>1674</v>
      </c>
    </row>
    <row r="68" customFormat="false" ht="15" hidden="false" customHeight="false" outlineLevel="0" collapsed="false">
      <c r="A68" s="6" t="n">
        <v>64</v>
      </c>
      <c r="B68" s="6" t="s">
        <v>761</v>
      </c>
      <c r="C68" s="6" t="s">
        <v>678</v>
      </c>
      <c r="D68" s="7" t="n">
        <v>9900</v>
      </c>
      <c r="E68" s="6" t="n">
        <v>33</v>
      </c>
      <c r="F68" s="6" t="s">
        <v>682</v>
      </c>
      <c r="G68" s="6" t="s">
        <v>1747</v>
      </c>
      <c r="H68" s="6" t="s">
        <v>1692</v>
      </c>
      <c r="I68" s="6" t="s">
        <v>1674</v>
      </c>
    </row>
    <row r="69" customFormat="false" ht="15" hidden="false" customHeight="false" outlineLevel="0" collapsed="false">
      <c r="A69" s="6" t="n">
        <v>65</v>
      </c>
      <c r="B69" s="6" t="s">
        <v>762</v>
      </c>
      <c r="C69" s="6" t="s">
        <v>678</v>
      </c>
      <c r="D69" s="7" t="n">
        <v>3600</v>
      </c>
      <c r="E69" s="6" t="n">
        <v>12</v>
      </c>
      <c r="F69" s="6" t="s">
        <v>676</v>
      </c>
      <c r="G69" s="6" t="s">
        <v>1748</v>
      </c>
      <c r="H69" s="6" t="s">
        <v>1671</v>
      </c>
      <c r="I69" s="6" t="s">
        <v>1674</v>
      </c>
    </row>
    <row r="70" customFormat="false" ht="15" hidden="false" customHeight="false" outlineLevel="0" collapsed="false">
      <c r="A70" s="6" t="n">
        <v>66</v>
      </c>
      <c r="B70" s="6" t="s">
        <v>763</v>
      </c>
      <c r="C70" s="6" t="s">
        <v>678</v>
      </c>
      <c r="D70" s="7" t="n">
        <v>3600</v>
      </c>
      <c r="E70" s="6" t="n">
        <v>12</v>
      </c>
      <c r="F70" s="6" t="s">
        <v>682</v>
      </c>
      <c r="G70" s="6" t="s">
        <v>1749</v>
      </c>
      <c r="H70" s="6" t="s">
        <v>1681</v>
      </c>
      <c r="I70" s="6" t="s">
        <v>1674</v>
      </c>
    </row>
    <row r="71" customFormat="false" ht="15" hidden="false" customHeight="false" outlineLevel="0" collapsed="false">
      <c r="A71" s="6" t="n">
        <v>67</v>
      </c>
      <c r="B71" s="6" t="s">
        <v>764</v>
      </c>
      <c r="C71" s="6" t="s">
        <v>693</v>
      </c>
      <c r="D71" s="7" t="n">
        <v>3600</v>
      </c>
      <c r="E71" s="6" t="n">
        <v>12</v>
      </c>
      <c r="F71" s="6" t="s">
        <v>676</v>
      </c>
      <c r="G71" s="6" t="s">
        <v>1750</v>
      </c>
      <c r="H71" s="6" t="s">
        <v>431</v>
      </c>
      <c r="I71" s="6" t="s">
        <v>1683</v>
      </c>
    </row>
    <row r="72" customFormat="false" ht="15" hidden="false" customHeight="false" outlineLevel="0" collapsed="false">
      <c r="A72" s="6" t="n">
        <v>68</v>
      </c>
      <c r="B72" s="6" t="s">
        <v>765</v>
      </c>
      <c r="C72" s="6" t="s">
        <v>693</v>
      </c>
      <c r="D72" s="7" t="n">
        <v>4400</v>
      </c>
      <c r="E72" s="6" t="n">
        <v>15</v>
      </c>
      <c r="F72" s="6" t="s">
        <v>676</v>
      </c>
      <c r="G72" s="6" t="s">
        <v>1751</v>
      </c>
      <c r="H72" s="6" t="s">
        <v>1727</v>
      </c>
      <c r="I72" s="6" t="s">
        <v>1683</v>
      </c>
    </row>
    <row r="73" customFormat="false" ht="15" hidden="false" customHeight="false" outlineLevel="0" collapsed="false">
      <c r="A73" s="6" t="n">
        <v>69</v>
      </c>
      <c r="B73" s="6" t="s">
        <v>766</v>
      </c>
      <c r="C73" s="6" t="s">
        <v>693</v>
      </c>
      <c r="D73" s="7" t="n">
        <v>4400</v>
      </c>
      <c r="E73" s="6" t="n">
        <v>15</v>
      </c>
      <c r="F73" s="6" t="s">
        <v>676</v>
      </c>
      <c r="G73" s="6" t="s">
        <v>1752</v>
      </c>
      <c r="H73" s="6" t="s">
        <v>1727</v>
      </c>
      <c r="I73" s="6" t="s">
        <v>1683</v>
      </c>
    </row>
    <row r="74" customFormat="false" ht="15" hidden="false" customHeight="false" outlineLevel="0" collapsed="false">
      <c r="A74" s="6" t="n">
        <v>70</v>
      </c>
      <c r="B74" s="6" t="s">
        <v>767</v>
      </c>
      <c r="C74" s="6" t="s">
        <v>672</v>
      </c>
      <c r="D74" s="7" t="n">
        <v>6600</v>
      </c>
      <c r="E74" s="6" t="n">
        <v>23</v>
      </c>
      <c r="F74" s="6" t="s">
        <v>729</v>
      </c>
      <c r="G74" s="6" t="s">
        <v>1753</v>
      </c>
      <c r="H74" s="6" t="s">
        <v>1681</v>
      </c>
      <c r="I74" s="6" t="s">
        <v>1672</v>
      </c>
    </row>
    <row r="75" customFormat="false" ht="15" hidden="false" customHeight="false" outlineLevel="0" collapsed="false">
      <c r="A75" s="6" t="n">
        <v>71</v>
      </c>
      <c r="B75" s="6" t="s">
        <v>768</v>
      </c>
      <c r="C75" s="6" t="s">
        <v>678</v>
      </c>
      <c r="D75" s="7" t="n">
        <v>6600</v>
      </c>
      <c r="E75" s="6" t="n">
        <v>23</v>
      </c>
      <c r="F75" s="6" t="s">
        <v>682</v>
      </c>
      <c r="G75" s="6" t="s">
        <v>1754</v>
      </c>
      <c r="H75" s="6" t="s">
        <v>1688</v>
      </c>
      <c r="I75" s="6" t="s">
        <v>1674</v>
      </c>
    </row>
    <row r="76" customFormat="false" ht="15" hidden="false" customHeight="false" outlineLevel="0" collapsed="false">
      <c r="A76" s="6" t="n">
        <v>72</v>
      </c>
      <c r="B76" s="6" t="s">
        <v>769</v>
      </c>
      <c r="C76" s="6" t="s">
        <v>678</v>
      </c>
      <c r="D76" s="7" t="n">
        <v>5400</v>
      </c>
      <c r="E76" s="6" t="n">
        <v>19</v>
      </c>
      <c r="F76" s="6" t="s">
        <v>682</v>
      </c>
      <c r="G76" s="6" t="s">
        <v>1755</v>
      </c>
      <c r="H76" s="6" t="s">
        <v>1727</v>
      </c>
      <c r="I76" s="6" t="s">
        <v>1674</v>
      </c>
    </row>
    <row r="77" customFormat="false" ht="15" hidden="false" customHeight="false" outlineLevel="0" collapsed="false">
      <c r="A77" s="6" t="n">
        <v>73</v>
      </c>
      <c r="B77" s="6" t="s">
        <v>770</v>
      </c>
      <c r="C77" s="6" t="s">
        <v>678</v>
      </c>
      <c r="D77" s="7" t="n">
        <v>5400</v>
      </c>
      <c r="E77" s="6" t="n">
        <v>19</v>
      </c>
      <c r="F77" s="6" t="s">
        <v>682</v>
      </c>
      <c r="G77" s="6" t="s">
        <v>1756</v>
      </c>
      <c r="H77" s="6" t="s">
        <v>1681</v>
      </c>
      <c r="I77" s="6" t="s">
        <v>1674</v>
      </c>
    </row>
    <row r="78" customFormat="false" ht="15" hidden="false" customHeight="false" outlineLevel="0" collapsed="false">
      <c r="A78" s="6" t="n">
        <v>74</v>
      </c>
      <c r="B78" s="6" t="s">
        <v>771</v>
      </c>
      <c r="C78" s="6" t="s">
        <v>678</v>
      </c>
      <c r="D78" s="7" t="n">
        <v>8100</v>
      </c>
      <c r="E78" s="6" t="n">
        <v>29</v>
      </c>
      <c r="F78" s="6" t="s">
        <v>682</v>
      </c>
      <c r="G78" s="6" t="s">
        <v>1757</v>
      </c>
      <c r="H78" s="6" t="s">
        <v>1758</v>
      </c>
      <c r="I78" s="6" t="s">
        <v>1674</v>
      </c>
    </row>
    <row r="79" customFormat="false" ht="15" hidden="false" customHeight="false" outlineLevel="0" collapsed="false">
      <c r="A79" s="6" t="n">
        <v>75</v>
      </c>
      <c r="B79" s="6" t="s">
        <v>772</v>
      </c>
      <c r="C79" s="6" t="s">
        <v>678</v>
      </c>
      <c r="D79" s="7" t="n">
        <v>3600</v>
      </c>
      <c r="E79" s="6" t="n">
        <v>13</v>
      </c>
      <c r="F79" s="6" t="s">
        <v>682</v>
      </c>
      <c r="G79" s="6" t="s">
        <v>1759</v>
      </c>
      <c r="H79" s="6" t="s">
        <v>1760</v>
      </c>
      <c r="I79" s="6" t="s">
        <v>1674</v>
      </c>
    </row>
    <row r="80" customFormat="false" ht="15" hidden="false" customHeight="false" outlineLevel="0" collapsed="false">
      <c r="A80" s="6" t="n">
        <v>76</v>
      </c>
      <c r="B80" s="6" t="s">
        <v>773</v>
      </c>
      <c r="C80" s="6" t="s">
        <v>672</v>
      </c>
      <c r="D80" s="7" t="n">
        <v>3600</v>
      </c>
      <c r="E80" s="6" t="n">
        <v>13</v>
      </c>
      <c r="F80" s="6" t="s">
        <v>676</v>
      </c>
      <c r="G80" s="6" t="s">
        <v>1761</v>
      </c>
      <c r="H80" s="6" t="s">
        <v>1681</v>
      </c>
      <c r="I80" s="6" t="s">
        <v>1672</v>
      </c>
    </row>
    <row r="81" customFormat="false" ht="15" hidden="false" customHeight="false" outlineLevel="0" collapsed="false">
      <c r="A81" s="6" t="n">
        <v>77</v>
      </c>
      <c r="B81" s="6" t="s">
        <v>774</v>
      </c>
      <c r="C81" s="6" t="s">
        <v>678</v>
      </c>
      <c r="D81" s="7" t="n">
        <v>3600</v>
      </c>
      <c r="E81" s="6" t="n">
        <v>13</v>
      </c>
      <c r="F81" s="6" t="s">
        <v>682</v>
      </c>
      <c r="G81" s="6" t="s">
        <v>1762</v>
      </c>
      <c r="H81" s="6" t="s">
        <v>1763</v>
      </c>
      <c r="I81" s="6" t="s">
        <v>1674</v>
      </c>
    </row>
    <row r="82" customFormat="false" ht="15" hidden="false" customHeight="false" outlineLevel="0" collapsed="false">
      <c r="A82" s="6" t="n">
        <v>78</v>
      </c>
      <c r="B82" s="6" t="s">
        <v>775</v>
      </c>
      <c r="C82" s="6" t="s">
        <v>678</v>
      </c>
      <c r="D82" s="7" t="n">
        <v>4400</v>
      </c>
      <c r="E82" s="6" t="n">
        <v>16</v>
      </c>
      <c r="F82" s="6" t="s">
        <v>682</v>
      </c>
      <c r="G82" s="6" t="s">
        <v>1764</v>
      </c>
      <c r="H82" s="6" t="s">
        <v>1688</v>
      </c>
      <c r="I82" s="6" t="s">
        <v>1674</v>
      </c>
    </row>
    <row r="83" customFormat="false" ht="15" hidden="false" customHeight="false" outlineLevel="0" collapsed="false">
      <c r="A83" s="6" t="n">
        <v>79</v>
      </c>
      <c r="B83" s="6" t="s">
        <v>776</v>
      </c>
      <c r="C83" s="6" t="s">
        <v>678</v>
      </c>
      <c r="D83" s="7" t="n">
        <v>4400</v>
      </c>
      <c r="E83" s="6" t="n">
        <v>16</v>
      </c>
      <c r="F83" s="6" t="s">
        <v>682</v>
      </c>
      <c r="G83" s="6" t="s">
        <v>1765</v>
      </c>
      <c r="H83" s="6" t="s">
        <v>1671</v>
      </c>
      <c r="I83" s="6" t="s">
        <v>1674</v>
      </c>
    </row>
    <row r="84" customFormat="false" ht="15" hidden="false" customHeight="false" outlineLevel="0" collapsed="false">
      <c r="A84" s="6" t="n">
        <v>80</v>
      </c>
      <c r="B84" s="6" t="s">
        <v>777</v>
      </c>
      <c r="C84" s="6" t="s">
        <v>678</v>
      </c>
      <c r="D84" s="7" t="n">
        <v>6600</v>
      </c>
      <c r="E84" s="6" t="n">
        <v>24</v>
      </c>
      <c r="F84" s="6" t="s">
        <v>682</v>
      </c>
      <c r="G84" s="6" t="s">
        <v>1766</v>
      </c>
      <c r="H84" s="6" t="s">
        <v>1681</v>
      </c>
      <c r="I84" s="6" t="s">
        <v>1674</v>
      </c>
    </row>
    <row r="85" customFormat="false" ht="15" hidden="false" customHeight="false" outlineLevel="0" collapsed="false">
      <c r="A85" s="6" t="n">
        <v>81</v>
      </c>
      <c r="B85" s="6" t="s">
        <v>778</v>
      </c>
      <c r="C85" s="6" t="s">
        <v>678</v>
      </c>
      <c r="D85" s="7" t="n">
        <v>1900</v>
      </c>
      <c r="E85" s="6" t="n">
        <v>7</v>
      </c>
      <c r="F85" s="6" t="s">
        <v>682</v>
      </c>
      <c r="G85" s="6" t="s">
        <v>1767</v>
      </c>
      <c r="H85" s="6" t="s">
        <v>1671</v>
      </c>
      <c r="I85" s="6" t="s">
        <v>1674</v>
      </c>
    </row>
    <row r="86" customFormat="false" ht="15" hidden="false" customHeight="false" outlineLevel="0" collapsed="false">
      <c r="A86" s="6" t="n">
        <v>82</v>
      </c>
      <c r="B86" s="6" t="s">
        <v>779</v>
      </c>
      <c r="C86" s="6" t="s">
        <v>693</v>
      </c>
      <c r="D86" s="7" t="n">
        <v>5400</v>
      </c>
      <c r="E86" s="6" t="n">
        <v>20</v>
      </c>
      <c r="F86" s="6" t="s">
        <v>676</v>
      </c>
      <c r="G86" s="6" t="s">
        <v>1768</v>
      </c>
      <c r="H86" s="6" t="s">
        <v>1671</v>
      </c>
      <c r="I86" s="6" t="s">
        <v>1683</v>
      </c>
    </row>
    <row r="87" customFormat="false" ht="15" hidden="false" customHeight="false" outlineLevel="0" collapsed="false">
      <c r="A87" s="6" t="n">
        <v>83</v>
      </c>
      <c r="B87" s="6" t="s">
        <v>780</v>
      </c>
      <c r="C87" s="6" t="s">
        <v>678</v>
      </c>
      <c r="D87" s="7" t="n">
        <v>2400</v>
      </c>
      <c r="E87" s="6" t="n">
        <v>9</v>
      </c>
      <c r="F87" s="6" t="s">
        <v>682</v>
      </c>
      <c r="G87" s="6" t="s">
        <v>1769</v>
      </c>
      <c r="H87" s="6" t="s">
        <v>1702</v>
      </c>
      <c r="I87" s="6" t="s">
        <v>1674</v>
      </c>
    </row>
    <row r="88" customFormat="false" ht="15" hidden="false" customHeight="false" outlineLevel="0" collapsed="false">
      <c r="A88" s="6" t="n">
        <v>84</v>
      </c>
      <c r="B88" s="6" t="s">
        <v>781</v>
      </c>
      <c r="C88" s="6" t="s">
        <v>672</v>
      </c>
      <c r="D88" s="7" t="n">
        <v>2900</v>
      </c>
      <c r="E88" s="6" t="n">
        <v>11</v>
      </c>
      <c r="F88" s="6" t="s">
        <v>676</v>
      </c>
      <c r="G88" s="6" t="s">
        <v>1770</v>
      </c>
      <c r="H88" s="6" t="s">
        <v>1727</v>
      </c>
      <c r="I88" s="6" t="s">
        <v>1672</v>
      </c>
    </row>
    <row r="89" customFormat="false" ht="15" hidden="false" customHeight="false" outlineLevel="0" collapsed="false">
      <c r="A89" s="6" t="n">
        <v>85</v>
      </c>
      <c r="B89" s="6" t="s">
        <v>782</v>
      </c>
      <c r="C89" s="6" t="s">
        <v>693</v>
      </c>
      <c r="D89" s="7" t="n">
        <v>2900</v>
      </c>
      <c r="E89" s="6" t="n">
        <v>11</v>
      </c>
      <c r="F89" s="6" t="s">
        <v>676</v>
      </c>
      <c r="G89" s="6" t="s">
        <v>1771</v>
      </c>
      <c r="H89" s="6" t="s">
        <v>1681</v>
      </c>
      <c r="I89" s="6" t="s">
        <v>1683</v>
      </c>
    </row>
    <row r="90" customFormat="false" ht="15" hidden="false" customHeight="false" outlineLevel="0" collapsed="false">
      <c r="A90" s="6" t="n">
        <v>86</v>
      </c>
      <c r="B90" s="6" t="s">
        <v>783</v>
      </c>
      <c r="C90" s="6" t="s">
        <v>693</v>
      </c>
      <c r="D90" s="7" t="n">
        <v>2900</v>
      </c>
      <c r="E90" s="6" t="n">
        <v>11</v>
      </c>
      <c r="F90" s="6" t="s">
        <v>676</v>
      </c>
      <c r="G90" s="6" t="s">
        <v>1772</v>
      </c>
      <c r="H90" s="6" t="s">
        <v>1681</v>
      </c>
      <c r="I90" s="6" t="s">
        <v>1683</v>
      </c>
    </row>
    <row r="91" customFormat="false" ht="15" hidden="false" customHeight="false" outlineLevel="0" collapsed="false">
      <c r="A91" s="6" t="n">
        <v>87</v>
      </c>
      <c r="B91" s="6" t="s">
        <v>784</v>
      </c>
      <c r="C91" s="6" t="s">
        <v>678</v>
      </c>
      <c r="D91" s="7" t="n">
        <v>8100</v>
      </c>
      <c r="E91" s="6" t="n">
        <v>31</v>
      </c>
      <c r="F91" s="6" t="s">
        <v>682</v>
      </c>
      <c r="G91" s="6" t="s">
        <v>1773</v>
      </c>
      <c r="H91" s="6" t="s">
        <v>1671</v>
      </c>
      <c r="I91" s="6" t="s">
        <v>1674</v>
      </c>
    </row>
    <row r="92" customFormat="false" ht="15" hidden="false" customHeight="false" outlineLevel="0" collapsed="false">
      <c r="A92" s="6" t="n">
        <v>88</v>
      </c>
      <c r="B92" s="6" t="s">
        <v>785</v>
      </c>
      <c r="C92" s="6" t="s">
        <v>678</v>
      </c>
      <c r="D92" s="7" t="n">
        <v>9900</v>
      </c>
      <c r="E92" s="6" t="n">
        <v>38</v>
      </c>
      <c r="F92" s="6" t="s">
        <v>682</v>
      </c>
      <c r="G92" s="6" t="s">
        <v>1774</v>
      </c>
      <c r="H92" s="6" t="s">
        <v>1671</v>
      </c>
      <c r="I92" s="6" t="s">
        <v>1674</v>
      </c>
    </row>
    <row r="93" customFormat="false" ht="15" hidden="false" customHeight="false" outlineLevel="0" collapsed="false">
      <c r="A93" s="6" t="n">
        <v>89</v>
      </c>
      <c r="B93" s="6" t="s">
        <v>786</v>
      </c>
      <c r="C93" s="6" t="s">
        <v>678</v>
      </c>
      <c r="D93" s="7" t="n">
        <v>4400</v>
      </c>
      <c r="E93" s="6" t="n">
        <v>17</v>
      </c>
      <c r="F93" s="6" t="s">
        <v>682</v>
      </c>
      <c r="G93" s="6" t="s">
        <v>1775</v>
      </c>
      <c r="H93" s="6" t="s">
        <v>1681</v>
      </c>
      <c r="I93" s="6" t="s">
        <v>1674</v>
      </c>
    </row>
    <row r="94" customFormat="false" ht="15" hidden="false" customHeight="false" outlineLevel="0" collapsed="false">
      <c r="A94" s="6" t="n">
        <v>90</v>
      </c>
      <c r="B94" s="6" t="s">
        <v>787</v>
      </c>
      <c r="C94" s="6" t="s">
        <v>788</v>
      </c>
      <c r="D94" s="7" t="n">
        <v>4400</v>
      </c>
      <c r="E94" s="6" t="n">
        <v>17</v>
      </c>
      <c r="F94" s="6" t="s">
        <v>676</v>
      </c>
      <c r="G94" s="6" t="s">
        <v>1776</v>
      </c>
      <c r="H94" s="6" t="s">
        <v>431</v>
      </c>
      <c r="I94" s="6" t="s">
        <v>1674</v>
      </c>
    </row>
    <row r="95" customFormat="false" ht="15" hidden="false" customHeight="false" outlineLevel="0" collapsed="false">
      <c r="A95" s="6" t="n">
        <v>91</v>
      </c>
      <c r="B95" s="6" t="s">
        <v>789</v>
      </c>
      <c r="C95" s="6" t="s">
        <v>693</v>
      </c>
      <c r="D95" s="7" t="n">
        <v>3600</v>
      </c>
      <c r="E95" s="6" t="n">
        <v>14</v>
      </c>
      <c r="F95" s="6" t="s">
        <v>676</v>
      </c>
      <c r="G95" s="6" t="s">
        <v>1777</v>
      </c>
      <c r="H95" s="6" t="s">
        <v>1671</v>
      </c>
      <c r="I95" s="6" t="s">
        <v>1683</v>
      </c>
    </row>
    <row r="96" customFormat="false" ht="15" hidden="false" customHeight="false" outlineLevel="0" collapsed="false">
      <c r="A96" s="6" t="n">
        <v>92</v>
      </c>
      <c r="B96" s="6" t="s">
        <v>790</v>
      </c>
      <c r="C96" s="6" t="s">
        <v>672</v>
      </c>
      <c r="D96" s="7" t="n">
        <v>3600</v>
      </c>
      <c r="E96" s="6" t="n">
        <v>14</v>
      </c>
      <c r="F96" s="6" t="s">
        <v>729</v>
      </c>
      <c r="G96" s="6" t="s">
        <v>1778</v>
      </c>
      <c r="H96" s="6" t="s">
        <v>1681</v>
      </c>
      <c r="I96" s="6" t="s">
        <v>1672</v>
      </c>
    </row>
    <row r="97" customFormat="false" ht="15" hidden="false" customHeight="false" outlineLevel="0" collapsed="false">
      <c r="A97" s="6" t="n">
        <v>93</v>
      </c>
      <c r="B97" s="6" t="s">
        <v>791</v>
      </c>
      <c r="C97" s="6" t="s">
        <v>678</v>
      </c>
      <c r="D97" s="7" t="n">
        <v>5400</v>
      </c>
      <c r="E97" s="6" t="n">
        <v>22</v>
      </c>
      <c r="F97" s="6" t="s">
        <v>682</v>
      </c>
      <c r="G97" s="6" t="s">
        <v>1779</v>
      </c>
      <c r="H97" s="6" t="s">
        <v>1780</v>
      </c>
      <c r="I97" s="6" t="s">
        <v>1674</v>
      </c>
    </row>
    <row r="98" customFormat="false" ht="15" hidden="false" customHeight="false" outlineLevel="0" collapsed="false">
      <c r="A98" s="6" t="n">
        <v>94</v>
      </c>
      <c r="B98" s="6" t="s">
        <v>792</v>
      </c>
      <c r="C98" s="6" t="s">
        <v>678</v>
      </c>
      <c r="D98" s="7" t="n">
        <v>2900</v>
      </c>
      <c r="E98" s="6" t="n">
        <v>12</v>
      </c>
      <c r="F98" s="6" t="s">
        <v>682</v>
      </c>
      <c r="G98" s="6" t="s">
        <v>1781</v>
      </c>
      <c r="H98" s="6" t="s">
        <v>1681</v>
      </c>
      <c r="I98" s="6" t="s">
        <v>1674</v>
      </c>
    </row>
    <row r="99" customFormat="false" ht="15" hidden="false" customHeight="false" outlineLevel="0" collapsed="false">
      <c r="A99" s="6" t="n">
        <v>95</v>
      </c>
      <c r="B99" s="6" t="s">
        <v>793</v>
      </c>
      <c r="C99" s="6" t="s">
        <v>678</v>
      </c>
      <c r="D99" s="7" t="n">
        <v>3600</v>
      </c>
      <c r="E99" s="6" t="n">
        <v>15</v>
      </c>
      <c r="F99" s="6" t="s">
        <v>682</v>
      </c>
      <c r="G99" s="6" t="s">
        <v>1782</v>
      </c>
      <c r="H99" s="6" t="s">
        <v>1692</v>
      </c>
      <c r="I99" s="6" t="s">
        <v>1674</v>
      </c>
    </row>
    <row r="100" customFormat="false" ht="15" hidden="false" customHeight="false" outlineLevel="0" collapsed="false">
      <c r="A100" s="6" t="n">
        <v>96</v>
      </c>
      <c r="B100" s="6" t="s">
        <v>794</v>
      </c>
      <c r="C100" s="6" t="s">
        <v>678</v>
      </c>
      <c r="D100" s="7" t="n">
        <v>1900</v>
      </c>
      <c r="E100" s="6" t="n">
        <v>8</v>
      </c>
      <c r="F100" s="6" t="s">
        <v>682</v>
      </c>
      <c r="G100" s="6" t="s">
        <v>1783</v>
      </c>
      <c r="H100" s="6" t="s">
        <v>1688</v>
      </c>
      <c r="I100" s="6" t="s">
        <v>1674</v>
      </c>
    </row>
    <row r="101" customFormat="false" ht="15" hidden="false" customHeight="false" outlineLevel="0" collapsed="false">
      <c r="A101" s="6" t="n">
        <v>97</v>
      </c>
      <c r="B101" s="6" t="s">
        <v>795</v>
      </c>
      <c r="C101" s="6" t="s">
        <v>672</v>
      </c>
      <c r="D101" s="7" t="n">
        <v>1600</v>
      </c>
      <c r="E101" s="6" t="n">
        <v>7</v>
      </c>
      <c r="F101" s="6" t="s">
        <v>729</v>
      </c>
      <c r="G101" s="6" t="s">
        <v>1784</v>
      </c>
      <c r="H101" s="6" t="s">
        <v>1758</v>
      </c>
      <c r="I101" s="6" t="s">
        <v>1672</v>
      </c>
    </row>
    <row r="102" customFormat="false" ht="15" hidden="false" customHeight="false" outlineLevel="0" collapsed="false">
      <c r="A102" s="6" t="n">
        <v>98</v>
      </c>
      <c r="B102" s="6" t="s">
        <v>796</v>
      </c>
      <c r="C102" s="6" t="s">
        <v>672</v>
      </c>
      <c r="D102" s="7" t="n">
        <v>3600</v>
      </c>
      <c r="E102" s="6" t="n">
        <v>16</v>
      </c>
      <c r="F102" s="6" t="s">
        <v>676</v>
      </c>
      <c r="G102" s="6" t="s">
        <v>1785</v>
      </c>
      <c r="H102" s="6" t="s">
        <v>1725</v>
      </c>
      <c r="I102" s="6" t="s">
        <v>1672</v>
      </c>
    </row>
    <row r="103" customFormat="false" ht="15" hidden="false" customHeight="false" outlineLevel="0" collapsed="false">
      <c r="A103" s="6" t="n">
        <v>99</v>
      </c>
      <c r="B103" s="6" t="s">
        <v>797</v>
      </c>
      <c r="C103" s="6" t="s">
        <v>678</v>
      </c>
      <c r="D103" s="7" t="n">
        <v>3600</v>
      </c>
      <c r="E103" s="6" t="n">
        <v>16</v>
      </c>
      <c r="F103" s="6" t="s">
        <v>682</v>
      </c>
      <c r="G103" s="6" t="s">
        <v>1786</v>
      </c>
      <c r="H103" s="6" t="s">
        <v>1681</v>
      </c>
      <c r="I103" s="6" t="s">
        <v>1674</v>
      </c>
    </row>
    <row r="104" customFormat="false" ht="15" hidden="false" customHeight="false" outlineLevel="0" collapsed="false">
      <c r="A104" s="6" t="n">
        <v>100</v>
      </c>
      <c r="B104" s="6" t="s">
        <v>798</v>
      </c>
      <c r="C104" s="6" t="s">
        <v>678</v>
      </c>
      <c r="D104" s="7" t="n">
        <v>2900</v>
      </c>
      <c r="E104" s="6" t="n">
        <v>13</v>
      </c>
      <c r="F104" s="6" t="s">
        <v>682</v>
      </c>
      <c r="G104" s="6" t="s">
        <v>1787</v>
      </c>
      <c r="H104" s="6" t="s">
        <v>1705</v>
      </c>
      <c r="I104" s="6" t="s">
        <v>1674</v>
      </c>
    </row>
    <row r="105" customFormat="false" ht="15" hidden="false" customHeight="false" outlineLevel="0" collapsed="false">
      <c r="A105" s="6" t="n">
        <v>101</v>
      </c>
      <c r="B105" s="6" t="s">
        <v>799</v>
      </c>
      <c r="C105" s="6" t="s">
        <v>733</v>
      </c>
      <c r="D105" s="7" t="n">
        <v>2900</v>
      </c>
      <c r="E105" s="6" t="n">
        <v>13</v>
      </c>
      <c r="F105" s="6" t="s">
        <v>682</v>
      </c>
      <c r="G105" s="6" t="s">
        <v>1788</v>
      </c>
      <c r="H105" s="6" t="s">
        <v>1681</v>
      </c>
      <c r="I105" s="6" t="s">
        <v>1674</v>
      </c>
    </row>
    <row r="106" customFormat="false" ht="15" hidden="false" customHeight="false" outlineLevel="0" collapsed="false">
      <c r="A106" s="6" t="n">
        <v>102</v>
      </c>
      <c r="B106" s="6" t="s">
        <v>800</v>
      </c>
      <c r="C106" s="6" t="s">
        <v>678</v>
      </c>
      <c r="D106" s="7" t="n">
        <v>6600</v>
      </c>
      <c r="E106" s="6" t="n">
        <v>30</v>
      </c>
      <c r="F106" s="6" t="s">
        <v>682</v>
      </c>
      <c r="G106" s="6" t="s">
        <v>1789</v>
      </c>
      <c r="H106" s="6" t="s">
        <v>1727</v>
      </c>
      <c r="I106" s="6" t="s">
        <v>1674</v>
      </c>
    </row>
    <row r="107" customFormat="false" ht="15" hidden="false" customHeight="false" outlineLevel="0" collapsed="false">
      <c r="A107" s="6" t="n">
        <v>103</v>
      </c>
      <c r="B107" s="6" t="s">
        <v>801</v>
      </c>
      <c r="C107" s="6" t="s">
        <v>678</v>
      </c>
      <c r="D107" s="7" t="n">
        <v>1300</v>
      </c>
      <c r="E107" s="6" t="n">
        <v>6</v>
      </c>
      <c r="F107" s="6" t="s">
        <v>682</v>
      </c>
      <c r="G107" s="6" t="s">
        <v>1790</v>
      </c>
      <c r="H107" s="6" t="s">
        <v>1678</v>
      </c>
      <c r="I107" s="6" t="s">
        <v>1674</v>
      </c>
    </row>
    <row r="108" customFormat="false" ht="15" hidden="false" customHeight="false" outlineLevel="0" collapsed="false">
      <c r="A108" s="6" t="n">
        <v>104</v>
      </c>
      <c r="B108" s="6" t="s">
        <v>802</v>
      </c>
      <c r="C108" s="6" t="s">
        <v>690</v>
      </c>
      <c r="D108" s="7" t="n">
        <v>5400</v>
      </c>
      <c r="E108" s="6" t="n">
        <v>25</v>
      </c>
      <c r="F108" s="6" t="s">
        <v>682</v>
      </c>
      <c r="G108" s="6" t="s">
        <v>1791</v>
      </c>
      <c r="H108" s="6" t="s">
        <v>1671</v>
      </c>
      <c r="I108" s="6" t="s">
        <v>1674</v>
      </c>
    </row>
    <row r="109" customFormat="false" ht="15" hidden="false" customHeight="false" outlineLevel="0" collapsed="false">
      <c r="A109" s="6" t="n">
        <v>105</v>
      </c>
      <c r="B109" s="6" t="s">
        <v>803</v>
      </c>
      <c r="C109" s="6" t="s">
        <v>678</v>
      </c>
      <c r="D109" s="7" t="n">
        <v>5400</v>
      </c>
      <c r="E109" s="6" t="n">
        <v>25</v>
      </c>
      <c r="F109" s="6" t="s">
        <v>682</v>
      </c>
      <c r="G109" s="6" t="s">
        <v>1792</v>
      </c>
      <c r="H109" s="6" t="s">
        <v>1688</v>
      </c>
      <c r="I109" s="6" t="s">
        <v>1674</v>
      </c>
    </row>
    <row r="110" customFormat="false" ht="15" hidden="false" customHeight="false" outlineLevel="0" collapsed="false">
      <c r="A110" s="6" t="n">
        <v>106</v>
      </c>
      <c r="B110" s="6" t="s">
        <v>804</v>
      </c>
      <c r="C110" s="6" t="s">
        <v>678</v>
      </c>
      <c r="D110" s="7" t="n">
        <v>5400</v>
      </c>
      <c r="E110" s="6" t="n">
        <v>25</v>
      </c>
      <c r="F110" s="6" t="s">
        <v>682</v>
      </c>
      <c r="G110" s="6" t="s">
        <v>1793</v>
      </c>
      <c r="H110" s="6" t="s">
        <v>1681</v>
      </c>
      <c r="I110" s="6" t="s">
        <v>1674</v>
      </c>
    </row>
    <row r="111" customFormat="false" ht="15" hidden="false" customHeight="false" outlineLevel="0" collapsed="false">
      <c r="A111" s="6" t="n">
        <v>107</v>
      </c>
      <c r="B111" s="6" t="s">
        <v>805</v>
      </c>
      <c r="C111" s="6" t="s">
        <v>678</v>
      </c>
      <c r="D111" s="7" t="n">
        <v>5400</v>
      </c>
      <c r="E111" s="6" t="n">
        <v>25</v>
      </c>
      <c r="F111" s="6" t="s">
        <v>806</v>
      </c>
      <c r="G111" s="6" t="s">
        <v>1794</v>
      </c>
      <c r="H111" s="6" t="s">
        <v>1678</v>
      </c>
      <c r="I111" s="6" t="s">
        <v>1674</v>
      </c>
    </row>
    <row r="112" customFormat="false" ht="15" hidden="false" customHeight="false" outlineLevel="0" collapsed="false">
      <c r="A112" s="6" t="n">
        <v>108</v>
      </c>
      <c r="B112" s="6" t="s">
        <v>807</v>
      </c>
      <c r="C112" s="6" t="s">
        <v>690</v>
      </c>
      <c r="D112" s="7" t="n">
        <v>6600</v>
      </c>
      <c r="E112" s="6" t="n">
        <v>31</v>
      </c>
      <c r="F112" s="6" t="s">
        <v>682</v>
      </c>
      <c r="G112" s="6" t="s">
        <v>1795</v>
      </c>
      <c r="H112" s="6" t="s">
        <v>431</v>
      </c>
      <c r="I112" s="6" t="s">
        <v>1674</v>
      </c>
    </row>
    <row r="113" customFormat="false" ht="15" hidden="false" customHeight="false" outlineLevel="0" collapsed="false">
      <c r="A113" s="6" t="n">
        <v>109</v>
      </c>
      <c r="B113" s="6" t="s">
        <v>808</v>
      </c>
      <c r="C113" s="6" t="s">
        <v>690</v>
      </c>
      <c r="D113" s="7" t="n">
        <v>3600</v>
      </c>
      <c r="E113" s="6" t="n">
        <v>17</v>
      </c>
      <c r="F113" s="6" t="s">
        <v>682</v>
      </c>
      <c r="G113" s="6" t="s">
        <v>1796</v>
      </c>
      <c r="H113" s="6" t="s">
        <v>1681</v>
      </c>
      <c r="I113" s="6" t="s">
        <v>1674</v>
      </c>
    </row>
    <row r="114" customFormat="false" ht="15" hidden="false" customHeight="false" outlineLevel="0" collapsed="false">
      <c r="A114" s="6" t="n">
        <v>110</v>
      </c>
      <c r="B114" s="6" t="s">
        <v>809</v>
      </c>
      <c r="C114" s="6" t="s">
        <v>678</v>
      </c>
      <c r="D114" s="7" t="n">
        <v>3600</v>
      </c>
      <c r="E114" s="6" t="n">
        <v>17</v>
      </c>
      <c r="F114" s="6" t="s">
        <v>682</v>
      </c>
      <c r="G114" s="6" t="s">
        <v>1797</v>
      </c>
      <c r="H114" s="6" t="s">
        <v>1705</v>
      </c>
      <c r="I114" s="6" t="s">
        <v>1674</v>
      </c>
    </row>
    <row r="116" customFormat="false" ht="15" hidden="false" customHeight="false" outlineLevel="0" collapsed="false">
      <c r="B116" s="10" t="s">
        <v>1798</v>
      </c>
      <c r="D116" s="10" t="n">
        <f aca="false">COUNT(D5:D114)</f>
        <v>110</v>
      </c>
    </row>
    <row r="117" customFormat="false" ht="15" hidden="false" customHeight="false" outlineLevel="0" collapsed="false">
      <c r="B117" s="10" t="s">
        <v>1799</v>
      </c>
      <c r="D117" s="11" t="n">
        <f aca="false">SUM(D5:D114)</f>
        <v>874800</v>
      </c>
    </row>
    <row r="118" customFormat="false" ht="15" hidden="false" customHeight="false" outlineLevel="0" collapsed="false">
      <c r="B118" s="10" t="s">
        <v>1800</v>
      </c>
      <c r="D118" s="11" t="n">
        <f aca="false">ROUND(SUM(D5:D114)*0.11,0)</f>
        <v>96228</v>
      </c>
    </row>
    <row r="120" customFormat="false" ht="15" hidden="false" customHeight="false" outlineLevel="0" collapsed="false">
      <c r="B120" s="2" t="s">
        <v>1801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14"/>
    <col collapsed="false" customWidth="true" hidden="false" outlineLevel="0" max="4" min="4" style="0" width="30"/>
    <col collapsed="false" customWidth="true" hidden="false" outlineLevel="0" max="5" min="5" style="0" width="26"/>
    <col collapsed="false" customWidth="true" hidden="false" outlineLevel="0" max="6" min="6" style="0" width="18"/>
    <col collapsed="false" customWidth="true" hidden="false" outlineLevel="0" max="8" min="7" style="0" width="28"/>
    <col collapsed="false" customWidth="true" hidden="false" outlineLevel="0" max="9" min="9" style="0" width="32"/>
    <col collapsed="false" customWidth="true" hidden="false" outlineLevel="0" max="11" min="10" style="0" width="26"/>
    <col collapsed="false" customWidth="true" hidden="false" outlineLevel="0" max="12" min="12" style="0" width="34"/>
    <col collapsed="false" customWidth="true" hidden="false" outlineLevel="0" max="13" min="13" style="0" width="14"/>
    <col collapsed="false" customWidth="true" hidden="false" outlineLevel="0" max="14" min="14" style="0" width="44"/>
    <col collapsed="false" customWidth="true" hidden="false" outlineLevel="0" max="15" min="15" style="0" width="34"/>
  </cols>
  <sheetData>
    <row r="1" customFormat="false" ht="18.55" hidden="false" customHeight="false" outlineLevel="0" collapsed="false">
      <c r="A1" s="15" t="s">
        <v>1802</v>
      </c>
    </row>
    <row r="3" customFormat="false" ht="31.5" hidden="false" customHeight="true" outlineLevel="0" collapsed="false">
      <c r="A3" s="5" t="s">
        <v>1803</v>
      </c>
      <c r="B3" s="5" t="s">
        <v>1804</v>
      </c>
      <c r="C3" s="5" t="s">
        <v>1805</v>
      </c>
      <c r="D3" s="5" t="s">
        <v>1806</v>
      </c>
      <c r="E3" s="5" t="s">
        <v>1807</v>
      </c>
      <c r="F3" s="5" t="s">
        <v>55</v>
      </c>
      <c r="G3" s="5" t="s">
        <v>1808</v>
      </c>
      <c r="H3" s="5" t="s">
        <v>1809</v>
      </c>
      <c r="I3" s="5" t="s">
        <v>1810</v>
      </c>
      <c r="J3" s="5" t="s">
        <v>1811</v>
      </c>
      <c r="K3" s="5" t="s">
        <v>1812</v>
      </c>
      <c r="L3" s="5" t="s">
        <v>1813</v>
      </c>
      <c r="M3" s="5" t="s">
        <v>1814</v>
      </c>
      <c r="N3" s="5" t="s">
        <v>1815</v>
      </c>
      <c r="O3" s="5" t="s">
        <v>1816</v>
      </c>
    </row>
    <row r="4" customFormat="false" ht="66" hidden="false" customHeight="true" outlineLevel="0" collapsed="false">
      <c r="A4" s="32" t="s">
        <v>1817</v>
      </c>
      <c r="B4" s="9" t="s">
        <v>1818</v>
      </c>
      <c r="C4" s="9" t="s">
        <v>1819</v>
      </c>
      <c r="D4" s="9" t="s">
        <v>1820</v>
      </c>
      <c r="E4" s="9" t="s">
        <v>1821</v>
      </c>
      <c r="F4" s="9" t="s">
        <v>1822</v>
      </c>
      <c r="G4" s="9" t="s">
        <v>1823</v>
      </c>
      <c r="H4" s="9" t="s">
        <v>1824</v>
      </c>
      <c r="I4" s="9" t="s">
        <v>1825</v>
      </c>
      <c r="J4" s="9" t="s">
        <v>1826</v>
      </c>
      <c r="K4" s="9" t="s">
        <v>1827</v>
      </c>
      <c r="L4" s="9" t="s">
        <v>1828</v>
      </c>
      <c r="M4" s="9" t="s">
        <v>673</v>
      </c>
      <c r="N4" s="9" t="s">
        <v>1829</v>
      </c>
      <c r="O4" s="9" t="s">
        <v>1830</v>
      </c>
    </row>
    <row r="5" customFormat="false" ht="66" hidden="false" customHeight="true" outlineLevel="0" collapsed="false">
      <c r="A5" s="32" t="s">
        <v>1831</v>
      </c>
      <c r="B5" s="9" t="s">
        <v>1832</v>
      </c>
      <c r="C5" s="9" t="s">
        <v>1819</v>
      </c>
      <c r="D5" s="9" t="s">
        <v>1833</v>
      </c>
      <c r="E5" s="9" t="s">
        <v>1834</v>
      </c>
      <c r="F5" s="9" t="s">
        <v>187</v>
      </c>
      <c r="G5" s="9" t="s">
        <v>1835</v>
      </c>
      <c r="H5" s="9" t="s">
        <v>1836</v>
      </c>
      <c r="I5" s="9" t="s">
        <v>1837</v>
      </c>
      <c r="J5" s="9" t="s">
        <v>1838</v>
      </c>
      <c r="K5" s="9" t="s">
        <v>1839</v>
      </c>
      <c r="L5" s="9" t="s">
        <v>1840</v>
      </c>
      <c r="M5" s="9" t="s">
        <v>673</v>
      </c>
      <c r="N5" s="9" t="s">
        <v>1841</v>
      </c>
      <c r="O5" s="9" t="s">
        <v>1842</v>
      </c>
    </row>
    <row r="6" customFormat="false" ht="66" hidden="false" customHeight="true" outlineLevel="0" collapsed="false">
      <c r="A6" s="32" t="s">
        <v>1843</v>
      </c>
      <c r="B6" s="9" t="s">
        <v>1844</v>
      </c>
      <c r="C6" s="9" t="s">
        <v>1845</v>
      </c>
      <c r="D6" s="9" t="s">
        <v>1846</v>
      </c>
      <c r="E6" s="9" t="s">
        <v>1847</v>
      </c>
      <c r="F6" s="9" t="s">
        <v>135</v>
      </c>
      <c r="G6" s="9" t="s">
        <v>1848</v>
      </c>
      <c r="H6" s="9" t="s">
        <v>1849</v>
      </c>
      <c r="I6" s="9" t="s">
        <v>1850</v>
      </c>
      <c r="J6" s="9" t="s">
        <v>1851</v>
      </c>
      <c r="K6" s="9" t="s">
        <v>1852</v>
      </c>
      <c r="L6" s="9" t="s">
        <v>1853</v>
      </c>
      <c r="M6" s="9" t="s">
        <v>694</v>
      </c>
      <c r="N6" s="9" t="s">
        <v>1854</v>
      </c>
      <c r="O6" s="9" t="s">
        <v>1855</v>
      </c>
    </row>
    <row r="7" customFormat="false" ht="66" hidden="false" customHeight="true" outlineLevel="0" collapsed="false">
      <c r="A7" s="32" t="s">
        <v>1856</v>
      </c>
      <c r="B7" s="9" t="s">
        <v>1857</v>
      </c>
      <c r="C7" s="9" t="s">
        <v>1819</v>
      </c>
      <c r="D7" s="9" t="s">
        <v>1858</v>
      </c>
      <c r="E7" s="9" t="s">
        <v>673</v>
      </c>
      <c r="F7" s="9" t="s">
        <v>1859</v>
      </c>
      <c r="G7" s="9" t="s">
        <v>1860</v>
      </c>
      <c r="H7" s="9" t="s">
        <v>1861</v>
      </c>
      <c r="I7" s="9" t="s">
        <v>1862</v>
      </c>
      <c r="J7" s="9" t="s">
        <v>1863</v>
      </c>
      <c r="K7" s="9" t="s">
        <v>1864</v>
      </c>
      <c r="L7" s="9" t="s">
        <v>1865</v>
      </c>
      <c r="M7" s="9" t="s">
        <v>673</v>
      </c>
      <c r="N7" s="9" t="s">
        <v>1866</v>
      </c>
      <c r="O7" s="9" t="s">
        <v>1867</v>
      </c>
    </row>
    <row r="8" customFormat="false" ht="66" hidden="false" customHeight="true" outlineLevel="0" collapsed="false">
      <c r="A8" s="32" t="s">
        <v>1868</v>
      </c>
      <c r="B8" s="9" t="s">
        <v>1869</v>
      </c>
      <c r="C8" s="9" t="s">
        <v>1819</v>
      </c>
      <c r="D8" s="9" t="s">
        <v>1870</v>
      </c>
      <c r="E8" s="9" t="s">
        <v>1847</v>
      </c>
      <c r="F8" s="9" t="s">
        <v>75</v>
      </c>
      <c r="G8" s="9" t="s">
        <v>1871</v>
      </c>
      <c r="H8" s="9" t="s">
        <v>1872</v>
      </c>
      <c r="I8" s="9" t="s">
        <v>1873</v>
      </c>
      <c r="J8" s="9" t="s">
        <v>1874</v>
      </c>
      <c r="K8" s="9" t="s">
        <v>1852</v>
      </c>
      <c r="L8" s="9" t="s">
        <v>1875</v>
      </c>
      <c r="M8" s="9" t="s">
        <v>694</v>
      </c>
      <c r="N8" s="9" t="s">
        <v>1876</v>
      </c>
      <c r="O8" s="9" t="s">
        <v>1877</v>
      </c>
    </row>
    <row r="9" customFormat="false" ht="66" hidden="false" customHeight="true" outlineLevel="0" collapsed="false">
      <c r="A9" s="32" t="s">
        <v>1878</v>
      </c>
      <c r="B9" s="9" t="s">
        <v>1879</v>
      </c>
      <c r="C9" s="9" t="s">
        <v>1819</v>
      </c>
      <c r="D9" s="9" t="s">
        <v>1880</v>
      </c>
      <c r="E9" s="9" t="s">
        <v>1881</v>
      </c>
      <c r="F9" s="9" t="s">
        <v>1882</v>
      </c>
      <c r="G9" s="9" t="s">
        <v>1883</v>
      </c>
      <c r="H9" s="9" t="s">
        <v>1884</v>
      </c>
      <c r="I9" s="9" t="s">
        <v>1885</v>
      </c>
      <c r="J9" s="9" t="s">
        <v>1886</v>
      </c>
      <c r="K9" s="9" t="s">
        <v>1887</v>
      </c>
      <c r="L9" s="9" t="s">
        <v>1888</v>
      </c>
      <c r="M9" s="9" t="s">
        <v>673</v>
      </c>
      <c r="N9" s="9" t="s">
        <v>1889</v>
      </c>
      <c r="O9" s="9" t="s">
        <v>1890</v>
      </c>
    </row>
    <row r="10" customFormat="false" ht="66" hidden="false" customHeight="true" outlineLevel="0" collapsed="false">
      <c r="A10" s="32" t="s">
        <v>1891</v>
      </c>
      <c r="B10" s="9" t="s">
        <v>1892</v>
      </c>
      <c r="C10" s="9" t="s">
        <v>1819</v>
      </c>
      <c r="D10" s="9" t="s">
        <v>1893</v>
      </c>
      <c r="E10" s="9" t="s">
        <v>1894</v>
      </c>
      <c r="F10" s="9" t="s">
        <v>75</v>
      </c>
      <c r="G10" s="9" t="s">
        <v>1895</v>
      </c>
      <c r="H10" s="9" t="s">
        <v>1896</v>
      </c>
      <c r="I10" s="9" t="s">
        <v>1897</v>
      </c>
      <c r="J10" s="9" t="s">
        <v>1898</v>
      </c>
      <c r="K10" s="9" t="s">
        <v>1899</v>
      </c>
      <c r="L10" s="9" t="s">
        <v>1900</v>
      </c>
      <c r="M10" s="9" t="s">
        <v>673</v>
      </c>
      <c r="N10" s="9" t="s">
        <v>1901</v>
      </c>
      <c r="O10" s="9" t="s">
        <v>1902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46"/>
    <col collapsed="false" customWidth="true" hidden="false" outlineLevel="0" max="4" min="4" style="0" width="26"/>
    <col collapsed="false" customWidth="true" hidden="false" outlineLevel="0" max="5" min="5" style="0" width="18"/>
    <col collapsed="false" customWidth="true" hidden="false" outlineLevel="0" max="6" min="6" style="0" width="46"/>
    <col collapsed="false" customWidth="true" hidden="false" outlineLevel="0" max="7" min="7" style="0" width="38"/>
    <col collapsed="false" customWidth="true" hidden="false" outlineLevel="0" max="8" min="8" style="0" width="32"/>
    <col collapsed="false" customWidth="true" hidden="false" outlineLevel="0" max="9" min="9" style="0" width="42"/>
    <col collapsed="false" customWidth="true" hidden="false" outlineLevel="0" max="10" min="10" style="0" width="50"/>
    <col collapsed="false" customWidth="true" hidden="false" outlineLevel="0" max="11" min="11" style="0" width="24"/>
    <col collapsed="false" customWidth="true" hidden="false" outlineLevel="0" max="12" min="12" style="0" width="54"/>
    <col collapsed="false" customWidth="true" hidden="false" outlineLevel="0" max="13" min="13" style="0" width="13"/>
  </cols>
  <sheetData>
    <row r="1" customFormat="false" ht="18.55" hidden="false" customHeight="false" outlineLevel="0" collapsed="false">
      <c r="A1" s="15" t="s">
        <v>1903</v>
      </c>
    </row>
    <row r="2" customFormat="false" ht="15" hidden="false" customHeight="false" outlineLevel="0" collapsed="false">
      <c r="A2" s="2" t="s">
        <v>1904</v>
      </c>
    </row>
    <row r="4" customFormat="false" ht="31.5" hidden="false" customHeight="true" outlineLevel="0" collapsed="false">
      <c r="A4" s="5" t="s">
        <v>656</v>
      </c>
      <c r="B4" s="5" t="s">
        <v>51</v>
      </c>
      <c r="C4" s="5" t="s">
        <v>1905</v>
      </c>
      <c r="D4" s="5" t="s">
        <v>1906</v>
      </c>
      <c r="E4" s="5" t="s">
        <v>1907</v>
      </c>
      <c r="F4" s="5" t="s">
        <v>1595</v>
      </c>
      <c r="G4" s="5" t="s">
        <v>1445</v>
      </c>
      <c r="H4" s="5" t="s">
        <v>1908</v>
      </c>
      <c r="I4" s="5" t="s">
        <v>1459</v>
      </c>
      <c r="J4" s="5" t="s">
        <v>1909</v>
      </c>
      <c r="K4" s="5" t="s">
        <v>1910</v>
      </c>
      <c r="L4" s="5" t="s">
        <v>1911</v>
      </c>
      <c r="M4" s="5" t="s">
        <v>669</v>
      </c>
    </row>
    <row r="5" customFormat="false" ht="108" hidden="false" customHeight="true" outlineLevel="0" collapsed="false">
      <c r="A5" s="33" t="s">
        <v>1912</v>
      </c>
      <c r="B5" s="28" t="s">
        <v>1913</v>
      </c>
      <c r="C5" s="9" t="s">
        <v>1914</v>
      </c>
      <c r="D5" s="9" t="s">
        <v>1915</v>
      </c>
      <c r="E5" s="9" t="s">
        <v>1916</v>
      </c>
      <c r="F5" s="9" t="s">
        <v>1917</v>
      </c>
      <c r="G5" s="9" t="s">
        <v>1918</v>
      </c>
      <c r="H5" s="9" t="s">
        <v>1919</v>
      </c>
      <c r="I5" s="9" t="s">
        <v>1920</v>
      </c>
      <c r="J5" s="9" t="s">
        <v>1921</v>
      </c>
      <c r="K5" s="9" t="s">
        <v>1922</v>
      </c>
      <c r="L5" s="9" t="s">
        <v>1923</v>
      </c>
      <c r="M5" s="34" t="n">
        <v>95</v>
      </c>
    </row>
    <row r="6" customFormat="false" ht="108" hidden="false" customHeight="true" outlineLevel="0" collapsed="false">
      <c r="A6" s="33" t="s">
        <v>1924</v>
      </c>
      <c r="B6" s="28" t="s">
        <v>1925</v>
      </c>
      <c r="C6" s="9" t="s">
        <v>1926</v>
      </c>
      <c r="D6" s="9" t="s">
        <v>1927</v>
      </c>
      <c r="E6" s="9" t="s">
        <v>1928</v>
      </c>
      <c r="F6" s="9" t="s">
        <v>1929</v>
      </c>
      <c r="G6" s="9" t="s">
        <v>1930</v>
      </c>
      <c r="H6" s="9" t="s">
        <v>1931</v>
      </c>
      <c r="I6" s="9" t="s">
        <v>1932</v>
      </c>
      <c r="J6" s="9" t="s">
        <v>1933</v>
      </c>
      <c r="K6" s="9" t="s">
        <v>1934</v>
      </c>
      <c r="L6" s="9" t="s">
        <v>1935</v>
      </c>
      <c r="M6" s="34" t="n">
        <v>93</v>
      </c>
    </row>
    <row r="7" customFormat="false" ht="108" hidden="false" customHeight="true" outlineLevel="0" collapsed="false">
      <c r="A7" s="33" t="s">
        <v>1936</v>
      </c>
      <c r="B7" s="28" t="s">
        <v>1937</v>
      </c>
      <c r="C7" s="9" t="s">
        <v>1938</v>
      </c>
      <c r="D7" s="9" t="s">
        <v>1477</v>
      </c>
      <c r="E7" s="9" t="s">
        <v>1939</v>
      </c>
      <c r="F7" s="9" t="s">
        <v>1940</v>
      </c>
      <c r="G7" s="9" t="s">
        <v>1941</v>
      </c>
      <c r="H7" s="9" t="s">
        <v>1942</v>
      </c>
      <c r="I7" s="9" t="s">
        <v>1943</v>
      </c>
      <c r="J7" s="9" t="s">
        <v>1944</v>
      </c>
      <c r="K7" s="9" t="s">
        <v>1945</v>
      </c>
      <c r="L7" s="9" t="s">
        <v>1946</v>
      </c>
      <c r="M7" s="34" t="n">
        <v>90</v>
      </c>
    </row>
    <row r="8" customFormat="false" ht="108" hidden="false" customHeight="true" outlineLevel="0" collapsed="false">
      <c r="A8" s="33" t="s">
        <v>1947</v>
      </c>
      <c r="B8" s="28" t="s">
        <v>1487</v>
      </c>
      <c r="C8" s="9" t="s">
        <v>1948</v>
      </c>
      <c r="D8" s="9" t="s">
        <v>1949</v>
      </c>
      <c r="E8" s="9" t="s">
        <v>1950</v>
      </c>
      <c r="F8" s="9" t="s">
        <v>1951</v>
      </c>
      <c r="G8" s="9" t="s">
        <v>1952</v>
      </c>
      <c r="H8" s="9" t="s">
        <v>1953</v>
      </c>
      <c r="I8" s="9" t="s">
        <v>1954</v>
      </c>
      <c r="J8" s="9" t="s">
        <v>1955</v>
      </c>
      <c r="K8" s="9" t="s">
        <v>1956</v>
      </c>
      <c r="L8" s="9" t="s">
        <v>1957</v>
      </c>
      <c r="M8" s="34" t="n">
        <v>92</v>
      </c>
    </row>
    <row r="9" customFormat="false" ht="108" hidden="false" customHeight="true" outlineLevel="0" collapsed="false">
      <c r="A9" s="33" t="s">
        <v>1958</v>
      </c>
      <c r="B9" s="28" t="s">
        <v>1959</v>
      </c>
      <c r="C9" s="9" t="s">
        <v>1960</v>
      </c>
      <c r="D9" s="9" t="s">
        <v>1961</v>
      </c>
      <c r="E9" s="9" t="s">
        <v>1962</v>
      </c>
      <c r="F9" s="9" t="s">
        <v>1963</v>
      </c>
      <c r="G9" s="9" t="s">
        <v>1964</v>
      </c>
      <c r="H9" s="9" t="s">
        <v>1965</v>
      </c>
      <c r="I9" s="9" t="s">
        <v>1966</v>
      </c>
      <c r="J9" s="9" t="s">
        <v>1967</v>
      </c>
      <c r="K9" s="9" t="s">
        <v>1968</v>
      </c>
      <c r="L9" s="9" t="s">
        <v>1969</v>
      </c>
      <c r="M9" s="34" t="n">
        <v>91</v>
      </c>
    </row>
    <row r="10" customFormat="false" ht="108" hidden="false" customHeight="true" outlineLevel="0" collapsed="false">
      <c r="A10" s="33" t="s">
        <v>1970</v>
      </c>
      <c r="B10" s="28" t="s">
        <v>1497</v>
      </c>
      <c r="C10" s="9" t="s">
        <v>1971</v>
      </c>
      <c r="D10" s="9" t="s">
        <v>1498</v>
      </c>
      <c r="E10" s="9" t="s">
        <v>1950</v>
      </c>
      <c r="F10" s="9" t="s">
        <v>1972</v>
      </c>
      <c r="G10" s="9" t="s">
        <v>1973</v>
      </c>
      <c r="H10" s="9" t="s">
        <v>1974</v>
      </c>
      <c r="I10" s="9" t="s">
        <v>1975</v>
      </c>
      <c r="J10" s="9" t="s">
        <v>1976</v>
      </c>
      <c r="K10" s="9" t="s">
        <v>1945</v>
      </c>
      <c r="L10" s="9" t="s">
        <v>1977</v>
      </c>
      <c r="M10" s="34" t="n">
        <v>89</v>
      </c>
    </row>
    <row r="11" customFormat="false" ht="108" hidden="false" customHeight="true" outlineLevel="0" collapsed="false">
      <c r="A11" s="33" t="s">
        <v>1978</v>
      </c>
      <c r="B11" s="28" t="s">
        <v>1521</v>
      </c>
      <c r="C11" s="9" t="s">
        <v>1979</v>
      </c>
      <c r="D11" s="9" t="s">
        <v>1980</v>
      </c>
      <c r="E11" s="9" t="s">
        <v>1981</v>
      </c>
      <c r="F11" s="9" t="s">
        <v>1982</v>
      </c>
      <c r="G11" s="9" t="s">
        <v>1983</v>
      </c>
      <c r="H11" s="9" t="s">
        <v>1984</v>
      </c>
      <c r="I11" s="9" t="s">
        <v>1985</v>
      </c>
      <c r="J11" s="9" t="s">
        <v>1986</v>
      </c>
      <c r="K11" s="9" t="s">
        <v>1945</v>
      </c>
      <c r="L11" s="9" t="s">
        <v>1987</v>
      </c>
      <c r="M11" s="34" t="n">
        <v>88</v>
      </c>
    </row>
    <row r="12" customFormat="false" ht="108" hidden="false" customHeight="true" outlineLevel="0" collapsed="false">
      <c r="A12" s="33" t="s">
        <v>1988</v>
      </c>
      <c r="B12" s="28" t="s">
        <v>1989</v>
      </c>
      <c r="C12" s="9" t="s">
        <v>1990</v>
      </c>
      <c r="D12" s="9" t="s">
        <v>1482</v>
      </c>
      <c r="E12" s="9" t="s">
        <v>1991</v>
      </c>
      <c r="F12" s="9" t="s">
        <v>1992</v>
      </c>
      <c r="G12" s="9" t="s">
        <v>1993</v>
      </c>
      <c r="H12" s="9" t="s">
        <v>1994</v>
      </c>
      <c r="I12" s="9" t="s">
        <v>1995</v>
      </c>
      <c r="J12" s="9" t="s">
        <v>1996</v>
      </c>
      <c r="K12" s="9" t="s">
        <v>1997</v>
      </c>
      <c r="L12" s="9" t="s">
        <v>1998</v>
      </c>
      <c r="M12" s="34" t="n">
        <v>88</v>
      </c>
    </row>
    <row r="13" customFormat="false" ht="108" hidden="false" customHeight="true" outlineLevel="0" collapsed="false">
      <c r="A13" s="33" t="s">
        <v>1999</v>
      </c>
      <c r="B13" s="28" t="s">
        <v>1492</v>
      </c>
      <c r="C13" s="9" t="s">
        <v>2000</v>
      </c>
      <c r="D13" s="9" t="s">
        <v>2001</v>
      </c>
      <c r="E13" s="9" t="s">
        <v>2002</v>
      </c>
      <c r="F13" s="9" t="s">
        <v>2003</v>
      </c>
      <c r="G13" s="9" t="s">
        <v>2004</v>
      </c>
      <c r="H13" s="9" t="s">
        <v>2005</v>
      </c>
      <c r="I13" s="9" t="s">
        <v>2006</v>
      </c>
      <c r="J13" s="9" t="s">
        <v>2007</v>
      </c>
      <c r="K13" s="9" t="s">
        <v>1945</v>
      </c>
      <c r="L13" s="9" t="s">
        <v>2008</v>
      </c>
      <c r="M13" s="34" t="n">
        <v>86</v>
      </c>
    </row>
    <row r="14" customFormat="false" ht="108" hidden="false" customHeight="true" outlineLevel="0" collapsed="false">
      <c r="A14" s="33" t="s">
        <v>2009</v>
      </c>
      <c r="B14" s="28" t="s">
        <v>2010</v>
      </c>
      <c r="C14" s="9" t="s">
        <v>2011</v>
      </c>
      <c r="D14" s="9" t="s">
        <v>2012</v>
      </c>
      <c r="E14" s="9" t="s">
        <v>2013</v>
      </c>
      <c r="F14" s="9" t="s">
        <v>2014</v>
      </c>
      <c r="G14" s="9" t="s">
        <v>2015</v>
      </c>
      <c r="H14" s="9" t="s">
        <v>2016</v>
      </c>
      <c r="I14" s="9" t="s">
        <v>2017</v>
      </c>
      <c r="J14" s="9" t="s">
        <v>2018</v>
      </c>
      <c r="K14" s="9" t="s">
        <v>2019</v>
      </c>
      <c r="L14" s="9" t="s">
        <v>2020</v>
      </c>
      <c r="M14" s="34" t="n">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2026-08-11T06:32:30Z</dcterms:created>
  <dc:creator>openpyxl</dc:creator>
  <dc:description/>
  <dc:language>en-US</dc:language>
  <cp:lastModifiedBy/>
  <dcterms:modified xsi:type="dcterms:W3CDTF">2026-08-11T06:32:30Z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